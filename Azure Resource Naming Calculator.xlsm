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ernandez66\Downloads\"/>
    </mc:Choice>
  </mc:AlternateContent>
  <xr:revisionPtr revIDLastSave="0" documentId="8_{4BEE1623-E1AA-4C8F-97A7-86AEED74BB08}" xr6:coauthVersionLast="47" xr6:coauthVersionMax="47" xr10:uidLastSave="{00000000-0000-0000-0000-000000000000}"/>
  <bookViews>
    <workbookView xWindow="-110" yWindow="-110" windowWidth="38620" windowHeight="21220" activeTab="2" xr2:uid="{00000000-000D-0000-FFFF-FFFF00000000}"/>
  </bookViews>
  <sheets>
    <sheet name="Convention" sheetId="9" r:id="rId1"/>
    <sheet name="Resource Names" sheetId="5" r:id="rId2"/>
    <sheet name="AzureRegions" sheetId="6" r:id="rId3"/>
    <sheet name="Enviroments" sheetId="7" r:id="rId4"/>
    <sheet name="Resources" sheetId="8" r:id="rId5"/>
    <sheet name="Casing" sheetId="3" state="hidden" r:id="rId6"/>
    <sheet name="ResourcesNameLimits" sheetId="10" r:id="rId7"/>
  </sheets>
  <functionGroups builtInGroupCount="19"/>
  <definedNames>
    <definedName name="_xlnm._FilterDatabase" localSheetId="4" hidden="1">Resources!$A$3:$F$134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0" i="5" l="1"/>
  <c r="F192" i="5"/>
  <c r="F184" i="5"/>
  <c r="F176" i="5"/>
  <c r="F168" i="5"/>
  <c r="F160" i="5"/>
  <c r="F152" i="5"/>
  <c r="F144" i="5"/>
  <c r="F136" i="5"/>
  <c r="F128" i="5"/>
  <c r="F120" i="5"/>
  <c r="F112" i="5"/>
  <c r="F104" i="5"/>
  <c r="F96" i="5"/>
  <c r="F88" i="5"/>
  <c r="F80" i="5"/>
  <c r="F72" i="5"/>
  <c r="F64" i="5"/>
  <c r="F56" i="5"/>
  <c r="F48" i="5"/>
  <c r="F40" i="5"/>
  <c r="F32" i="5"/>
  <c r="F24" i="5"/>
  <c r="F16" i="5"/>
  <c r="F101" i="5"/>
  <c r="F69" i="5"/>
  <c r="F37" i="5"/>
  <c r="F21" i="5"/>
  <c r="F12" i="5"/>
  <c r="F171" i="5"/>
  <c r="F131" i="5"/>
  <c r="F75" i="5"/>
  <c r="F27" i="5"/>
  <c r="F199" i="5"/>
  <c r="F191" i="5"/>
  <c r="F183" i="5"/>
  <c r="F175" i="5"/>
  <c r="F167" i="5"/>
  <c r="F159" i="5"/>
  <c r="F151" i="5"/>
  <c r="F143" i="5"/>
  <c r="F135" i="5"/>
  <c r="F127" i="5"/>
  <c r="F119" i="5"/>
  <c r="F111" i="5"/>
  <c r="F103" i="5"/>
  <c r="F95" i="5"/>
  <c r="F87" i="5"/>
  <c r="F79" i="5"/>
  <c r="F71" i="5"/>
  <c r="F63" i="5"/>
  <c r="F55" i="5"/>
  <c r="F47" i="5"/>
  <c r="F39" i="5"/>
  <c r="F31" i="5"/>
  <c r="F23" i="5"/>
  <c r="F15" i="5"/>
  <c r="F109" i="5"/>
  <c r="F85" i="5"/>
  <c r="F53" i="5"/>
  <c r="F29" i="5"/>
  <c r="F20" i="5"/>
  <c r="F179" i="5"/>
  <c r="F155" i="5"/>
  <c r="F107" i="5"/>
  <c r="F51" i="5"/>
  <c r="F198" i="5"/>
  <c r="F190" i="5"/>
  <c r="F182" i="5"/>
  <c r="F174" i="5"/>
  <c r="F166" i="5"/>
  <c r="F158" i="5"/>
  <c r="F150" i="5"/>
  <c r="F142" i="5"/>
  <c r="F134" i="5"/>
  <c r="F126" i="5"/>
  <c r="F118" i="5"/>
  <c r="F110" i="5"/>
  <c r="F102" i="5"/>
  <c r="F94" i="5"/>
  <c r="F86" i="5"/>
  <c r="F78" i="5"/>
  <c r="F70" i="5"/>
  <c r="F62" i="5"/>
  <c r="F54" i="5"/>
  <c r="F46" i="5"/>
  <c r="F38" i="5"/>
  <c r="F30" i="5"/>
  <c r="F22" i="5"/>
  <c r="F14" i="5"/>
  <c r="F93" i="5"/>
  <c r="F77" i="5"/>
  <c r="F45" i="5"/>
  <c r="F36" i="5"/>
  <c r="F195" i="5"/>
  <c r="F147" i="5"/>
  <c r="F91" i="5"/>
  <c r="F35" i="5"/>
  <c r="F197" i="5"/>
  <c r="F189" i="5"/>
  <c r="F181" i="5"/>
  <c r="F173" i="5"/>
  <c r="F165" i="5"/>
  <c r="F157" i="5"/>
  <c r="F149" i="5"/>
  <c r="F141" i="5"/>
  <c r="F133" i="5"/>
  <c r="F125" i="5"/>
  <c r="F117" i="5"/>
  <c r="F61" i="5"/>
  <c r="F13" i="5"/>
  <c r="F187" i="5"/>
  <c r="F139" i="5"/>
  <c r="F83" i="5"/>
  <c r="F196" i="5"/>
  <c r="F188" i="5"/>
  <c r="F180" i="5"/>
  <c r="F172" i="5"/>
  <c r="F164" i="5"/>
  <c r="F156" i="5"/>
  <c r="F148" i="5"/>
  <c r="F140" i="5"/>
  <c r="F132" i="5"/>
  <c r="F124" i="5"/>
  <c r="F116" i="5"/>
  <c r="F108" i="5"/>
  <c r="F100" i="5"/>
  <c r="F92" i="5"/>
  <c r="F84" i="5"/>
  <c r="F76" i="5"/>
  <c r="F68" i="5"/>
  <c r="F60" i="5"/>
  <c r="F52" i="5"/>
  <c r="F44" i="5"/>
  <c r="F28" i="5"/>
  <c r="F163" i="5"/>
  <c r="F115" i="5"/>
  <c r="F59" i="5"/>
  <c r="F194" i="5"/>
  <c r="F186" i="5"/>
  <c r="F178" i="5"/>
  <c r="F170" i="5"/>
  <c r="F162" i="5"/>
  <c r="F154" i="5"/>
  <c r="F146" i="5"/>
  <c r="F138" i="5"/>
  <c r="F130" i="5"/>
  <c r="F122" i="5"/>
  <c r="F114" i="5"/>
  <c r="F106" i="5"/>
  <c r="F98" i="5"/>
  <c r="F90" i="5"/>
  <c r="F82" i="5"/>
  <c r="F74" i="5"/>
  <c r="F66" i="5"/>
  <c r="F58" i="5"/>
  <c r="F50" i="5"/>
  <c r="F42" i="5"/>
  <c r="F34" i="5"/>
  <c r="F26" i="5"/>
  <c r="F18" i="5"/>
  <c r="F57" i="5"/>
  <c r="F41" i="5"/>
  <c r="F25" i="5"/>
  <c r="F99" i="5"/>
  <c r="F43" i="5"/>
  <c r="F193" i="5"/>
  <c r="F185" i="5"/>
  <c r="F177" i="5"/>
  <c r="F169" i="5"/>
  <c r="F161" i="5"/>
  <c r="F153" i="5"/>
  <c r="F145" i="5"/>
  <c r="F137" i="5"/>
  <c r="F129" i="5"/>
  <c r="F121" i="5"/>
  <c r="F113" i="5"/>
  <c r="F105" i="5"/>
  <c r="F97" i="5"/>
  <c r="F89" i="5"/>
  <c r="F81" i="5"/>
  <c r="F73" i="5"/>
  <c r="F65" i="5"/>
  <c r="F49" i="5"/>
  <c r="F33" i="5"/>
  <c r="F17" i="5"/>
  <c r="F123" i="5"/>
  <c r="F67" i="5"/>
  <c r="F19" i="5"/>
  <c r="C52" i="6" l="1"/>
  <c r="C50" i="6"/>
  <c r="C49" i="6"/>
  <c r="C48" i="6"/>
  <c r="C47" i="6"/>
  <c r="C46" i="6"/>
  <c r="C45" i="6"/>
  <c r="C44" i="6"/>
  <c r="C43" i="6"/>
  <c r="C42" i="6"/>
  <c r="C41" i="6"/>
  <c r="C40" i="6"/>
  <c r="C38" i="6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7" i="8"/>
  <c r="E7" i="8"/>
  <c r="D7" i="8"/>
  <c r="F6" i="8"/>
  <c r="E6" i="8"/>
  <c r="D6" i="8"/>
  <c r="F5" i="8"/>
  <c r="E5" i="8"/>
  <c r="D5" i="8"/>
  <c r="F4" i="8"/>
  <c r="E4" i="8"/>
  <c r="D4" i="8"/>
  <c r="F8" i="8"/>
  <c r="E8" i="8"/>
  <c r="D8" i="8"/>
  <c r="I8" i="5"/>
  <c r="R200" i="5"/>
  <c r="Q200" i="5"/>
  <c r="P200" i="5"/>
  <c r="N200" i="5"/>
  <c r="M200" i="5"/>
  <c r="L200" i="5"/>
  <c r="K200" i="5"/>
  <c r="J200" i="5"/>
  <c r="I200" i="5"/>
  <c r="R199" i="5"/>
  <c r="Q199" i="5"/>
  <c r="P199" i="5"/>
  <c r="N199" i="5"/>
  <c r="M199" i="5"/>
  <c r="L199" i="5"/>
  <c r="K199" i="5"/>
  <c r="J199" i="5"/>
  <c r="I199" i="5"/>
  <c r="R198" i="5"/>
  <c r="Q198" i="5"/>
  <c r="P198" i="5"/>
  <c r="N198" i="5"/>
  <c r="M198" i="5"/>
  <c r="L198" i="5"/>
  <c r="K198" i="5"/>
  <c r="J198" i="5"/>
  <c r="I198" i="5"/>
  <c r="R197" i="5"/>
  <c r="Q197" i="5"/>
  <c r="P197" i="5"/>
  <c r="N197" i="5"/>
  <c r="M197" i="5"/>
  <c r="L197" i="5"/>
  <c r="K197" i="5"/>
  <c r="J197" i="5"/>
  <c r="I197" i="5"/>
  <c r="R196" i="5"/>
  <c r="Q196" i="5"/>
  <c r="P196" i="5"/>
  <c r="N196" i="5"/>
  <c r="M196" i="5"/>
  <c r="L196" i="5"/>
  <c r="K196" i="5"/>
  <c r="J196" i="5"/>
  <c r="I196" i="5"/>
  <c r="R195" i="5"/>
  <c r="Q195" i="5"/>
  <c r="P195" i="5"/>
  <c r="N195" i="5"/>
  <c r="M195" i="5"/>
  <c r="L195" i="5"/>
  <c r="K195" i="5"/>
  <c r="J195" i="5"/>
  <c r="I195" i="5"/>
  <c r="R194" i="5"/>
  <c r="Q194" i="5"/>
  <c r="P194" i="5"/>
  <c r="N194" i="5"/>
  <c r="M194" i="5"/>
  <c r="L194" i="5"/>
  <c r="K194" i="5"/>
  <c r="J194" i="5"/>
  <c r="I194" i="5"/>
  <c r="R193" i="5"/>
  <c r="Q193" i="5"/>
  <c r="P193" i="5"/>
  <c r="N193" i="5"/>
  <c r="M193" i="5"/>
  <c r="L193" i="5"/>
  <c r="K193" i="5"/>
  <c r="J193" i="5"/>
  <c r="I193" i="5"/>
  <c r="R192" i="5"/>
  <c r="Q192" i="5"/>
  <c r="P192" i="5"/>
  <c r="N192" i="5"/>
  <c r="M192" i="5"/>
  <c r="L192" i="5"/>
  <c r="K192" i="5"/>
  <c r="J192" i="5"/>
  <c r="I192" i="5"/>
  <c r="R191" i="5"/>
  <c r="Q191" i="5"/>
  <c r="P191" i="5"/>
  <c r="N191" i="5"/>
  <c r="M191" i="5"/>
  <c r="L191" i="5"/>
  <c r="K191" i="5"/>
  <c r="J191" i="5"/>
  <c r="I191" i="5"/>
  <c r="R190" i="5"/>
  <c r="Q190" i="5"/>
  <c r="P190" i="5"/>
  <c r="N190" i="5"/>
  <c r="M190" i="5"/>
  <c r="L190" i="5"/>
  <c r="K190" i="5"/>
  <c r="J190" i="5"/>
  <c r="I190" i="5"/>
  <c r="R189" i="5"/>
  <c r="Q189" i="5"/>
  <c r="P189" i="5"/>
  <c r="N189" i="5"/>
  <c r="M189" i="5"/>
  <c r="L189" i="5"/>
  <c r="K189" i="5"/>
  <c r="J189" i="5"/>
  <c r="I189" i="5"/>
  <c r="R188" i="5"/>
  <c r="Q188" i="5"/>
  <c r="P188" i="5"/>
  <c r="N188" i="5"/>
  <c r="M188" i="5"/>
  <c r="L188" i="5"/>
  <c r="K188" i="5"/>
  <c r="J188" i="5"/>
  <c r="I188" i="5"/>
  <c r="R187" i="5"/>
  <c r="Q187" i="5"/>
  <c r="P187" i="5"/>
  <c r="N187" i="5"/>
  <c r="M187" i="5"/>
  <c r="L187" i="5"/>
  <c r="K187" i="5"/>
  <c r="J187" i="5"/>
  <c r="I187" i="5"/>
  <c r="R186" i="5"/>
  <c r="Q186" i="5"/>
  <c r="P186" i="5"/>
  <c r="N186" i="5"/>
  <c r="M186" i="5"/>
  <c r="L186" i="5"/>
  <c r="K186" i="5"/>
  <c r="J186" i="5"/>
  <c r="I186" i="5"/>
  <c r="R185" i="5"/>
  <c r="Q185" i="5"/>
  <c r="P185" i="5"/>
  <c r="N185" i="5"/>
  <c r="M185" i="5"/>
  <c r="L185" i="5"/>
  <c r="K185" i="5"/>
  <c r="J185" i="5"/>
  <c r="I185" i="5"/>
  <c r="R184" i="5"/>
  <c r="Q184" i="5"/>
  <c r="P184" i="5"/>
  <c r="N184" i="5"/>
  <c r="M184" i="5"/>
  <c r="L184" i="5"/>
  <c r="K184" i="5"/>
  <c r="J184" i="5"/>
  <c r="I184" i="5"/>
  <c r="R183" i="5"/>
  <c r="Q183" i="5"/>
  <c r="P183" i="5"/>
  <c r="N183" i="5"/>
  <c r="M183" i="5"/>
  <c r="L183" i="5"/>
  <c r="K183" i="5"/>
  <c r="J183" i="5"/>
  <c r="I183" i="5"/>
  <c r="R182" i="5"/>
  <c r="Q182" i="5"/>
  <c r="P182" i="5"/>
  <c r="N182" i="5"/>
  <c r="M182" i="5"/>
  <c r="L182" i="5"/>
  <c r="K182" i="5"/>
  <c r="J182" i="5"/>
  <c r="I182" i="5"/>
  <c r="R181" i="5"/>
  <c r="Q181" i="5"/>
  <c r="P181" i="5"/>
  <c r="N181" i="5"/>
  <c r="M181" i="5"/>
  <c r="L181" i="5"/>
  <c r="K181" i="5"/>
  <c r="J181" i="5"/>
  <c r="I181" i="5"/>
  <c r="R180" i="5"/>
  <c r="Q180" i="5"/>
  <c r="P180" i="5"/>
  <c r="N180" i="5"/>
  <c r="M180" i="5"/>
  <c r="L180" i="5"/>
  <c r="K180" i="5"/>
  <c r="J180" i="5"/>
  <c r="I180" i="5"/>
  <c r="R179" i="5"/>
  <c r="Q179" i="5"/>
  <c r="P179" i="5"/>
  <c r="N179" i="5"/>
  <c r="M179" i="5"/>
  <c r="L179" i="5"/>
  <c r="K179" i="5"/>
  <c r="J179" i="5"/>
  <c r="I179" i="5"/>
  <c r="R178" i="5"/>
  <c r="Q178" i="5"/>
  <c r="P178" i="5"/>
  <c r="N178" i="5"/>
  <c r="M178" i="5"/>
  <c r="L178" i="5"/>
  <c r="K178" i="5"/>
  <c r="J178" i="5"/>
  <c r="I178" i="5"/>
  <c r="R177" i="5"/>
  <c r="Q177" i="5"/>
  <c r="P177" i="5"/>
  <c r="N177" i="5"/>
  <c r="M177" i="5"/>
  <c r="L177" i="5"/>
  <c r="K177" i="5"/>
  <c r="J177" i="5"/>
  <c r="I177" i="5"/>
  <c r="R176" i="5"/>
  <c r="Q176" i="5"/>
  <c r="P176" i="5"/>
  <c r="N176" i="5"/>
  <c r="M176" i="5"/>
  <c r="L176" i="5"/>
  <c r="K176" i="5"/>
  <c r="J176" i="5"/>
  <c r="I176" i="5"/>
  <c r="R175" i="5"/>
  <c r="Q175" i="5"/>
  <c r="P175" i="5"/>
  <c r="N175" i="5"/>
  <c r="M175" i="5"/>
  <c r="L175" i="5"/>
  <c r="K175" i="5"/>
  <c r="J175" i="5"/>
  <c r="I175" i="5"/>
  <c r="R174" i="5"/>
  <c r="Q174" i="5"/>
  <c r="P174" i="5"/>
  <c r="N174" i="5"/>
  <c r="M174" i="5"/>
  <c r="L174" i="5"/>
  <c r="K174" i="5"/>
  <c r="J174" i="5"/>
  <c r="I174" i="5"/>
  <c r="R173" i="5"/>
  <c r="Q173" i="5"/>
  <c r="P173" i="5"/>
  <c r="N173" i="5"/>
  <c r="M173" i="5"/>
  <c r="L173" i="5"/>
  <c r="K173" i="5"/>
  <c r="J173" i="5"/>
  <c r="I173" i="5"/>
  <c r="R172" i="5"/>
  <c r="Q172" i="5"/>
  <c r="P172" i="5"/>
  <c r="N172" i="5"/>
  <c r="M172" i="5"/>
  <c r="L172" i="5"/>
  <c r="K172" i="5"/>
  <c r="J172" i="5"/>
  <c r="I172" i="5"/>
  <c r="R171" i="5"/>
  <c r="Q171" i="5"/>
  <c r="P171" i="5"/>
  <c r="N171" i="5"/>
  <c r="M171" i="5"/>
  <c r="L171" i="5"/>
  <c r="K171" i="5"/>
  <c r="J171" i="5"/>
  <c r="I171" i="5"/>
  <c r="R170" i="5"/>
  <c r="Q170" i="5"/>
  <c r="P170" i="5"/>
  <c r="N170" i="5"/>
  <c r="M170" i="5"/>
  <c r="L170" i="5"/>
  <c r="K170" i="5"/>
  <c r="J170" i="5"/>
  <c r="I170" i="5"/>
  <c r="R169" i="5"/>
  <c r="Q169" i="5"/>
  <c r="P169" i="5"/>
  <c r="N169" i="5"/>
  <c r="M169" i="5"/>
  <c r="L169" i="5"/>
  <c r="K169" i="5"/>
  <c r="J169" i="5"/>
  <c r="I169" i="5"/>
  <c r="R168" i="5"/>
  <c r="Q168" i="5"/>
  <c r="P168" i="5"/>
  <c r="N168" i="5"/>
  <c r="M168" i="5"/>
  <c r="L168" i="5"/>
  <c r="K168" i="5"/>
  <c r="J168" i="5"/>
  <c r="I168" i="5"/>
  <c r="R167" i="5"/>
  <c r="Q167" i="5"/>
  <c r="P167" i="5"/>
  <c r="N167" i="5"/>
  <c r="M167" i="5"/>
  <c r="L167" i="5"/>
  <c r="K167" i="5"/>
  <c r="J167" i="5"/>
  <c r="I167" i="5"/>
  <c r="R166" i="5"/>
  <c r="Q166" i="5"/>
  <c r="P166" i="5"/>
  <c r="N166" i="5"/>
  <c r="M166" i="5"/>
  <c r="L166" i="5"/>
  <c r="K166" i="5"/>
  <c r="J166" i="5"/>
  <c r="I166" i="5"/>
  <c r="R165" i="5"/>
  <c r="Q165" i="5"/>
  <c r="P165" i="5"/>
  <c r="N165" i="5"/>
  <c r="M165" i="5"/>
  <c r="L165" i="5"/>
  <c r="K165" i="5"/>
  <c r="J165" i="5"/>
  <c r="I165" i="5"/>
  <c r="R164" i="5"/>
  <c r="Q164" i="5"/>
  <c r="P164" i="5"/>
  <c r="N164" i="5"/>
  <c r="M164" i="5"/>
  <c r="L164" i="5"/>
  <c r="K164" i="5"/>
  <c r="J164" i="5"/>
  <c r="I164" i="5"/>
  <c r="R163" i="5"/>
  <c r="Q163" i="5"/>
  <c r="P163" i="5"/>
  <c r="N163" i="5"/>
  <c r="M163" i="5"/>
  <c r="L163" i="5"/>
  <c r="K163" i="5"/>
  <c r="J163" i="5"/>
  <c r="I163" i="5"/>
  <c r="R162" i="5"/>
  <c r="Q162" i="5"/>
  <c r="P162" i="5"/>
  <c r="N162" i="5"/>
  <c r="M162" i="5"/>
  <c r="L162" i="5"/>
  <c r="K162" i="5"/>
  <c r="J162" i="5"/>
  <c r="I162" i="5"/>
  <c r="R161" i="5"/>
  <c r="Q161" i="5"/>
  <c r="P161" i="5"/>
  <c r="N161" i="5"/>
  <c r="M161" i="5"/>
  <c r="L161" i="5"/>
  <c r="K161" i="5"/>
  <c r="J161" i="5"/>
  <c r="I161" i="5"/>
  <c r="R160" i="5"/>
  <c r="Q160" i="5"/>
  <c r="P160" i="5"/>
  <c r="N160" i="5"/>
  <c r="M160" i="5"/>
  <c r="L160" i="5"/>
  <c r="K160" i="5"/>
  <c r="J160" i="5"/>
  <c r="I160" i="5"/>
  <c r="R159" i="5"/>
  <c r="Q159" i="5"/>
  <c r="P159" i="5"/>
  <c r="N159" i="5"/>
  <c r="M159" i="5"/>
  <c r="L159" i="5"/>
  <c r="K159" i="5"/>
  <c r="J159" i="5"/>
  <c r="I159" i="5"/>
  <c r="R158" i="5"/>
  <c r="Q158" i="5"/>
  <c r="P158" i="5"/>
  <c r="N158" i="5"/>
  <c r="M158" i="5"/>
  <c r="L158" i="5"/>
  <c r="K158" i="5"/>
  <c r="J158" i="5"/>
  <c r="I158" i="5"/>
  <c r="R157" i="5"/>
  <c r="Q157" i="5"/>
  <c r="P157" i="5"/>
  <c r="N157" i="5"/>
  <c r="M157" i="5"/>
  <c r="L157" i="5"/>
  <c r="K157" i="5"/>
  <c r="J157" i="5"/>
  <c r="I157" i="5"/>
  <c r="R156" i="5"/>
  <c r="Q156" i="5"/>
  <c r="P156" i="5"/>
  <c r="N156" i="5"/>
  <c r="M156" i="5"/>
  <c r="L156" i="5"/>
  <c r="K156" i="5"/>
  <c r="J156" i="5"/>
  <c r="I156" i="5"/>
  <c r="R155" i="5"/>
  <c r="Q155" i="5"/>
  <c r="P155" i="5"/>
  <c r="N155" i="5"/>
  <c r="M155" i="5"/>
  <c r="L155" i="5"/>
  <c r="K155" i="5"/>
  <c r="J155" i="5"/>
  <c r="I155" i="5"/>
  <c r="R154" i="5"/>
  <c r="Q154" i="5"/>
  <c r="P154" i="5"/>
  <c r="N154" i="5"/>
  <c r="M154" i="5"/>
  <c r="L154" i="5"/>
  <c r="K154" i="5"/>
  <c r="J154" i="5"/>
  <c r="I154" i="5"/>
  <c r="R153" i="5"/>
  <c r="Q153" i="5"/>
  <c r="P153" i="5"/>
  <c r="N153" i="5"/>
  <c r="M153" i="5"/>
  <c r="L153" i="5"/>
  <c r="K153" i="5"/>
  <c r="J153" i="5"/>
  <c r="I153" i="5"/>
  <c r="R152" i="5"/>
  <c r="Q152" i="5"/>
  <c r="P152" i="5"/>
  <c r="N152" i="5"/>
  <c r="M152" i="5"/>
  <c r="L152" i="5"/>
  <c r="K152" i="5"/>
  <c r="J152" i="5"/>
  <c r="I152" i="5"/>
  <c r="R151" i="5"/>
  <c r="Q151" i="5"/>
  <c r="P151" i="5"/>
  <c r="N151" i="5"/>
  <c r="M151" i="5"/>
  <c r="L151" i="5"/>
  <c r="K151" i="5"/>
  <c r="J151" i="5"/>
  <c r="I151" i="5"/>
  <c r="R150" i="5"/>
  <c r="Q150" i="5"/>
  <c r="P150" i="5"/>
  <c r="N150" i="5"/>
  <c r="M150" i="5"/>
  <c r="L150" i="5"/>
  <c r="K150" i="5"/>
  <c r="J150" i="5"/>
  <c r="I150" i="5"/>
  <c r="R149" i="5"/>
  <c r="Q149" i="5"/>
  <c r="P149" i="5"/>
  <c r="N149" i="5"/>
  <c r="M149" i="5"/>
  <c r="L149" i="5"/>
  <c r="K149" i="5"/>
  <c r="J149" i="5"/>
  <c r="I149" i="5"/>
  <c r="R148" i="5"/>
  <c r="Q148" i="5"/>
  <c r="P148" i="5"/>
  <c r="N148" i="5"/>
  <c r="M148" i="5"/>
  <c r="L148" i="5"/>
  <c r="K148" i="5"/>
  <c r="J148" i="5"/>
  <c r="I148" i="5"/>
  <c r="R147" i="5"/>
  <c r="Q147" i="5"/>
  <c r="P147" i="5"/>
  <c r="N147" i="5"/>
  <c r="M147" i="5"/>
  <c r="L147" i="5"/>
  <c r="K147" i="5"/>
  <c r="J147" i="5"/>
  <c r="I147" i="5"/>
  <c r="R146" i="5"/>
  <c r="Q146" i="5"/>
  <c r="P146" i="5"/>
  <c r="N146" i="5"/>
  <c r="M146" i="5"/>
  <c r="L146" i="5"/>
  <c r="K146" i="5"/>
  <c r="J146" i="5"/>
  <c r="I146" i="5"/>
  <c r="R145" i="5"/>
  <c r="Q145" i="5"/>
  <c r="P145" i="5"/>
  <c r="N145" i="5"/>
  <c r="M145" i="5"/>
  <c r="L145" i="5"/>
  <c r="K145" i="5"/>
  <c r="J145" i="5"/>
  <c r="I145" i="5"/>
  <c r="R144" i="5"/>
  <c r="Q144" i="5"/>
  <c r="P144" i="5"/>
  <c r="N144" i="5"/>
  <c r="M144" i="5"/>
  <c r="L144" i="5"/>
  <c r="K144" i="5"/>
  <c r="J144" i="5"/>
  <c r="I144" i="5"/>
  <c r="R143" i="5"/>
  <c r="Q143" i="5"/>
  <c r="P143" i="5"/>
  <c r="N143" i="5"/>
  <c r="M143" i="5"/>
  <c r="L143" i="5"/>
  <c r="K143" i="5"/>
  <c r="J143" i="5"/>
  <c r="I143" i="5"/>
  <c r="R142" i="5"/>
  <c r="Q142" i="5"/>
  <c r="P142" i="5"/>
  <c r="N142" i="5"/>
  <c r="M142" i="5"/>
  <c r="L142" i="5"/>
  <c r="K142" i="5"/>
  <c r="J142" i="5"/>
  <c r="I142" i="5"/>
  <c r="R141" i="5"/>
  <c r="Q141" i="5"/>
  <c r="P141" i="5"/>
  <c r="N141" i="5"/>
  <c r="M141" i="5"/>
  <c r="L141" i="5"/>
  <c r="K141" i="5"/>
  <c r="J141" i="5"/>
  <c r="I141" i="5"/>
  <c r="R140" i="5"/>
  <c r="Q140" i="5"/>
  <c r="P140" i="5"/>
  <c r="N140" i="5"/>
  <c r="M140" i="5"/>
  <c r="L140" i="5"/>
  <c r="K140" i="5"/>
  <c r="J140" i="5"/>
  <c r="I140" i="5"/>
  <c r="R139" i="5"/>
  <c r="Q139" i="5"/>
  <c r="P139" i="5"/>
  <c r="N139" i="5"/>
  <c r="M139" i="5"/>
  <c r="L139" i="5"/>
  <c r="K139" i="5"/>
  <c r="J139" i="5"/>
  <c r="I139" i="5"/>
  <c r="R138" i="5"/>
  <c r="Q138" i="5"/>
  <c r="P138" i="5"/>
  <c r="N138" i="5"/>
  <c r="M138" i="5"/>
  <c r="L138" i="5"/>
  <c r="K138" i="5"/>
  <c r="J138" i="5"/>
  <c r="I138" i="5"/>
  <c r="R137" i="5"/>
  <c r="Q137" i="5"/>
  <c r="P137" i="5"/>
  <c r="N137" i="5"/>
  <c r="M137" i="5"/>
  <c r="L137" i="5"/>
  <c r="K137" i="5"/>
  <c r="J137" i="5"/>
  <c r="I137" i="5"/>
  <c r="R136" i="5"/>
  <c r="Q136" i="5"/>
  <c r="P136" i="5"/>
  <c r="N136" i="5"/>
  <c r="M136" i="5"/>
  <c r="L136" i="5"/>
  <c r="K136" i="5"/>
  <c r="J136" i="5"/>
  <c r="I136" i="5"/>
  <c r="R135" i="5"/>
  <c r="Q135" i="5"/>
  <c r="P135" i="5"/>
  <c r="N135" i="5"/>
  <c r="M135" i="5"/>
  <c r="L135" i="5"/>
  <c r="K135" i="5"/>
  <c r="J135" i="5"/>
  <c r="I135" i="5"/>
  <c r="R134" i="5"/>
  <c r="Q134" i="5"/>
  <c r="P134" i="5"/>
  <c r="N134" i="5"/>
  <c r="M134" i="5"/>
  <c r="L134" i="5"/>
  <c r="K134" i="5"/>
  <c r="J134" i="5"/>
  <c r="I134" i="5"/>
  <c r="R133" i="5"/>
  <c r="Q133" i="5"/>
  <c r="P133" i="5"/>
  <c r="N133" i="5"/>
  <c r="M133" i="5"/>
  <c r="L133" i="5"/>
  <c r="K133" i="5"/>
  <c r="J133" i="5"/>
  <c r="I133" i="5"/>
  <c r="R132" i="5"/>
  <c r="Q132" i="5"/>
  <c r="P132" i="5"/>
  <c r="N132" i="5"/>
  <c r="M132" i="5"/>
  <c r="L132" i="5"/>
  <c r="K132" i="5"/>
  <c r="J132" i="5"/>
  <c r="I132" i="5"/>
  <c r="R131" i="5"/>
  <c r="Q131" i="5"/>
  <c r="P131" i="5"/>
  <c r="N131" i="5"/>
  <c r="M131" i="5"/>
  <c r="L131" i="5"/>
  <c r="K131" i="5"/>
  <c r="J131" i="5"/>
  <c r="I131" i="5"/>
  <c r="R130" i="5"/>
  <c r="Q130" i="5"/>
  <c r="P130" i="5"/>
  <c r="N130" i="5"/>
  <c r="M130" i="5"/>
  <c r="L130" i="5"/>
  <c r="K130" i="5"/>
  <c r="J130" i="5"/>
  <c r="I130" i="5"/>
  <c r="R129" i="5"/>
  <c r="Q129" i="5"/>
  <c r="P129" i="5"/>
  <c r="N129" i="5"/>
  <c r="M129" i="5"/>
  <c r="L129" i="5"/>
  <c r="K129" i="5"/>
  <c r="J129" i="5"/>
  <c r="I129" i="5"/>
  <c r="R128" i="5"/>
  <c r="Q128" i="5"/>
  <c r="P128" i="5"/>
  <c r="N128" i="5"/>
  <c r="M128" i="5"/>
  <c r="L128" i="5"/>
  <c r="K128" i="5"/>
  <c r="J128" i="5"/>
  <c r="I128" i="5"/>
  <c r="R127" i="5"/>
  <c r="Q127" i="5"/>
  <c r="P127" i="5"/>
  <c r="N127" i="5"/>
  <c r="M127" i="5"/>
  <c r="L127" i="5"/>
  <c r="K127" i="5"/>
  <c r="J127" i="5"/>
  <c r="I127" i="5"/>
  <c r="R126" i="5"/>
  <c r="Q126" i="5"/>
  <c r="P126" i="5"/>
  <c r="N126" i="5"/>
  <c r="M126" i="5"/>
  <c r="L126" i="5"/>
  <c r="K126" i="5"/>
  <c r="J126" i="5"/>
  <c r="I126" i="5"/>
  <c r="R125" i="5"/>
  <c r="Q125" i="5"/>
  <c r="P125" i="5"/>
  <c r="N125" i="5"/>
  <c r="M125" i="5"/>
  <c r="L125" i="5"/>
  <c r="K125" i="5"/>
  <c r="J125" i="5"/>
  <c r="I125" i="5"/>
  <c r="R124" i="5"/>
  <c r="Q124" i="5"/>
  <c r="P124" i="5"/>
  <c r="N124" i="5"/>
  <c r="M124" i="5"/>
  <c r="L124" i="5"/>
  <c r="K124" i="5"/>
  <c r="J124" i="5"/>
  <c r="I124" i="5"/>
  <c r="R123" i="5"/>
  <c r="Q123" i="5"/>
  <c r="P123" i="5"/>
  <c r="N123" i="5"/>
  <c r="M123" i="5"/>
  <c r="L123" i="5"/>
  <c r="K123" i="5"/>
  <c r="J123" i="5"/>
  <c r="I123" i="5"/>
  <c r="R122" i="5"/>
  <c r="Q122" i="5"/>
  <c r="P122" i="5"/>
  <c r="N122" i="5"/>
  <c r="M122" i="5"/>
  <c r="L122" i="5"/>
  <c r="K122" i="5"/>
  <c r="J122" i="5"/>
  <c r="I122" i="5"/>
  <c r="R121" i="5"/>
  <c r="Q121" i="5"/>
  <c r="P121" i="5"/>
  <c r="N121" i="5"/>
  <c r="M121" i="5"/>
  <c r="L121" i="5"/>
  <c r="K121" i="5"/>
  <c r="J121" i="5"/>
  <c r="I121" i="5"/>
  <c r="R120" i="5"/>
  <c r="Q120" i="5"/>
  <c r="P120" i="5"/>
  <c r="N120" i="5"/>
  <c r="M120" i="5"/>
  <c r="L120" i="5"/>
  <c r="K120" i="5"/>
  <c r="J120" i="5"/>
  <c r="I120" i="5"/>
  <c r="R119" i="5"/>
  <c r="Q119" i="5"/>
  <c r="P119" i="5"/>
  <c r="N119" i="5"/>
  <c r="M119" i="5"/>
  <c r="L119" i="5"/>
  <c r="K119" i="5"/>
  <c r="J119" i="5"/>
  <c r="I119" i="5"/>
  <c r="R118" i="5"/>
  <c r="Q118" i="5"/>
  <c r="P118" i="5"/>
  <c r="N118" i="5"/>
  <c r="M118" i="5"/>
  <c r="L118" i="5"/>
  <c r="K118" i="5"/>
  <c r="J118" i="5"/>
  <c r="I118" i="5"/>
  <c r="R117" i="5"/>
  <c r="Q117" i="5"/>
  <c r="P117" i="5"/>
  <c r="N117" i="5"/>
  <c r="M117" i="5"/>
  <c r="L117" i="5"/>
  <c r="K117" i="5"/>
  <c r="J117" i="5"/>
  <c r="I117" i="5"/>
  <c r="R116" i="5"/>
  <c r="Q116" i="5"/>
  <c r="P116" i="5"/>
  <c r="N116" i="5"/>
  <c r="M116" i="5"/>
  <c r="L116" i="5"/>
  <c r="K116" i="5"/>
  <c r="J116" i="5"/>
  <c r="I116" i="5"/>
  <c r="R115" i="5"/>
  <c r="Q115" i="5"/>
  <c r="P115" i="5"/>
  <c r="N115" i="5"/>
  <c r="M115" i="5"/>
  <c r="L115" i="5"/>
  <c r="K115" i="5"/>
  <c r="J115" i="5"/>
  <c r="I115" i="5"/>
  <c r="R114" i="5"/>
  <c r="Q114" i="5"/>
  <c r="P114" i="5"/>
  <c r="N114" i="5"/>
  <c r="M114" i="5"/>
  <c r="L114" i="5"/>
  <c r="K114" i="5"/>
  <c r="J114" i="5"/>
  <c r="I114" i="5"/>
  <c r="R113" i="5"/>
  <c r="Q113" i="5"/>
  <c r="P113" i="5"/>
  <c r="N113" i="5"/>
  <c r="M113" i="5"/>
  <c r="L113" i="5"/>
  <c r="K113" i="5"/>
  <c r="J113" i="5"/>
  <c r="I113" i="5"/>
  <c r="R112" i="5"/>
  <c r="Q112" i="5"/>
  <c r="P112" i="5"/>
  <c r="N112" i="5"/>
  <c r="M112" i="5"/>
  <c r="L112" i="5"/>
  <c r="K112" i="5"/>
  <c r="J112" i="5"/>
  <c r="I112" i="5"/>
  <c r="R111" i="5"/>
  <c r="Q111" i="5"/>
  <c r="P111" i="5"/>
  <c r="N111" i="5"/>
  <c r="M111" i="5"/>
  <c r="L111" i="5"/>
  <c r="K111" i="5"/>
  <c r="J111" i="5"/>
  <c r="I111" i="5"/>
  <c r="R110" i="5"/>
  <c r="Q110" i="5"/>
  <c r="P110" i="5"/>
  <c r="N110" i="5"/>
  <c r="M110" i="5"/>
  <c r="L110" i="5"/>
  <c r="K110" i="5"/>
  <c r="J110" i="5"/>
  <c r="I110" i="5"/>
  <c r="R109" i="5"/>
  <c r="Q109" i="5"/>
  <c r="P109" i="5"/>
  <c r="N109" i="5"/>
  <c r="M109" i="5"/>
  <c r="L109" i="5"/>
  <c r="K109" i="5"/>
  <c r="J109" i="5"/>
  <c r="I109" i="5"/>
  <c r="R108" i="5"/>
  <c r="Q108" i="5"/>
  <c r="P108" i="5"/>
  <c r="N108" i="5"/>
  <c r="M108" i="5"/>
  <c r="L108" i="5"/>
  <c r="K108" i="5"/>
  <c r="J108" i="5"/>
  <c r="I108" i="5"/>
  <c r="R107" i="5"/>
  <c r="Q107" i="5"/>
  <c r="P107" i="5"/>
  <c r="N107" i="5"/>
  <c r="M107" i="5"/>
  <c r="L107" i="5"/>
  <c r="K107" i="5"/>
  <c r="J107" i="5"/>
  <c r="I107" i="5"/>
  <c r="R106" i="5"/>
  <c r="Q106" i="5"/>
  <c r="P106" i="5"/>
  <c r="N106" i="5"/>
  <c r="M106" i="5"/>
  <c r="L106" i="5"/>
  <c r="K106" i="5"/>
  <c r="J106" i="5"/>
  <c r="I106" i="5"/>
  <c r="R105" i="5"/>
  <c r="Q105" i="5"/>
  <c r="P105" i="5"/>
  <c r="N105" i="5"/>
  <c r="M105" i="5"/>
  <c r="L105" i="5"/>
  <c r="K105" i="5"/>
  <c r="J105" i="5"/>
  <c r="I105" i="5"/>
  <c r="R104" i="5"/>
  <c r="Q104" i="5"/>
  <c r="P104" i="5"/>
  <c r="N104" i="5"/>
  <c r="M104" i="5"/>
  <c r="L104" i="5"/>
  <c r="K104" i="5"/>
  <c r="J104" i="5"/>
  <c r="I104" i="5"/>
  <c r="R103" i="5"/>
  <c r="Q103" i="5"/>
  <c r="P103" i="5"/>
  <c r="N103" i="5"/>
  <c r="M103" i="5"/>
  <c r="L103" i="5"/>
  <c r="K103" i="5"/>
  <c r="J103" i="5"/>
  <c r="I103" i="5"/>
  <c r="R102" i="5"/>
  <c r="Q102" i="5"/>
  <c r="P102" i="5"/>
  <c r="N102" i="5"/>
  <c r="M102" i="5"/>
  <c r="L102" i="5"/>
  <c r="K102" i="5"/>
  <c r="J102" i="5"/>
  <c r="I102" i="5"/>
  <c r="R101" i="5"/>
  <c r="Q101" i="5"/>
  <c r="P101" i="5"/>
  <c r="N101" i="5"/>
  <c r="M101" i="5"/>
  <c r="L101" i="5"/>
  <c r="K101" i="5"/>
  <c r="J101" i="5"/>
  <c r="I101" i="5"/>
  <c r="R100" i="5"/>
  <c r="Q100" i="5"/>
  <c r="P100" i="5"/>
  <c r="N100" i="5"/>
  <c r="M100" i="5"/>
  <c r="L100" i="5"/>
  <c r="K100" i="5"/>
  <c r="J100" i="5"/>
  <c r="I100" i="5"/>
  <c r="R99" i="5"/>
  <c r="Q99" i="5"/>
  <c r="P99" i="5"/>
  <c r="N99" i="5"/>
  <c r="M99" i="5"/>
  <c r="L99" i="5"/>
  <c r="K99" i="5"/>
  <c r="J99" i="5"/>
  <c r="I99" i="5"/>
  <c r="R98" i="5"/>
  <c r="Q98" i="5"/>
  <c r="P98" i="5"/>
  <c r="N98" i="5"/>
  <c r="M98" i="5"/>
  <c r="L98" i="5"/>
  <c r="K98" i="5"/>
  <c r="J98" i="5"/>
  <c r="I98" i="5"/>
  <c r="R97" i="5"/>
  <c r="Q97" i="5"/>
  <c r="P97" i="5"/>
  <c r="N97" i="5"/>
  <c r="M97" i="5"/>
  <c r="L97" i="5"/>
  <c r="K97" i="5"/>
  <c r="J97" i="5"/>
  <c r="I97" i="5"/>
  <c r="R96" i="5"/>
  <c r="Q96" i="5"/>
  <c r="P96" i="5"/>
  <c r="N96" i="5"/>
  <c r="M96" i="5"/>
  <c r="L96" i="5"/>
  <c r="K96" i="5"/>
  <c r="J96" i="5"/>
  <c r="I96" i="5"/>
  <c r="R95" i="5"/>
  <c r="Q95" i="5"/>
  <c r="P95" i="5"/>
  <c r="N95" i="5"/>
  <c r="M95" i="5"/>
  <c r="L95" i="5"/>
  <c r="K95" i="5"/>
  <c r="J95" i="5"/>
  <c r="I95" i="5"/>
  <c r="R94" i="5"/>
  <c r="Q94" i="5"/>
  <c r="P94" i="5"/>
  <c r="N94" i="5"/>
  <c r="M94" i="5"/>
  <c r="L94" i="5"/>
  <c r="K94" i="5"/>
  <c r="J94" i="5"/>
  <c r="I94" i="5"/>
  <c r="R93" i="5"/>
  <c r="Q93" i="5"/>
  <c r="P93" i="5"/>
  <c r="N93" i="5"/>
  <c r="M93" i="5"/>
  <c r="L93" i="5"/>
  <c r="K93" i="5"/>
  <c r="J93" i="5"/>
  <c r="I93" i="5"/>
  <c r="R92" i="5"/>
  <c r="Q92" i="5"/>
  <c r="P92" i="5"/>
  <c r="N92" i="5"/>
  <c r="M92" i="5"/>
  <c r="L92" i="5"/>
  <c r="K92" i="5"/>
  <c r="J92" i="5"/>
  <c r="I92" i="5"/>
  <c r="R91" i="5"/>
  <c r="Q91" i="5"/>
  <c r="P91" i="5"/>
  <c r="N91" i="5"/>
  <c r="M91" i="5"/>
  <c r="L91" i="5"/>
  <c r="K91" i="5"/>
  <c r="J91" i="5"/>
  <c r="I91" i="5"/>
  <c r="R90" i="5"/>
  <c r="Q90" i="5"/>
  <c r="P90" i="5"/>
  <c r="N90" i="5"/>
  <c r="M90" i="5"/>
  <c r="L90" i="5"/>
  <c r="K90" i="5"/>
  <c r="J90" i="5"/>
  <c r="I90" i="5"/>
  <c r="R89" i="5"/>
  <c r="Q89" i="5"/>
  <c r="P89" i="5"/>
  <c r="N89" i="5"/>
  <c r="M89" i="5"/>
  <c r="L89" i="5"/>
  <c r="K89" i="5"/>
  <c r="J89" i="5"/>
  <c r="I89" i="5"/>
  <c r="R88" i="5"/>
  <c r="Q88" i="5"/>
  <c r="P88" i="5"/>
  <c r="N88" i="5"/>
  <c r="M88" i="5"/>
  <c r="L88" i="5"/>
  <c r="K88" i="5"/>
  <c r="J88" i="5"/>
  <c r="I88" i="5"/>
  <c r="R87" i="5"/>
  <c r="Q87" i="5"/>
  <c r="P87" i="5"/>
  <c r="N87" i="5"/>
  <c r="M87" i="5"/>
  <c r="L87" i="5"/>
  <c r="K87" i="5"/>
  <c r="J87" i="5"/>
  <c r="I87" i="5"/>
  <c r="R86" i="5"/>
  <c r="Q86" i="5"/>
  <c r="P86" i="5"/>
  <c r="N86" i="5"/>
  <c r="M86" i="5"/>
  <c r="L86" i="5"/>
  <c r="K86" i="5"/>
  <c r="J86" i="5"/>
  <c r="I86" i="5"/>
  <c r="R85" i="5"/>
  <c r="Q85" i="5"/>
  <c r="P85" i="5"/>
  <c r="N85" i="5"/>
  <c r="M85" i="5"/>
  <c r="L85" i="5"/>
  <c r="K85" i="5"/>
  <c r="J85" i="5"/>
  <c r="I85" i="5"/>
  <c r="R84" i="5"/>
  <c r="Q84" i="5"/>
  <c r="P84" i="5"/>
  <c r="N84" i="5"/>
  <c r="M84" i="5"/>
  <c r="L84" i="5"/>
  <c r="K84" i="5"/>
  <c r="J84" i="5"/>
  <c r="I84" i="5"/>
  <c r="R83" i="5"/>
  <c r="Q83" i="5"/>
  <c r="P83" i="5"/>
  <c r="N83" i="5"/>
  <c r="M83" i="5"/>
  <c r="L83" i="5"/>
  <c r="K83" i="5"/>
  <c r="J83" i="5"/>
  <c r="I83" i="5"/>
  <c r="R82" i="5"/>
  <c r="Q82" i="5"/>
  <c r="P82" i="5"/>
  <c r="N82" i="5"/>
  <c r="M82" i="5"/>
  <c r="L82" i="5"/>
  <c r="K82" i="5"/>
  <c r="J82" i="5"/>
  <c r="I82" i="5"/>
  <c r="R81" i="5"/>
  <c r="Q81" i="5"/>
  <c r="P81" i="5"/>
  <c r="N81" i="5"/>
  <c r="M81" i="5"/>
  <c r="L81" i="5"/>
  <c r="K81" i="5"/>
  <c r="J81" i="5"/>
  <c r="I81" i="5"/>
  <c r="R80" i="5"/>
  <c r="Q80" i="5"/>
  <c r="P80" i="5"/>
  <c r="N80" i="5"/>
  <c r="M80" i="5"/>
  <c r="L80" i="5"/>
  <c r="K80" i="5"/>
  <c r="J80" i="5"/>
  <c r="I80" i="5"/>
  <c r="R79" i="5"/>
  <c r="Q79" i="5"/>
  <c r="P79" i="5"/>
  <c r="N79" i="5"/>
  <c r="M79" i="5"/>
  <c r="L79" i="5"/>
  <c r="K79" i="5"/>
  <c r="J79" i="5"/>
  <c r="I79" i="5"/>
  <c r="R78" i="5"/>
  <c r="Q78" i="5"/>
  <c r="P78" i="5"/>
  <c r="N78" i="5"/>
  <c r="M78" i="5"/>
  <c r="L78" i="5"/>
  <c r="K78" i="5"/>
  <c r="J78" i="5"/>
  <c r="I78" i="5"/>
  <c r="R77" i="5"/>
  <c r="Q77" i="5"/>
  <c r="P77" i="5"/>
  <c r="N77" i="5"/>
  <c r="M77" i="5"/>
  <c r="L77" i="5"/>
  <c r="K77" i="5"/>
  <c r="J77" i="5"/>
  <c r="I77" i="5"/>
  <c r="R76" i="5"/>
  <c r="Q76" i="5"/>
  <c r="P76" i="5"/>
  <c r="N76" i="5"/>
  <c r="M76" i="5"/>
  <c r="L76" i="5"/>
  <c r="K76" i="5"/>
  <c r="J76" i="5"/>
  <c r="I76" i="5"/>
  <c r="R75" i="5"/>
  <c r="Q75" i="5"/>
  <c r="P75" i="5"/>
  <c r="N75" i="5"/>
  <c r="M75" i="5"/>
  <c r="L75" i="5"/>
  <c r="K75" i="5"/>
  <c r="J75" i="5"/>
  <c r="I75" i="5"/>
  <c r="R74" i="5"/>
  <c r="Q74" i="5"/>
  <c r="P74" i="5"/>
  <c r="N74" i="5"/>
  <c r="M74" i="5"/>
  <c r="L74" i="5"/>
  <c r="K74" i="5"/>
  <c r="J74" i="5"/>
  <c r="I74" i="5"/>
  <c r="R73" i="5"/>
  <c r="Q73" i="5"/>
  <c r="P73" i="5"/>
  <c r="N73" i="5"/>
  <c r="M73" i="5"/>
  <c r="L73" i="5"/>
  <c r="K73" i="5"/>
  <c r="J73" i="5"/>
  <c r="I73" i="5"/>
  <c r="R72" i="5"/>
  <c r="Q72" i="5"/>
  <c r="P72" i="5"/>
  <c r="N72" i="5"/>
  <c r="M72" i="5"/>
  <c r="L72" i="5"/>
  <c r="K72" i="5"/>
  <c r="J72" i="5"/>
  <c r="I72" i="5"/>
  <c r="R71" i="5"/>
  <c r="Q71" i="5"/>
  <c r="P71" i="5"/>
  <c r="N71" i="5"/>
  <c r="M71" i="5"/>
  <c r="L71" i="5"/>
  <c r="K71" i="5"/>
  <c r="J71" i="5"/>
  <c r="I71" i="5"/>
  <c r="R70" i="5"/>
  <c r="Q70" i="5"/>
  <c r="P70" i="5"/>
  <c r="N70" i="5"/>
  <c r="M70" i="5"/>
  <c r="L70" i="5"/>
  <c r="K70" i="5"/>
  <c r="J70" i="5"/>
  <c r="I70" i="5"/>
  <c r="R69" i="5"/>
  <c r="Q69" i="5"/>
  <c r="P69" i="5"/>
  <c r="N69" i="5"/>
  <c r="M69" i="5"/>
  <c r="L69" i="5"/>
  <c r="K69" i="5"/>
  <c r="J69" i="5"/>
  <c r="I69" i="5"/>
  <c r="R68" i="5"/>
  <c r="Q68" i="5"/>
  <c r="P68" i="5"/>
  <c r="N68" i="5"/>
  <c r="M68" i="5"/>
  <c r="L68" i="5"/>
  <c r="K68" i="5"/>
  <c r="J68" i="5"/>
  <c r="I68" i="5"/>
  <c r="R67" i="5"/>
  <c r="Q67" i="5"/>
  <c r="P67" i="5"/>
  <c r="N67" i="5"/>
  <c r="M67" i="5"/>
  <c r="L67" i="5"/>
  <c r="K67" i="5"/>
  <c r="J67" i="5"/>
  <c r="I67" i="5"/>
  <c r="R66" i="5"/>
  <c r="Q66" i="5"/>
  <c r="P66" i="5"/>
  <c r="N66" i="5"/>
  <c r="M66" i="5"/>
  <c r="L66" i="5"/>
  <c r="K66" i="5"/>
  <c r="J66" i="5"/>
  <c r="I66" i="5"/>
  <c r="R65" i="5"/>
  <c r="Q65" i="5"/>
  <c r="P65" i="5"/>
  <c r="N65" i="5"/>
  <c r="M65" i="5"/>
  <c r="L65" i="5"/>
  <c r="K65" i="5"/>
  <c r="J65" i="5"/>
  <c r="I65" i="5"/>
  <c r="R64" i="5"/>
  <c r="Q64" i="5"/>
  <c r="P64" i="5"/>
  <c r="N64" i="5"/>
  <c r="M64" i="5"/>
  <c r="L64" i="5"/>
  <c r="K64" i="5"/>
  <c r="J64" i="5"/>
  <c r="I64" i="5"/>
  <c r="R63" i="5"/>
  <c r="Q63" i="5"/>
  <c r="P63" i="5"/>
  <c r="N63" i="5"/>
  <c r="M63" i="5"/>
  <c r="L63" i="5"/>
  <c r="K63" i="5"/>
  <c r="J63" i="5"/>
  <c r="I63" i="5"/>
  <c r="R62" i="5"/>
  <c r="Q62" i="5"/>
  <c r="P62" i="5"/>
  <c r="N62" i="5"/>
  <c r="M62" i="5"/>
  <c r="L62" i="5"/>
  <c r="K62" i="5"/>
  <c r="J62" i="5"/>
  <c r="I62" i="5"/>
  <c r="R61" i="5"/>
  <c r="Q61" i="5"/>
  <c r="P61" i="5"/>
  <c r="N61" i="5"/>
  <c r="M61" i="5"/>
  <c r="L61" i="5"/>
  <c r="K61" i="5"/>
  <c r="J61" i="5"/>
  <c r="I61" i="5"/>
  <c r="R60" i="5"/>
  <c r="Q60" i="5"/>
  <c r="P60" i="5"/>
  <c r="N60" i="5"/>
  <c r="M60" i="5"/>
  <c r="L60" i="5"/>
  <c r="K60" i="5"/>
  <c r="J60" i="5"/>
  <c r="I60" i="5"/>
  <c r="R59" i="5"/>
  <c r="Q59" i="5"/>
  <c r="P59" i="5"/>
  <c r="N59" i="5"/>
  <c r="M59" i="5"/>
  <c r="L59" i="5"/>
  <c r="K59" i="5"/>
  <c r="J59" i="5"/>
  <c r="I59" i="5"/>
  <c r="R58" i="5"/>
  <c r="Q58" i="5"/>
  <c r="P58" i="5"/>
  <c r="N58" i="5"/>
  <c r="M58" i="5"/>
  <c r="L58" i="5"/>
  <c r="K58" i="5"/>
  <c r="J58" i="5"/>
  <c r="I58" i="5"/>
  <c r="R57" i="5"/>
  <c r="Q57" i="5"/>
  <c r="P57" i="5"/>
  <c r="N57" i="5"/>
  <c r="M57" i="5"/>
  <c r="L57" i="5"/>
  <c r="K57" i="5"/>
  <c r="J57" i="5"/>
  <c r="I57" i="5"/>
  <c r="R56" i="5"/>
  <c r="Q56" i="5"/>
  <c r="P56" i="5"/>
  <c r="N56" i="5"/>
  <c r="M56" i="5"/>
  <c r="L56" i="5"/>
  <c r="K56" i="5"/>
  <c r="J56" i="5"/>
  <c r="I56" i="5"/>
  <c r="R55" i="5"/>
  <c r="Q55" i="5"/>
  <c r="P55" i="5"/>
  <c r="N55" i="5"/>
  <c r="M55" i="5"/>
  <c r="L55" i="5"/>
  <c r="K55" i="5"/>
  <c r="J55" i="5"/>
  <c r="I55" i="5"/>
  <c r="R54" i="5"/>
  <c r="Q54" i="5"/>
  <c r="P54" i="5"/>
  <c r="N54" i="5"/>
  <c r="M54" i="5"/>
  <c r="L54" i="5"/>
  <c r="K54" i="5"/>
  <c r="J54" i="5"/>
  <c r="I54" i="5"/>
  <c r="R53" i="5"/>
  <c r="Q53" i="5"/>
  <c r="P53" i="5"/>
  <c r="N53" i="5"/>
  <c r="M53" i="5"/>
  <c r="L53" i="5"/>
  <c r="K53" i="5"/>
  <c r="J53" i="5"/>
  <c r="I53" i="5"/>
  <c r="R52" i="5"/>
  <c r="Q52" i="5"/>
  <c r="P52" i="5"/>
  <c r="N52" i="5"/>
  <c r="M52" i="5"/>
  <c r="L52" i="5"/>
  <c r="K52" i="5"/>
  <c r="J52" i="5"/>
  <c r="I52" i="5"/>
  <c r="R51" i="5"/>
  <c r="Q51" i="5"/>
  <c r="P51" i="5"/>
  <c r="N51" i="5"/>
  <c r="M51" i="5"/>
  <c r="L51" i="5"/>
  <c r="K51" i="5"/>
  <c r="J51" i="5"/>
  <c r="I51" i="5"/>
  <c r="R50" i="5"/>
  <c r="Q50" i="5"/>
  <c r="P50" i="5"/>
  <c r="N50" i="5"/>
  <c r="M50" i="5"/>
  <c r="L50" i="5"/>
  <c r="K50" i="5"/>
  <c r="J50" i="5"/>
  <c r="I50" i="5"/>
  <c r="R49" i="5"/>
  <c r="Q49" i="5"/>
  <c r="P49" i="5"/>
  <c r="N49" i="5"/>
  <c r="M49" i="5"/>
  <c r="L49" i="5"/>
  <c r="K49" i="5"/>
  <c r="J49" i="5"/>
  <c r="I49" i="5"/>
  <c r="R48" i="5"/>
  <c r="Q48" i="5"/>
  <c r="P48" i="5"/>
  <c r="N48" i="5"/>
  <c r="M48" i="5"/>
  <c r="L48" i="5"/>
  <c r="K48" i="5"/>
  <c r="J48" i="5"/>
  <c r="I48" i="5"/>
  <c r="R47" i="5"/>
  <c r="Q47" i="5"/>
  <c r="P47" i="5"/>
  <c r="N47" i="5"/>
  <c r="M47" i="5"/>
  <c r="L47" i="5"/>
  <c r="K47" i="5"/>
  <c r="J47" i="5"/>
  <c r="I47" i="5"/>
  <c r="R46" i="5"/>
  <c r="Q46" i="5"/>
  <c r="P46" i="5"/>
  <c r="N46" i="5"/>
  <c r="M46" i="5"/>
  <c r="L46" i="5"/>
  <c r="K46" i="5"/>
  <c r="J46" i="5"/>
  <c r="I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D5" i="7"/>
  <c r="D6" i="7" s="1"/>
  <c r="D7" i="7" s="1"/>
  <c r="L10" i="5" s="1"/>
  <c r="C4" i="6" a="1"/>
  <c r="C51" i="6" a="1"/>
  <c r="C78" i="6" a="1"/>
  <c r="C74" i="6" a="1"/>
  <c r="C70" i="6" a="1"/>
  <c r="C66" i="6" a="1"/>
  <c r="C62" i="6" a="1"/>
  <c r="C58" i="6" a="1"/>
  <c r="C54" i="6" a="1"/>
  <c r="C34" i="6" a="1"/>
  <c r="C30" i="6" a="1"/>
  <c r="C26" i="6" a="1"/>
  <c r="C22" i="6" a="1"/>
  <c r="C18" i="6" a="1"/>
  <c r="C14" i="6" a="1"/>
  <c r="C10" i="6" a="1"/>
  <c r="C6" i="6" a="1"/>
  <c r="C55" i="6" a="1"/>
  <c r="C59" i="6" a="1"/>
  <c r="C77" i="6" a="1"/>
  <c r="C73" i="6" a="1"/>
  <c r="C69" i="6" a="1"/>
  <c r="C65" i="6" a="1"/>
  <c r="C61" i="6" a="1"/>
  <c r="C57" i="6" a="1"/>
  <c r="C53" i="6" a="1"/>
  <c r="C37" i="6" a="1"/>
  <c r="C33" i="6" a="1"/>
  <c r="C29" i="6" a="1"/>
  <c r="C25" i="6" a="1"/>
  <c r="C21" i="6" a="1"/>
  <c r="C17" i="6" a="1"/>
  <c r="C13" i="6" a="1"/>
  <c r="C9" i="6" a="1"/>
  <c r="C67" i="6" a="1"/>
  <c r="C39" i="6" a="1"/>
  <c r="C31" i="6" a="1"/>
  <c r="C23" i="6" a="1"/>
  <c r="C15" i="6" a="1"/>
  <c r="C7" i="6" a="1"/>
  <c r="C63" i="6" a="1"/>
  <c r="C76" i="6" a="1"/>
  <c r="C72" i="6" a="1"/>
  <c r="C68" i="6" a="1"/>
  <c r="C64" i="6" a="1"/>
  <c r="C60" i="6" a="1"/>
  <c r="C56" i="6" a="1"/>
  <c r="C36" i="6" a="1"/>
  <c r="C32" i="6" a="1"/>
  <c r="C28" i="6" a="1"/>
  <c r="C24" i="6" a="1"/>
  <c r="C20" i="6" a="1"/>
  <c r="C16" i="6" a="1"/>
  <c r="C12" i="6" a="1"/>
  <c r="C8" i="6" a="1"/>
  <c r="C75" i="6" a="1"/>
  <c r="C35" i="6" a="1"/>
  <c r="C27" i="6" a="1"/>
  <c r="C19" i="6" a="1"/>
  <c r="C11" i="6" a="1"/>
  <c r="C71" i="6" a="1"/>
  <c r="C5" i="6" a="1"/>
  <c r="C4" i="6" l="1"/>
  <c r="C71" i="6"/>
  <c r="C11" i="6"/>
  <c r="C19" i="6"/>
  <c r="C27" i="6"/>
  <c r="C35" i="6"/>
  <c r="C75" i="6"/>
  <c r="C8" i="6"/>
  <c r="C12" i="6"/>
  <c r="C16" i="6"/>
  <c r="C20" i="6"/>
  <c r="C24" i="6"/>
  <c r="C28" i="6"/>
  <c r="C32" i="6"/>
  <c r="C36" i="6"/>
  <c r="C56" i="6"/>
  <c r="C60" i="6"/>
  <c r="C64" i="6"/>
  <c r="C68" i="6"/>
  <c r="C72" i="6"/>
  <c r="C76" i="6"/>
  <c r="C63" i="6"/>
  <c r="C7" i="6"/>
  <c r="C15" i="6"/>
  <c r="C23" i="6"/>
  <c r="C31" i="6"/>
  <c r="C39" i="6"/>
  <c r="C67" i="6"/>
  <c r="C9" i="6"/>
  <c r="C13" i="6"/>
  <c r="C17" i="6"/>
  <c r="C21" i="6"/>
  <c r="C25" i="6"/>
  <c r="C29" i="6"/>
  <c r="C33" i="6"/>
  <c r="C37" i="6"/>
  <c r="C53" i="6"/>
  <c r="C57" i="6"/>
  <c r="C61" i="6"/>
  <c r="C65" i="6"/>
  <c r="C69" i="6"/>
  <c r="C73" i="6"/>
  <c r="C77" i="6"/>
  <c r="C59" i="6"/>
  <c r="C55" i="6"/>
  <c r="C6" i="6"/>
  <c r="C10" i="6"/>
  <c r="C14" i="6"/>
  <c r="C18" i="6"/>
  <c r="C22" i="6"/>
  <c r="C26" i="6"/>
  <c r="C30" i="6"/>
  <c r="C34" i="6"/>
  <c r="C54" i="6"/>
  <c r="C58" i="6"/>
  <c r="C62" i="6"/>
  <c r="C66" i="6"/>
  <c r="C70" i="6"/>
  <c r="C74" i="6"/>
  <c r="C78" i="6"/>
  <c r="C51" i="6"/>
  <c r="C5" i="6"/>
  <c r="L8" i="5"/>
  <c r="L9" i="5"/>
  <c r="H13" i="5"/>
  <c r="G13" i="5"/>
  <c r="H46" i="5"/>
  <c r="G46" i="5"/>
  <c r="H22" i="5"/>
  <c r="G22" i="5"/>
  <c r="H63" i="5"/>
  <c r="G63" i="5"/>
  <c r="H79" i="5"/>
  <c r="G79" i="5"/>
  <c r="H95" i="5"/>
  <c r="G95" i="5"/>
  <c r="H159" i="5"/>
  <c r="G159" i="5"/>
  <c r="H191" i="5"/>
  <c r="G191" i="5"/>
  <c r="H15" i="5"/>
  <c r="G15" i="5"/>
  <c r="H72" i="5"/>
  <c r="G72" i="5"/>
  <c r="H88" i="5"/>
  <c r="G88" i="5"/>
  <c r="H112" i="5"/>
  <c r="G112" i="5"/>
  <c r="H128" i="5"/>
  <c r="G128" i="5"/>
  <c r="H152" i="5"/>
  <c r="G152" i="5"/>
  <c r="H168" i="5"/>
  <c r="G168" i="5"/>
  <c r="H176" i="5"/>
  <c r="G176" i="5"/>
  <c r="H184" i="5"/>
  <c r="G184" i="5"/>
  <c r="H192" i="5"/>
  <c r="G192" i="5"/>
  <c r="H200" i="5"/>
  <c r="G200" i="5"/>
  <c r="H30" i="5"/>
  <c r="G30" i="5"/>
  <c r="H87" i="5"/>
  <c r="G87" i="5"/>
  <c r="H127" i="5"/>
  <c r="G127" i="5"/>
  <c r="H199" i="5"/>
  <c r="G199" i="5"/>
  <c r="H48" i="5"/>
  <c r="G48" i="5"/>
  <c r="H96" i="5"/>
  <c r="G96" i="5"/>
  <c r="H120" i="5"/>
  <c r="G120" i="5"/>
  <c r="H136" i="5"/>
  <c r="G136" i="5"/>
  <c r="H144" i="5"/>
  <c r="G144" i="5"/>
  <c r="H160" i="5"/>
  <c r="G160" i="5"/>
  <c r="H16" i="5"/>
  <c r="G16" i="5"/>
  <c r="H24" i="5"/>
  <c r="G24" i="5"/>
  <c r="H32" i="5"/>
  <c r="G32" i="5"/>
  <c r="H40" i="5"/>
  <c r="G40" i="5"/>
  <c r="H33" i="5"/>
  <c r="G33" i="5"/>
  <c r="H21" i="5"/>
  <c r="G21" i="5"/>
  <c r="G94" i="5"/>
  <c r="H94" i="5"/>
  <c r="H47" i="5"/>
  <c r="G47" i="5"/>
  <c r="H103" i="5"/>
  <c r="G103" i="5"/>
  <c r="H151" i="5"/>
  <c r="G151" i="5"/>
  <c r="H167" i="5"/>
  <c r="G167" i="5"/>
  <c r="H31" i="5"/>
  <c r="G31" i="5"/>
  <c r="H80" i="5"/>
  <c r="G80" i="5"/>
  <c r="H104" i="5"/>
  <c r="G104" i="5"/>
  <c r="H50" i="5"/>
  <c r="G50" i="5"/>
  <c r="H58" i="5"/>
  <c r="G58" i="5"/>
  <c r="H66" i="5"/>
  <c r="G66" i="5"/>
  <c r="H74" i="5"/>
  <c r="G74" i="5"/>
  <c r="H82" i="5"/>
  <c r="G82" i="5"/>
  <c r="H90" i="5"/>
  <c r="G90" i="5"/>
  <c r="H98" i="5"/>
  <c r="G98" i="5"/>
  <c r="H106" i="5"/>
  <c r="G106" i="5"/>
  <c r="H114" i="5"/>
  <c r="G114" i="5"/>
  <c r="H122" i="5"/>
  <c r="G122" i="5"/>
  <c r="H130" i="5"/>
  <c r="G130" i="5"/>
  <c r="H138" i="5"/>
  <c r="G138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4" i="5"/>
  <c r="G194" i="5"/>
  <c r="H57" i="5"/>
  <c r="G57" i="5"/>
  <c r="H45" i="5"/>
  <c r="G45" i="5"/>
  <c r="H54" i="5"/>
  <c r="G54" i="5"/>
  <c r="G70" i="5"/>
  <c r="H70" i="5"/>
  <c r="G110" i="5"/>
  <c r="H110" i="5"/>
  <c r="G126" i="5"/>
  <c r="H126" i="5"/>
  <c r="H38" i="5"/>
  <c r="G38" i="5"/>
  <c r="H71" i="5"/>
  <c r="G71" i="5"/>
  <c r="H119" i="5"/>
  <c r="G119" i="5"/>
  <c r="H143" i="5"/>
  <c r="G143" i="5"/>
  <c r="H183" i="5"/>
  <c r="G183" i="5"/>
  <c r="H56" i="5"/>
  <c r="G56" i="5"/>
  <c r="H18" i="5"/>
  <c r="G18" i="5"/>
  <c r="H26" i="5"/>
  <c r="G26" i="5"/>
  <c r="H34" i="5"/>
  <c r="G34" i="5"/>
  <c r="H42" i="5"/>
  <c r="G42" i="5"/>
  <c r="G51" i="5"/>
  <c r="H51" i="5"/>
  <c r="G59" i="5"/>
  <c r="H59" i="5"/>
  <c r="G67" i="5"/>
  <c r="H67" i="5"/>
  <c r="G75" i="5"/>
  <c r="H75" i="5"/>
  <c r="G83" i="5"/>
  <c r="H83" i="5"/>
  <c r="G91" i="5"/>
  <c r="H91" i="5"/>
  <c r="G99" i="5"/>
  <c r="H99" i="5"/>
  <c r="G107" i="5"/>
  <c r="H107" i="5"/>
  <c r="G115" i="5"/>
  <c r="H115" i="5"/>
  <c r="G123" i="5"/>
  <c r="H123" i="5"/>
  <c r="G131" i="5"/>
  <c r="H131" i="5"/>
  <c r="G139" i="5"/>
  <c r="H139" i="5"/>
  <c r="G147" i="5"/>
  <c r="H147" i="5"/>
  <c r="G155" i="5"/>
  <c r="H155" i="5"/>
  <c r="G163" i="5"/>
  <c r="H163" i="5"/>
  <c r="G171" i="5"/>
  <c r="H171" i="5"/>
  <c r="G179" i="5"/>
  <c r="H179" i="5"/>
  <c r="G187" i="5"/>
  <c r="H187" i="5"/>
  <c r="G195" i="5"/>
  <c r="H195" i="5"/>
  <c r="H17" i="5"/>
  <c r="G17" i="5"/>
  <c r="H29" i="5"/>
  <c r="G29" i="5"/>
  <c r="G78" i="5"/>
  <c r="H78" i="5"/>
  <c r="G86" i="5"/>
  <c r="H86" i="5"/>
  <c r="H102" i="5"/>
  <c r="G102" i="5"/>
  <c r="G118" i="5"/>
  <c r="H118" i="5"/>
  <c r="G134" i="5"/>
  <c r="H134" i="5"/>
  <c r="H14" i="5"/>
  <c r="G14" i="5"/>
  <c r="H55" i="5"/>
  <c r="G55" i="5"/>
  <c r="H111" i="5"/>
  <c r="G111" i="5"/>
  <c r="H135" i="5"/>
  <c r="G135" i="5"/>
  <c r="H175" i="5"/>
  <c r="G175" i="5"/>
  <c r="H39" i="5"/>
  <c r="G39" i="5"/>
  <c r="G19" i="5"/>
  <c r="H19" i="5"/>
  <c r="G27" i="5"/>
  <c r="H27" i="5"/>
  <c r="G35" i="5"/>
  <c r="H35" i="5"/>
  <c r="G43" i="5"/>
  <c r="H43" i="5"/>
  <c r="H52" i="5"/>
  <c r="G52" i="5"/>
  <c r="H60" i="5"/>
  <c r="G60" i="5"/>
  <c r="H68" i="5"/>
  <c r="G68" i="5"/>
  <c r="H76" i="5"/>
  <c r="G76" i="5"/>
  <c r="H84" i="5"/>
  <c r="G84" i="5"/>
  <c r="H92" i="5"/>
  <c r="G92" i="5"/>
  <c r="H100" i="5"/>
  <c r="G100" i="5"/>
  <c r="H108" i="5"/>
  <c r="G108" i="5"/>
  <c r="H116" i="5"/>
  <c r="G116" i="5"/>
  <c r="H124" i="5"/>
  <c r="G124" i="5"/>
  <c r="H132" i="5"/>
  <c r="G132" i="5"/>
  <c r="H140" i="5"/>
  <c r="G140" i="5"/>
  <c r="H148" i="5"/>
  <c r="G148" i="5"/>
  <c r="H156" i="5"/>
  <c r="G156" i="5"/>
  <c r="H164" i="5"/>
  <c r="G164" i="5"/>
  <c r="H172" i="5"/>
  <c r="G172" i="5"/>
  <c r="H180" i="5"/>
  <c r="G180" i="5"/>
  <c r="H188" i="5"/>
  <c r="G188" i="5"/>
  <c r="H196" i="5"/>
  <c r="G196" i="5"/>
  <c r="H41" i="5"/>
  <c r="G41" i="5"/>
  <c r="H49" i="5"/>
  <c r="G49" i="5"/>
  <c r="H23" i="5"/>
  <c r="G23" i="5"/>
  <c r="H64" i="5"/>
  <c r="G64" i="5"/>
  <c r="H20" i="5"/>
  <c r="G20" i="5"/>
  <c r="H28" i="5"/>
  <c r="G28" i="5"/>
  <c r="H36" i="5"/>
  <c r="G36" i="5"/>
  <c r="H44" i="5"/>
  <c r="G44" i="5"/>
  <c r="H53" i="5"/>
  <c r="G53" i="5"/>
  <c r="H61" i="5"/>
  <c r="G61" i="5"/>
  <c r="H69" i="5"/>
  <c r="G69" i="5"/>
  <c r="H77" i="5"/>
  <c r="G77" i="5"/>
  <c r="H85" i="5"/>
  <c r="G85" i="5"/>
  <c r="H93" i="5"/>
  <c r="G93" i="5"/>
  <c r="H101" i="5"/>
  <c r="G101" i="5"/>
  <c r="H109" i="5"/>
  <c r="G109" i="5"/>
  <c r="H117" i="5"/>
  <c r="G117" i="5"/>
  <c r="H125" i="5"/>
  <c r="G125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H197" i="5"/>
  <c r="G197" i="5"/>
  <c r="H65" i="5"/>
  <c r="G65" i="5"/>
  <c r="H37" i="5"/>
  <c r="G37" i="5"/>
  <c r="H62" i="5"/>
  <c r="G62" i="5"/>
  <c r="G142" i="5"/>
  <c r="H142" i="5"/>
  <c r="G150" i="5"/>
  <c r="H150" i="5"/>
  <c r="G158" i="5"/>
  <c r="H158" i="5"/>
  <c r="H166" i="5"/>
  <c r="G166" i="5"/>
  <c r="G174" i="5"/>
  <c r="H174" i="5"/>
  <c r="G182" i="5"/>
  <c r="H182" i="5"/>
  <c r="G190" i="5"/>
  <c r="H190" i="5"/>
  <c r="G198" i="5"/>
  <c r="H198" i="5"/>
  <c r="H25" i="5"/>
  <c r="G25" i="5"/>
  <c r="H89" i="5"/>
  <c r="G89" i="5"/>
  <c r="H137" i="5"/>
  <c r="G137" i="5"/>
  <c r="H161" i="5"/>
  <c r="G161" i="5"/>
  <c r="H81" i="5"/>
  <c r="G81" i="5"/>
  <c r="H113" i="5"/>
  <c r="G113" i="5"/>
  <c r="H169" i="5"/>
  <c r="G169" i="5"/>
  <c r="H105" i="5"/>
  <c r="G105" i="5"/>
  <c r="H153" i="5"/>
  <c r="G153" i="5"/>
  <c r="H97" i="5"/>
  <c r="G97" i="5"/>
  <c r="H145" i="5"/>
  <c r="G145" i="5"/>
  <c r="H177" i="5"/>
  <c r="G177" i="5"/>
  <c r="H73" i="5"/>
  <c r="G73" i="5"/>
  <c r="H121" i="5"/>
  <c r="G121" i="5"/>
  <c r="H193" i="5"/>
  <c r="G193" i="5"/>
  <c r="H129" i="5"/>
  <c r="G129" i="5"/>
  <c r="H185" i="5"/>
  <c r="G185" i="5"/>
  <c r="G12" i="5"/>
  <c r="H12" i="5"/>
  <c r="O11" i="5" l="1"/>
  <c r="O8" i="5"/>
  <c r="O10" i="5"/>
  <c r="O9" i="5"/>
  <c r="F11" i="5"/>
  <c r="F8" i="5"/>
  <c r="F10" i="5"/>
  <c r="F9" i="5"/>
  <c r="H8" i="5"/>
  <c r="H9" i="5"/>
  <c r="H10" i="5"/>
  <c r="H11" i="5"/>
  <c r="G8" i="5" l="1"/>
  <c r="G11" i="5"/>
  <c r="G9" i="5"/>
  <c r="G1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<sst xmlns="http://schemas.openxmlformats.org/spreadsheetml/2006/main" count="884" uniqueCount="622">
  <si>
    <t>Environment</t>
  </si>
  <si>
    <t>Production</t>
  </si>
  <si>
    <t>prd</t>
  </si>
  <si>
    <t>Staging</t>
  </si>
  <si>
    <t>stg</t>
  </si>
  <si>
    <t>Development</t>
  </si>
  <si>
    <t>dev</t>
  </si>
  <si>
    <t>Azure Region</t>
  </si>
  <si>
    <t>Computed Name</t>
  </si>
  <si>
    <t>Resource Group</t>
  </si>
  <si>
    <t>Availability Set</t>
  </si>
  <si>
    <t>Virtual Machine</t>
  </si>
  <si>
    <t>Network Interface</t>
  </si>
  <si>
    <t>Network Security Group</t>
  </si>
  <si>
    <t>Network Security Group Rule</t>
  </si>
  <si>
    <t>Public IP Address</t>
  </si>
  <si>
    <t>Load Balancer</t>
  </si>
  <si>
    <t>Traffic Manager Profile</t>
  </si>
  <si>
    <t>Storage Account</t>
  </si>
  <si>
    <t>Virtual Network</t>
  </si>
  <si>
    <t>Application Gateway</t>
  </si>
  <si>
    <t>App Service</t>
  </si>
  <si>
    <t>East US</t>
  </si>
  <si>
    <t>East US 2</t>
  </si>
  <si>
    <t>Central US</t>
  </si>
  <si>
    <t>North Central US</t>
  </si>
  <si>
    <t>West Central US</t>
  </si>
  <si>
    <t>West US</t>
  </si>
  <si>
    <t>West US 2</t>
  </si>
  <si>
    <t>Canada East</t>
  </si>
  <si>
    <t>Canada Central</t>
  </si>
  <si>
    <t>Brazil South</t>
  </si>
  <si>
    <t>North Europe</t>
  </si>
  <si>
    <t>West Europe</t>
  </si>
  <si>
    <t>UK West</t>
  </si>
  <si>
    <t>UK South</t>
  </si>
  <si>
    <t>France Central</t>
  </si>
  <si>
    <t>France South</t>
  </si>
  <si>
    <t>Southeast Asia</t>
  </si>
  <si>
    <t>East Asia</t>
  </si>
  <si>
    <t>Australia East</t>
  </si>
  <si>
    <t>Australia Southeast</t>
  </si>
  <si>
    <t>Central India</t>
  </si>
  <si>
    <t>West India</t>
  </si>
  <si>
    <t>South India</t>
  </si>
  <si>
    <t>Japan East</t>
  </si>
  <si>
    <t>Japan West</t>
  </si>
  <si>
    <t>Korea Central</t>
  </si>
  <si>
    <t>Korea South</t>
  </si>
  <si>
    <t>vm</t>
  </si>
  <si>
    <t>App Service Plan</t>
  </si>
  <si>
    <t>Azure Regions</t>
  </si>
  <si>
    <t>uk</t>
  </si>
  <si>
    <t>s</t>
  </si>
  <si>
    <t>Guidelines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</si>
  <si>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</si>
  <si>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Environments</t>
  </si>
  <si>
    <t>Environment Name</t>
  </si>
  <si>
    <t>Short Code</t>
  </si>
  <si>
    <t>Long Code</t>
  </si>
  <si>
    <t>ID</t>
  </si>
  <si>
    <t>Test</t>
  </si>
  <si>
    <t>d</t>
  </si>
  <si>
    <t>t</t>
  </si>
  <si>
    <t>p</t>
  </si>
  <si>
    <t>test</t>
  </si>
  <si>
    <t>Resource Type</t>
  </si>
  <si>
    <t>Character Limit</t>
  </si>
  <si>
    <t>Validation Expression</t>
  </si>
  <si>
    <t>Cosmos DB</t>
  </si>
  <si>
    <t>Azure SQL Server</t>
  </si>
  <si>
    <t>Azure Search</t>
  </si>
  <si>
    <t>OMS Workspace</t>
  </si>
  <si>
    <t>App Service Environment</t>
  </si>
  <si>
    <t>^[a-zA-Z0-9_-]{1,64}$</t>
  </si>
  <si>
    <t>^[a-zA-Z0-9_-]{1,80}$</t>
  </si>
  <si>
    <t>^[a-zA-Z0-9_-]{1,40}$</t>
  </si>
  <si>
    <t>^[a-zA-Z0-9_-]{1,15}$</t>
  </si>
  <si>
    <t>^[a-zA-Z0-9]{3,24}$</t>
  </si>
  <si>
    <t>Top Level Resource Types</t>
  </si>
  <si>
    <t>^[a-zA-Z0-9_-\.]{2,64}$</t>
  </si>
  <si>
    <t>^[a-zA-Z0-9_-\.]{1,80}$</t>
  </si>
  <si>
    <t>^[a-zA-Z0-9_-\.]{1,63}$</t>
  </si>
  <si>
    <t>^[a-zA-Z0-9-]{1,38}$</t>
  </si>
  <si>
    <t>^(?!-)[a-zA-Z0-9]{1,63}(?&lt;!-)$</t>
  </si>
  <si>
    <t>^(?![0-9-])[a-zA-Z0-9-]{4,24}(?&lt;![-])$</t>
  </si>
  <si>
    <t>^[a-zA-Z0-9]{1,50}$</t>
  </si>
  <si>
    <t>^(?!-)(?!.-)((?!-{2})([a-z0-9-])){0,60}(?&lt;!-)$</t>
  </si>
  <si>
    <t>Scope</t>
  </si>
  <si>
    <t>Global</t>
  </si>
  <si>
    <t>Organization Name</t>
  </si>
  <si>
    <t>Project / Product Name</t>
  </si>
  <si>
    <t>Name Format</t>
  </si>
  <si>
    <t>Azure Service</t>
  </si>
  <si>
    <t>Environment Short Code</t>
  </si>
  <si>
    <t>Environment Long Code</t>
  </si>
  <si>
    <t>Environment ID</t>
  </si>
  <si>
    <t>Remaining Characters</t>
  </si>
  <si>
    <t>testproduct</t>
  </si>
  <si>
    <t>DEBUG</t>
  </si>
  <si>
    <t>Meets Name Format</t>
  </si>
  <si>
    <t>Azure Resource Name Calculator</t>
  </si>
  <si>
    <t>Casing</t>
  </si>
  <si>
    <t>Lower</t>
  </si>
  <si>
    <t>westus</t>
  </si>
  <si>
    <t>eastus</t>
  </si>
  <si>
    <t>eastus2</t>
  </si>
  <si>
    <t>South Central US</t>
  </si>
  <si>
    <t>southcentralus</t>
  </si>
  <si>
    <t>westus2</t>
  </si>
  <si>
    <t>West US 3</t>
  </si>
  <si>
    <t>westus3</t>
  </si>
  <si>
    <t>australiaeast</t>
  </si>
  <si>
    <t>southeastasia</t>
  </si>
  <si>
    <t>northeurope</t>
  </si>
  <si>
    <t>Sweden Central</t>
  </si>
  <si>
    <t>swedencentral</t>
  </si>
  <si>
    <t>uksouth</t>
  </si>
  <si>
    <t>westeurope</t>
  </si>
  <si>
    <t>centralus</t>
  </si>
  <si>
    <t>northcentralus</t>
  </si>
  <si>
    <t>South Africa North</t>
  </si>
  <si>
    <t>southafricanorth</t>
  </si>
  <si>
    <t>centralindia</t>
  </si>
  <si>
    <t>eastasia</t>
  </si>
  <si>
    <t>japaneast</t>
  </si>
  <si>
    <t>Jio India West</t>
  </si>
  <si>
    <t>jioindiawest</t>
  </si>
  <si>
    <t>koreacentral</t>
  </si>
  <si>
    <t>canadacentral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</si>
  <si>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</si>
  <si>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</si>
  <si>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</si>
  <si>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</si>
  <si>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</si>
  <si>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</si>
  <si>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</si>
  <si>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</si>
  <si>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</si>
  <si>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brazilsouth</t>
  </si>
  <si>
    <t>Central US (Stage)</t>
  </si>
  <si>
    <t>centralusstage</t>
  </si>
  <si>
    <t>East US (Stage)</t>
  </si>
  <si>
    <t>eastusstage</t>
  </si>
  <si>
    <t>East US 2 (Stage)</t>
  </si>
  <si>
    <t>eastus2stage</t>
  </si>
  <si>
    <t>North Central US (Stage)</t>
  </si>
  <si>
    <t>northcentralusstage</t>
  </si>
  <si>
    <t>South Central US (Stage)</t>
  </si>
  <si>
    <t>southcentralusstage</t>
  </si>
  <si>
    <t>West US (Stage)</t>
  </si>
  <si>
    <t>westusstage</t>
  </si>
  <si>
    <t>West US 2 (Stage)</t>
  </si>
  <si>
    <t>westus2stage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</si>
  <si>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</si>
  <si>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</si>
  <si>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</si>
  <si>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</si>
  <si>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</si>
  <si>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</si>
  <si>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</si>
  <si>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</si>
  <si>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</si>
  <si>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</si>
  <si>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</si>
  <si>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</si>
  <si>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</si>
  <si>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</si>
  <si>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</si>
  <si>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</si>
  <si>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global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</si>
  <si>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</si>
  <si>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</si>
  <si>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</si>
  <si>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</si>
  <si>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</si>
  <si>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</si>
  <si>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</si>
  <si>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</si>
  <si>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</si>
  <si>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</si>
  <si>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</si>
  <si>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</si>
  <si>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</si>
  <si>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</si>
  <si>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</si>
  <si>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United States</t>
  </si>
  <si>
    <t>unitedstates</t>
  </si>
  <si>
    <t>United States EUAP</t>
  </si>
  <si>
    <t>unitedstateseuap</t>
  </si>
  <si>
    <t>East Asia (Stage)</t>
  </si>
  <si>
    <t>eastasiastage</t>
  </si>
  <si>
    <t>Southeast Asia (Stage)</t>
  </si>
  <si>
    <t>southeastasiastage</t>
  </si>
  <si>
    <t>Central US EUAP</t>
  </si>
  <si>
    <t>centraluseuap</t>
  </si>
  <si>
    <t>East US 2 EUAP</t>
  </si>
  <si>
    <t>eastus2euap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</si>
  <si>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</si>
  <si>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</si>
  <si>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</si>
  <si>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</si>
  <si>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</si>
  <si>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</si>
  <si>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</si>
  <si>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australiasoutheast</t>
  </si>
  <si>
    <t>japanwest</t>
  </si>
  <si>
    <t>Jio India Central</t>
  </si>
  <si>
    <t>jioindiacentral</t>
  </si>
  <si>
    <t>koreasouth</t>
  </si>
  <si>
    <t>southindia</t>
  </si>
  <si>
    <t>westindia</t>
  </si>
  <si>
    <t>canadaeast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</si>
  <si>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</si>
  <si>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</si>
  <si>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</si>
  <si>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</si>
  <si>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</si>
  <si>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</si>
  <si>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</si>
  <si>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ukwest</t>
  </si>
  <si>
    <t>UAE Central</t>
  </si>
  <si>
    <t>uaecentral</t>
  </si>
  <si>
    <t>Brazil Southeast</t>
  </si>
  <si>
    <t>brazilsoutheast</t>
  </si>
  <si>
    <t>Name</t>
  </si>
  <si>
    <t>Fill Azure Regions</t>
  </si>
  <si>
    <t xml:space="preserve"> az account list-locations -o table</t>
  </si>
  <si>
    <t>Asset type</t>
  </si>
  <si>
    <t>Resource provider namespace/Entity</t>
  </si>
  <si>
    <t>Abbreviation</t>
  </si>
  <si>
    <t>API management service instance</t>
  </si>
  <si>
    <t>Microsoft.ApiManagement/service</t>
  </si>
  <si>
    <t>apim-</t>
  </si>
  <si>
    <t>Managed Identity</t>
  </si>
  <si>
    <t>Microsoft.ManagedIdentity/userAssignedIdentities</t>
  </si>
  <si>
    <t>id-</t>
  </si>
  <si>
    <t>Management group</t>
  </si>
  <si>
    <t>Microsoft.Management/managementGroups</t>
  </si>
  <si>
    <t>mg-</t>
  </si>
  <si>
    <t>Policy definition</t>
  </si>
  <si>
    <t>Microsoft.Authorization/policyDefinitions</t>
  </si>
  <si>
    <t>policy-</t>
  </si>
  <si>
    <t>Resource group</t>
  </si>
  <si>
    <t>Microsoft.Resources/resourceGroups</t>
  </si>
  <si>
    <t>rg-</t>
  </si>
  <si>
    <t>Application gateway</t>
  </si>
  <si>
    <t>Microsoft.Network/applicationGateways</t>
  </si>
  <si>
    <t>agw-</t>
  </si>
  <si>
    <t>Application security group (ASG)</t>
  </si>
  <si>
    <t>Microsoft.Network/applicationSecurityGroups</t>
  </si>
  <si>
    <t>asg-</t>
  </si>
  <si>
    <t>Bastion</t>
  </si>
  <si>
    <t>Microsoft.Network/bastionHosts</t>
  </si>
  <si>
    <t>bas-</t>
  </si>
  <si>
    <t>CDN profile</t>
  </si>
  <si>
    <t>Microsoft.Cdn/profiles</t>
  </si>
  <si>
    <t>cdnp-</t>
  </si>
  <si>
    <t>CDN endpoint</t>
  </si>
  <si>
    <t>Microsoft.Cdn/profiles/endpoints</t>
  </si>
  <si>
    <t>cdne-</t>
  </si>
  <si>
    <t>Connections</t>
  </si>
  <si>
    <t>Microsoft.Network/connections</t>
  </si>
  <si>
    <t>con-</t>
  </si>
  <si>
    <t>DNS</t>
  </si>
  <si>
    <t>Microsoft.Network/dnsZones</t>
  </si>
  <si>
    <t>dnsz-</t>
  </si>
  <si>
    <t>DNS zone</t>
  </si>
  <si>
    <t>Microsoft.Network/privateDnsZones</t>
  </si>
  <si>
    <t>pdnsz-</t>
  </si>
  <si>
    <t>Firewall</t>
  </si>
  <si>
    <t>Microsoft.Network/azureFirewalls</t>
  </si>
  <si>
    <t>afw-</t>
  </si>
  <si>
    <t>Firewall policy</t>
  </si>
  <si>
    <t>Microsoft.Network/firewallPolicies</t>
  </si>
  <si>
    <t>afwp-</t>
  </si>
  <si>
    <t>ExpressRoute circuit</t>
  </si>
  <si>
    <t>Microsoft.Network/expressRouteCircuits</t>
  </si>
  <si>
    <t>erc-</t>
  </si>
  <si>
    <t>Front Door instance</t>
  </si>
  <si>
    <t>Microsoft.Network/frontDoors</t>
  </si>
  <si>
    <t>fd-</t>
  </si>
  <si>
    <t>Front Door firewall policy</t>
  </si>
  <si>
    <t>Microsoft.Network/frontdoorWebApplicationFirewallPolicies</t>
  </si>
  <si>
    <t>fdfp-</t>
  </si>
  <si>
    <t>Load balancer (internal)</t>
  </si>
  <si>
    <t>Microsoft.Network/loadBalancers</t>
  </si>
  <si>
    <t>lbi-</t>
  </si>
  <si>
    <t>Load balancer (external)</t>
  </si>
  <si>
    <t>lbe-</t>
  </si>
  <si>
    <t>Load balancer rule</t>
  </si>
  <si>
    <t>Microsoft.Network/loadBalancers/inboundNatRules</t>
  </si>
  <si>
    <t>rule-</t>
  </si>
  <si>
    <t>Local network gateway</t>
  </si>
  <si>
    <t>Microsoft.Network/localNetworkGateways</t>
  </si>
  <si>
    <t>lgw-</t>
  </si>
  <si>
    <t>NAT gateway</t>
  </si>
  <si>
    <t>Microsoft.Network/natGateways</t>
  </si>
  <si>
    <t>ng</t>
  </si>
  <si>
    <t>Network interface (NIC)</t>
  </si>
  <si>
    <t>Microsoft.Network/networkInterfaces</t>
  </si>
  <si>
    <t>nic-</t>
  </si>
  <si>
    <t>Network security group (NSG)</t>
  </si>
  <si>
    <t>Microsoft.Network/networkSecurityGroups</t>
  </si>
  <si>
    <t>nsg-</t>
  </si>
  <si>
    <t>Network security group (NSG) security rules</t>
  </si>
  <si>
    <t>Microsoft.Network/networkSecurityGroups/securityRules</t>
  </si>
  <si>
    <t>nsgsr-</t>
  </si>
  <si>
    <t>Network Watcher</t>
  </si>
  <si>
    <t>Microsoft.Network/networkWatchers</t>
  </si>
  <si>
    <t>nw-</t>
  </si>
  <si>
    <t>Private Link</t>
  </si>
  <si>
    <t>&amp;quot;Microsoft.Network/privateLinkServices</t>
  </si>
  <si>
    <t>pl-</t>
  </si>
  <si>
    <t>Public IP address</t>
  </si>
  <si>
    <t>Microsoft.Network/publicIPAddresses</t>
  </si>
  <si>
    <t>pip-</t>
  </si>
  <si>
    <t>Public IP address prefix</t>
  </si>
  <si>
    <t>Microsoft.Network/publicIPPrefixes</t>
  </si>
  <si>
    <t>ippre-</t>
  </si>
  <si>
    <t>Route filter</t>
  </si>
  <si>
    <t>Microsoft.Network/routeFilters</t>
  </si>
  <si>
    <t>rf-</t>
  </si>
  <si>
    <t>Route table</t>
  </si>
  <si>
    <t>Microsoft.Network/routeTables</t>
  </si>
  <si>
    <t>rt-</t>
  </si>
  <si>
    <t>Service endpoint</t>
  </si>
  <si>
    <t>Microsoft.serviceEndPointPolicies</t>
  </si>
  <si>
    <t>se-</t>
  </si>
  <si>
    <t>Traffic Manager profile</t>
  </si>
  <si>
    <t>Microsoft.Network/trafficManagerProfiles</t>
  </si>
  <si>
    <t>traf-</t>
  </si>
  <si>
    <t>User defined route (UDR)</t>
  </si>
  <si>
    <t>Microsoft.Network/routeTables/routes</t>
  </si>
  <si>
    <t>udr-</t>
  </si>
  <si>
    <t>Virtual network</t>
  </si>
  <si>
    <t>Microsoft.Network/virtualNetworks</t>
  </si>
  <si>
    <t>vnet-</t>
  </si>
  <si>
    <t>Virtual network peering</t>
  </si>
  <si>
    <t>Microsoft.Network/virtualNetworks/virtualNetworkPeerings</t>
  </si>
  <si>
    <t>peer-</t>
  </si>
  <si>
    <t>Virtual network subnet</t>
  </si>
  <si>
    <t>Microsoft.Network/virtualNetworks/subnets</t>
  </si>
  <si>
    <t>snet-</t>
  </si>
  <si>
    <t>Virtual WAN</t>
  </si>
  <si>
    <t>Microsoft.Network/virtualWans</t>
  </si>
  <si>
    <t>vwan-</t>
  </si>
  <si>
    <t>VPN Gateway</t>
  </si>
  <si>
    <t>Microsoft.Network/vpnGateways</t>
  </si>
  <si>
    <t>vpng-</t>
  </si>
  <si>
    <t>VPN connection</t>
  </si>
  <si>
    <t>Microsoft.Network/vpnGateways/vpnConnections</t>
  </si>
  <si>
    <t>vcn-</t>
  </si>
  <si>
    <t>VPN site</t>
  </si>
  <si>
    <t>Microsoft.Network/vpnGateways/vpnSites</t>
  </si>
  <si>
    <t>vst-</t>
  </si>
  <si>
    <t>Virtual network gateway</t>
  </si>
  <si>
    <t>Microsoft.Network/virtualNetworkGateways</t>
  </si>
  <si>
    <t>vgw-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</si>
  <si>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</si>
  <si>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</si>
  <si>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</si>
  <si>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</si>
  <si>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</si>
  <si>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App Service environment</t>
  </si>
  <si>
    <t>Microsoft.Web/sites</t>
  </si>
  <si>
    <t>ase-</t>
  </si>
  <si>
    <t>App Service plan</t>
  </si>
  <si>
    <t>Microsoft.Web/serverFarms</t>
  </si>
  <si>
    <t>plan-</t>
  </si>
  <si>
    <t>Availability set</t>
  </si>
  <si>
    <t>Microsoft.Compute/availabilitySets</t>
  </si>
  <si>
    <t>avail-</t>
  </si>
  <si>
    <t>Azure Arc enabled server</t>
  </si>
  <si>
    <t>Microsoft.HybridCompute/machines</t>
  </si>
  <si>
    <t>arcs-</t>
  </si>
  <si>
    <t>Azure Arc enabled Kubernetes cluster</t>
  </si>
  <si>
    <t>Microsoft.Kubernetes/connectedClusters</t>
  </si>
  <si>
    <t>arck</t>
  </si>
  <si>
    <t>Cloud service</t>
  </si>
  <si>
    <t>Microsoft.Compute/cloudServices</t>
  </si>
  <si>
    <t>cld-</t>
  </si>
  <si>
    <t>Disk encryption set</t>
  </si>
  <si>
    <t>Microsoft.Compute/diskEncryptionSets</t>
  </si>
  <si>
    <t>des</t>
  </si>
  <si>
    <t>Function app</t>
  </si>
  <si>
    <t>func-</t>
  </si>
  <si>
    <t>Gallery</t>
  </si>
  <si>
    <t>Microsoft.Compute/galleries</t>
  </si>
  <si>
    <t>gal</t>
  </si>
  <si>
    <t>Managed disk (OS)</t>
  </si>
  <si>
    <t>Microsoft.Compute/disks</t>
  </si>
  <si>
    <t>osdisk</t>
  </si>
  <si>
    <t>Managed disk (data)</t>
  </si>
  <si>
    <t>disk</t>
  </si>
  <si>
    <t>Notification Hubs</t>
  </si>
  <si>
    <t>Microsoft.NotificationHubs/namespaces/notificationHubs</t>
  </si>
  <si>
    <t>ntf-</t>
  </si>
  <si>
    <t>Notification Hubs namespace</t>
  </si>
  <si>
    <t>Microsoft.NotificationHubs/namespaces</t>
  </si>
  <si>
    <t>ntfns-</t>
  </si>
  <si>
    <t>Snapshot</t>
  </si>
  <si>
    <t>Microsoft.Compute/snapshots</t>
  </si>
  <si>
    <t>snap-</t>
  </si>
  <si>
    <t>Static web app</t>
  </si>
  <si>
    <t>Microsoft.Web/staticSites</t>
  </si>
  <si>
    <t>stapp-</t>
  </si>
  <si>
    <t>Virtual machine</t>
  </si>
  <si>
    <t>Microsoft.Compute/virtualMachines</t>
  </si>
  <si>
    <t>Virtual machine scale set</t>
  </si>
  <si>
    <t>Microsoft.Compute/virtualMachineScaleSets</t>
  </si>
  <si>
    <t>vmss-</t>
  </si>
  <si>
    <t>VM storage account</t>
  </si>
  <si>
    <t>Microsoft.Storage/storageAccounts</t>
  </si>
  <si>
    <t>stvm</t>
  </si>
  <si>
    <t>Web app</t>
  </si>
  <si>
    <t>app-</t>
  </si>
  <si>
    <t>AKS cluster</t>
  </si>
  <si>
    <t>Microsoft.ContainerService/managedClusters</t>
  </si>
  <si>
    <t>aks-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</si>
  <si>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</si>
  <si>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</si>
  <si>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</si>
  <si>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</si>
  <si>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</si>
  <si>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</si>
  <si>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</si>
  <si>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</si>
  <si>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sf-</t>
  </si>
  <si>
    <t>Azure Cosmos DB database</t>
  </si>
  <si>
    <t>Microsoft.DocumentDB/databaseAccounts/sqlDatabases</t>
  </si>
  <si>
    <t>cosmos-</t>
  </si>
  <si>
    <t>Azure Cache for Redis instance</t>
  </si>
  <si>
    <t>Microsoft.Cache/Redis</t>
  </si>
  <si>
    <t>redis-</t>
  </si>
  <si>
    <t>Azure SQL Database server</t>
  </si>
  <si>
    <t>Microsoft.Sql/servers</t>
  </si>
  <si>
    <t>sql-</t>
  </si>
  <si>
    <t>Azure SQL database</t>
  </si>
  <si>
    <t>Microsoft.Sql/servers/databases</t>
  </si>
  <si>
    <t>sqldb-</t>
  </si>
  <si>
    <t>Azure Synapse Analytics</t>
  </si>
  <si>
    <t>Microsoft.Synapse/workspaces</t>
  </si>
  <si>
    <t>syn</t>
  </si>
  <si>
    <t>Azure Synapse Analytics Workspaces</t>
  </si>
  <si>
    <t>synw</t>
  </si>
  <si>
    <t>Azure Synapse Analytics SQL Dedicated Pool</t>
  </si>
  <si>
    <t>Microsoft.Synapse/workspaces/sqlPools</t>
  </si>
  <si>
    <t>syndp</t>
  </si>
  <si>
    <t>Azure Synapse Analytics Spark Pool</t>
  </si>
  <si>
    <t>synsp</t>
  </si>
  <si>
    <t>MySQL database</t>
  </si>
  <si>
    <t>Microsoft.DBforMySQL/servers</t>
  </si>
  <si>
    <t>mysql-</t>
  </si>
  <si>
    <t>PostgreSQL database</t>
  </si>
  <si>
    <t>Microsoft.DBforPostgreSQL/servers</t>
  </si>
  <si>
    <t>psql-</t>
  </si>
  <si>
    <t>SQL Server Stretch Database</t>
  </si>
  <si>
    <t>sqlstrdb-</t>
  </si>
  <si>
    <t>SQL Managed Instance</t>
  </si>
  <si>
    <t>Microsoft.Sql/managedInstances</t>
  </si>
  <si>
    <t>sqlmi-</t>
  </si>
  <si>
    <t>Storage account</t>
  </si>
  <si>
    <t>st</t>
  </si>
  <si>
    <t>Azure StorSimple</t>
  </si>
  <si>
    <t>Microsoft.StorSimple/managers</t>
  </si>
  <si>
    <t>ssimp</t>
  </si>
  <si>
    <t>Azure Cognitive Search</t>
  </si>
  <si>
    <t>Microsoft.Search/searchServices</t>
  </si>
  <si>
    <t>srch-</t>
  </si>
  <si>
    <t>Azure Cognitive Services</t>
  </si>
  <si>
    <t>Microsoft.CognitiveServices/accounts</t>
  </si>
  <si>
    <t>cog-</t>
  </si>
  <si>
    <t>Azure Machine Learning workspace</t>
  </si>
  <si>
    <t>Microsoft.MachineLearningServices/workspaces</t>
  </si>
  <si>
    <t>mlw-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</si>
  <si>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</si>
  <si>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</si>
  <si>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</si>
  <si>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</si>
  <si>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</si>
  <si>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dbw-</t>
  </si>
  <si>
    <t>Azure Stream Analytics</t>
  </si>
  <si>
    <t>Microsoft.StreamAnalytics/cluster</t>
  </si>
  <si>
    <t>asa-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</si>
  <si>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</si>
  <si>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</si>
  <si>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</si>
  <si>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</si>
  <si>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</si>
  <si>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</si>
  <si>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</si>
  <si>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</si>
  <si>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adf-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</si>
  <si>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</si>
  <si>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</si>
  <si>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</si>
  <si>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</si>
  <si>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</si>
  <si>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</si>
  <si>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</si>
  <si>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</si>
  <si>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evhns-</t>
  </si>
  <si>
    <t>Event hub</t>
  </si>
  <si>
    <t>Microsoft.EventHub/namespaces/eventHubs</t>
  </si>
  <si>
    <t>evh-</t>
  </si>
  <si>
    <t>Event Grid domain</t>
  </si>
  <si>
    <t>Microsoft.EventGrid/domains</t>
  </si>
  <si>
    <t>evgd-</t>
  </si>
  <si>
    <t>Event Grid subscriptions</t>
  </si>
  <si>
    <t>Microsoft.EventGrid/eventSubscriptions</t>
  </si>
  <si>
    <t>evgs-</t>
  </si>
  <si>
    <t>Event Grid topic</t>
  </si>
  <si>
    <t>Microsoft.EventGrid/domains/topics</t>
  </si>
  <si>
    <t>evgt-</t>
  </si>
  <si>
    <t>HDInsight - Hadoop cluster</t>
  </si>
  <si>
    <t>Microsoft.HDInsight/clusters</t>
  </si>
  <si>
    <t>hadoop-</t>
  </si>
  <si>
    <t>HDInsight - HBase cluster</t>
  </si>
  <si>
    <t>hbase-</t>
  </si>
  <si>
    <t>HDInsight - Kafka cluster</t>
  </si>
  <si>
    <t>kafka-</t>
  </si>
  <si>
    <t>HDInsight - Spark cluster</t>
  </si>
  <si>
    <t>spark-</t>
  </si>
  <si>
    <t>HDInsight - Storm cluster</t>
  </si>
  <si>
    <t>storm-</t>
  </si>
  <si>
    <t>HDInsight - ML Services cluster</t>
  </si>
  <si>
    <t>mls-</t>
  </si>
  <si>
    <t>IoT hub</t>
  </si>
  <si>
    <t>Microsoft.Devices/IotHubs</t>
  </si>
  <si>
    <t>iot-</t>
  </si>
  <si>
    <t>Provisioning services</t>
  </si>
  <si>
    <t>Microsoft.Devices/provisioningServices</t>
  </si>
  <si>
    <t>provs-</t>
  </si>
  <si>
    <t>Provisioning services certificate</t>
  </si>
  <si>
    <t>Microsoft.Devices/provisioningServices/certificates</t>
  </si>
  <si>
    <t>pcert-</t>
  </si>
  <si>
    <t>Power BI Embedded</t>
  </si>
  <si>
    <t>Microsoft.PowerBIDedicated/capacities</t>
  </si>
  <si>
    <t>pbi-</t>
  </si>
  <si>
    <t>Time Series Insights environment</t>
  </si>
  <si>
    <t>Microsoft.TimeSeriesInsights/environments</t>
  </si>
  <si>
    <t>tsi-</t>
  </si>
  <si>
    <t>Virtual desktop host pool</t>
  </si>
  <si>
    <t>vdpool-</t>
  </si>
  <si>
    <t>Virtual desktop application group</t>
  </si>
  <si>
    <t>vdag-</t>
  </si>
  <si>
    <t>Virtual desktop workspace</t>
  </si>
  <si>
    <t>vdws-</t>
  </si>
  <si>
    <t>App Configuration store</t>
  </si>
  <si>
    <t>Microsoft.AppConfiguration/configurationStores</t>
  </si>
  <si>
    <t>appcs-</t>
  </si>
  <si>
    <t>SignalR</t>
  </si>
  <si>
    <t>Microsoft.SignalRService/SignalR</t>
  </si>
  <si>
    <t>sigr</t>
  </si>
  <si>
    <t>Integration account</t>
  </si>
  <si>
    <t>Microsoft.Logic/integrationAccounts</t>
  </si>
  <si>
    <t>ia-</t>
  </si>
  <si>
    <t>Logic apps</t>
  </si>
  <si>
    <t>Microsoft.Logic/workflows</t>
  </si>
  <si>
    <t>logic-</t>
  </si>
  <si>
    <t>Service Bus</t>
  </si>
  <si>
    <t>Microsoft.ServiceBus/namespaces</t>
  </si>
  <si>
    <t>sb-</t>
  </si>
  <si>
    <t>Service Bus queue</t>
  </si>
  <si>
    <t>Microsoft.ServiceBus/namespaces/queues</t>
  </si>
  <si>
    <t>sbq-</t>
  </si>
  <si>
    <t>Service Bus topic</t>
  </si>
  <si>
    <t>Microsoft.ServiceBus/namespaces/topics</t>
  </si>
  <si>
    <t>sbt-</t>
  </si>
  <si>
    <t>Automation account</t>
  </si>
  <si>
    <t>Microsoft.Automation/automationAccounts</t>
  </si>
  <si>
    <t>aa-</t>
  </si>
  <si>
    <t>Application Insights</t>
  </si>
  <si>
    <t>Microsoft.Insights/components</t>
  </si>
  <si>
    <t>appi-</t>
  </si>
  <si>
    <t>Azure Monitor action group</t>
  </si>
  <si>
    <t>Microsoft.Insights/actionGroups</t>
  </si>
  <si>
    <t>ag-</t>
  </si>
  <si>
    <t>Azure Purview instance</t>
  </si>
  <si>
    <t>Microsoft.Purview/accounts</t>
  </si>
  <si>
    <t>pview-</t>
  </si>
  <si>
    <t>Blueprint</t>
  </si>
  <si>
    <t>Microsoft.Blueprint/blueprints</t>
  </si>
  <si>
    <t>bp-</t>
  </si>
  <si>
    <t>Blueprint assignment</t>
  </si>
  <si>
    <t>Microsoft.Blueprint/blueprints/artifacts</t>
  </si>
  <si>
    <t>bpa-</t>
  </si>
  <si>
    <t>Key vault</t>
  </si>
  <si>
    <t>Microsoft.KeyVault/vaults</t>
  </si>
  <si>
    <t>kv-</t>
  </si>
  <si>
    <t>Log Analytics workspace</t>
  </si>
  <si>
    <t>Microsoft.OperationalInsights/workspaces</t>
  </si>
  <si>
    <t>log-</t>
  </si>
  <si>
    <t>Azure Migrate project</t>
  </si>
  <si>
    <t>Microsoft.Migrate/assessmentProjects</t>
  </si>
  <si>
    <t>migr-</t>
  </si>
  <si>
    <t>Database Migration Service instance</t>
  </si>
  <si>
    <t>Microsoft.DataMigration/services</t>
  </si>
  <si>
    <t>dms-</t>
  </si>
  <si>
    <t>Recovery Services vault</t>
  </si>
  <si>
    <t>Microsoft.RecoveryServices/vaults</t>
  </si>
  <si>
    <t>rsv-</t>
  </si>
  <si>
    <t>Azure SQL Data Warehouse</t>
  </si>
  <si>
    <t>sqldw-</t>
  </si>
  <si>
    <t>Azure Service Abbreviation</t>
  </si>
  <si>
    <t>Azure Region Name</t>
  </si>
  <si>
    <t>Upper</t>
  </si>
  <si>
    <t>Component(Application/Workload)</t>
  </si>
  <si>
    <t>Incremental</t>
  </si>
  <si>
    <t>001</t>
  </si>
  <si>
    <t>^[a-zA-Z0-9_-]{1,50}$</t>
  </si>
  <si>
    <t>003</t>
  </si>
  <si>
    <t>OrganizationName</t>
  </si>
  <si>
    <t>^(?![0-9-])[a-zA-Z0-9-]{3,24}(?&lt;![-])$</t>
  </si>
  <si>
    <t>pepe</t>
  </si>
  <si>
    <t>juan</t>
  </si>
  <si>
    <t>paco</t>
  </si>
  <si>
    <t>manu</t>
  </si>
  <si>
    <t>ShortCode</t>
  </si>
  <si>
    <t>Azure Region Short Code</t>
  </si>
  <si>
    <t>{azureServiceAbbreviation}{component}-{EnvironmentLongCode}-{AzureRegionShortCode}-{Incremental}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</si>
</sst>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5" fillId="2" borderId="0" xfId="0" applyFont="1" applyFill="1" applyAlignment="1"/>
    <xf numFmtId="0" fontId="1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workbookViewId="0">
      <selection activeCell="A59" sqref="A59"/>
    </sheetView>
  </sheetViews>
  <sheetFormatPr defaultRowHeight="14.5" x14ac:dyDescent="0.35"/>
  <cols>
    <col min="1" max="1" width="53.36328125" customWidth="1"/>
  </cols>
  <sheetData>
    <row r="1" spans="1:1" x14ac:dyDescent="0.35">
      <c r="A1" t="s">
        <v>226</v>
      </c>
    </row>
    <row r="2" spans="1:1" x14ac:dyDescent="0.35">
      <c r="A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200"/>
  <sheetViews>
    <sheetView workbookViewId="0">
      <selection activeCell="C39" sqref="C39"/>
    </sheetView>
  </sheetViews>
  <sheetFormatPr defaultColWidth="9.1796875" defaultRowHeight="16.5" x14ac:dyDescent="0.45"/>
  <cols>
    <col min="1" max="1" width="19.453125" style="3" customWidth="1"/>
    <col min="2" max="2" width="13.6328125" style="3" customWidth="1"/>
    <col min="3" max="3" width="38.81640625" style="3" customWidth="1"/>
    <col min="4" max="4" width="40" style="3" customWidth="1"/>
    <col min="5" max="5" width="24" style="8" customWidth="1"/>
    <col min="6" max="6" width="43.453125" style="3" customWidth="1"/>
    <col min="7" max="7" width="104.26953125" style="3" customWidth="1"/>
    <col min="8" max="8" width="28.7265625" style="3" customWidth="1"/>
    <col min="9" max="9" width="33.1796875" style="3" customWidth="1"/>
    <col min="10" max="13" width="22.7265625" style="3" customWidth="1"/>
    <col min="14" max="16" width="23.26953125" style="3" customWidth="1"/>
    <col min="17" max="19" width="23.453125" style="3" customWidth="1"/>
    <col min="20" max="20" width="9.1796875" style="3" customWidth="1"/>
    <col min="21" max="16384" width="9.1796875" style="3"/>
  </cols>
  <sheetData>
    <row r="1" spans="1:19" ht="68" x14ac:dyDescent="1.65">
      <c r="A1" s="24" t="s">
        <v>101</v>
      </c>
      <c r="B1" s="24"/>
      <c r="C1" s="24"/>
      <c r="D1" s="24"/>
      <c r="E1" s="24"/>
      <c r="F1" s="24"/>
      <c r="G1" s="24"/>
      <c r="H1" s="22"/>
    </row>
    <row r="2" spans="1:19" ht="16.5" customHeight="1" x14ac:dyDescent="0.55000000000000004">
      <c r="A2" s="25" t="s">
        <v>90</v>
      </c>
      <c r="B2" s="25"/>
      <c r="C2" s="25"/>
      <c r="D2" s="27" t="s">
        <v>613</v>
      </c>
      <c r="E2" s="27"/>
      <c r="F2" s="27"/>
      <c r="G2" s="27"/>
      <c r="H2" s="9"/>
    </row>
    <row r="3" spans="1:19" ht="16.5" customHeight="1" x14ac:dyDescent="0.55000000000000004">
      <c r="A3" s="25" t="s">
        <v>91</v>
      </c>
      <c r="B3" s="25"/>
      <c r="C3" s="25"/>
      <c r="D3" s="27" t="s">
        <v>98</v>
      </c>
      <c r="E3" s="27"/>
      <c r="F3" s="27"/>
      <c r="G3" s="27"/>
      <c r="H3" s="9"/>
    </row>
    <row r="4" spans="1:19" ht="16.5" customHeight="1" x14ac:dyDescent="0.55000000000000004">
      <c r="A4" s="25" t="s">
        <v>92</v>
      </c>
      <c r="B4" s="25"/>
      <c r="C4" s="25"/>
      <c r="D4" s="27" t="s">
        <v>621</v>
      </c>
      <c r="E4" s="27"/>
      <c r="F4" s="27"/>
      <c r="G4" s="27"/>
      <c r="H4" s="9"/>
    </row>
    <row r="5" spans="1:19" ht="16.5" customHeight="1" x14ac:dyDescent="0.55000000000000004">
      <c r="A5" s="25" t="s">
        <v>102</v>
      </c>
      <c r="B5" s="25"/>
      <c r="C5" s="25"/>
      <c r="D5" s="9" t="s">
        <v>103</v>
      </c>
      <c r="E5" s="18"/>
      <c r="F5" s="9"/>
      <c r="G5" s="9"/>
      <c r="H5" s="9"/>
    </row>
    <row r="6" spans="1:19" ht="21" x14ac:dyDescent="0.55000000000000004">
      <c r="A6" s="25"/>
      <c r="B6" s="25"/>
      <c r="C6" s="25"/>
      <c r="D6" s="9"/>
      <c r="E6" s="18"/>
      <c r="F6" s="9"/>
      <c r="G6" s="9"/>
      <c r="H6" s="9"/>
      <c r="J6" s="26" t="s">
        <v>99</v>
      </c>
      <c r="K6" s="26"/>
      <c r="L6" s="26"/>
      <c r="M6" s="26"/>
      <c r="N6" s="26"/>
      <c r="O6" s="26"/>
      <c r="P6" s="26"/>
      <c r="Q6" s="26"/>
      <c r="R6" s="26"/>
      <c r="S6" s="26"/>
    </row>
    <row r="7" spans="1:19" ht="21" x14ac:dyDescent="0.55000000000000004">
      <c r="A7" s="7" t="s">
        <v>609</v>
      </c>
      <c r="B7" s="7" t="s">
        <v>0</v>
      </c>
      <c r="C7" s="7" t="s">
        <v>608</v>
      </c>
      <c r="D7" s="10" t="s">
        <v>606</v>
      </c>
      <c r="E7" s="7" t="s">
        <v>93</v>
      </c>
      <c r="F7" s="7" t="s">
        <v>8</v>
      </c>
      <c r="G7" s="7" t="s">
        <v>97</v>
      </c>
      <c r="H7" s="7" t="s">
        <v>100</v>
      </c>
      <c r="I7" s="13" t="s">
        <v>57</v>
      </c>
      <c r="J7" s="13" t="s">
        <v>94</v>
      </c>
      <c r="K7" s="13" t="s">
        <v>95</v>
      </c>
      <c r="L7" s="13" t="s">
        <v>96</v>
      </c>
      <c r="M7" s="17" t="s">
        <v>606</v>
      </c>
      <c r="N7" s="17" t="s">
        <v>7</v>
      </c>
      <c r="O7" s="23" t="s">
        <v>620</v>
      </c>
      <c r="P7" s="3" t="s">
        <v>93</v>
      </c>
      <c r="Q7" s="3" t="s">
        <v>605</v>
      </c>
      <c r="R7" s="3" t="s">
        <v>102</v>
      </c>
      <c r="S7" s="3" t="s">
        <v>609</v>
      </c>
    </row>
    <row r="8" spans="1:19" x14ac:dyDescent="0.45">
      <c r="A8" s="21" t="s">
        <v>610</v>
      </c>
      <c r="B8" s="3" t="s">
        <v>3</v>
      </c>
      <c r="C8" s="3" t="s">
        <v>615</v>
      </c>
      <c r="D8" s="8" t="s">
        <v>25</v>
      </c>
      <c r="E8" s="3" t="s">
        <v>231</v>
      </c>
      <c r="F8" s="3" t="str">
        <f>IF(ISNUMBER(SEARCH("-",Q8)),IFERROR(IF($D$5="Lower", LOWER(ComputeResourceName($D$4,$D$3,$D$2,C8,I8,J8,K8,L8,N8,O8,Q8,A8)), UPPER(ComputeResourceName($D$4,$D$3,$D$2,C8,I8,J8,K8,L8,N8,O8,Q8,A8))),""),SUBSTITUTE(IFERROR(IF($D$5="Lower", LOWER(ComputeResourceName($D$4,$D$3,$D$2,C8,I8,J8,K8,L8,N8,O8,Q8,A8)), UPPER(ComputeResourceName($D$4,$D$3,$D$2,C8,I8,J8,K8,L8,N8,O8,Q8,A8))),""), "-",""))</f>
        <v>apim-pepe-stg-ncu-001</v>
      </c>
      <c r="G8" s="3">
        <f xml:space="preserve"> IF(F8="","",  IFERROR(VLOOKUP(E8,Resources!$A$3:$F$1500,5,FALSE)-LEN(F8),0))</f>
        <v>29</v>
      </c>
      <c r="H8" s="3" t="b">
        <f>IF(F8="","",IFERROR(matches(F8,VLOOKUP(E8,Resources!$A$3:$F$1500,6,FALSE)),FALSE))</f>
        <v>1</v>
      </c>
      <c r="I8" s="3" t="str">
        <f>VLOOKUP(B8,Enviroments!$A$3:$D$60,1,FALSE)</f>
        <v>Staging</v>
      </c>
      <c r="J8" s="3" t="str">
        <f>VLOOKUP(B8,Enviroments!$A$3:$D$60,2,FALSE)</f>
        <v>s</v>
      </c>
      <c r="K8" s="3" t="str">
        <f>VLOOKUP(B8,Enviroments!$A$3:$D$60,3,FALSE)</f>
        <v>stg</v>
      </c>
      <c r="L8" s="3">
        <f>VLOOKUP(B8,Enviroments!$A$3:$D$60,4,FALSE)</f>
        <v>3</v>
      </c>
      <c r="M8" s="3" t="str">
        <f>VLOOKUP(D8,AzureRegions!$A$4:$B$1502,1,FALSE)</f>
        <v>North Central US</v>
      </c>
      <c r="N8" s="3" t="str">
        <f>VLOOKUP(D8,AzureRegions!$A$4:$B$1502,2,FALSE)</f>
        <v>northcentralus</v>
      </c>
      <c r="O8" s="3" t="str">
        <f>VLOOKUP(D8,AzureRegions!$A$4:$C$1502,3,FALSE)</f>
        <v>NCU</v>
      </c>
      <c r="P8" s="3" t="str">
        <f>VLOOKUP(E8,Resources!$A$4:$F$1500,1,FALSE)</f>
        <v>API management service instance</v>
      </c>
      <c r="Q8" s="3" t="str">
        <f>VLOOKUP(E8,Resources!$A$4:$F$1500,3,FALSE)</f>
        <v>apim-</v>
      </c>
      <c r="R8" s="3" t="str">
        <f>VLOOKUP($D$5,Casing!$A$4:$A$60,1,FALSE)</f>
        <v>Lower</v>
      </c>
      <c r="S8" s="21" t="str">
        <f>A8</f>
        <v>001</v>
      </c>
    </row>
    <row r="9" spans="1:19" x14ac:dyDescent="0.45">
      <c r="A9" s="21" t="s">
        <v>610</v>
      </c>
      <c r="B9" s="3" t="s">
        <v>1</v>
      </c>
      <c r="C9" s="3" t="s">
        <v>616</v>
      </c>
      <c r="D9" s="8" t="s">
        <v>32</v>
      </c>
      <c r="E9" s="3" t="s">
        <v>588</v>
      </c>
      <c r="F9" s="3" t="str">
        <f>IF(ISNUMBER(SEARCH("-",Q9)),IFERROR(IF($D$5="Lower", LOWER(ComputeResourceName($D$4,$D$3,$D$2,C9,I9,J9,K9,L9,N9,O9,Q9,A9)), UPPER(ComputeResourceName($D$4,$D$3,$D$2,C9,I9,J9,K9,L9,N9,O9,Q9,A9))),""),SUBSTITUTE(IFERROR(IF($D$5="Lower", LOWER(ComputeResourceName($D$4,$D$3,$D$2,C9,I9,J9,K9,L9,N9,O9,Q9,A9)), UPPER(ComputeResourceName($D$4,$D$3,$D$2,C9,I9,J9,K9,L9,N9,O9,Q9,A9))),""), "-",""))</f>
        <v>kv-juan-prd-ne-001</v>
      </c>
      <c r="G9" s="3">
        <f xml:space="preserve"> IF(F9="","",  IFERROR(VLOOKUP(E9,Resources!$A$3:$F$1500,5,FALSE)-LEN(F9),0))</f>
        <v>6</v>
      </c>
      <c r="H9" s="3" t="b">
        <f>IF(F9="","",IFERROR(matches(F9,VLOOKUP(E9,Resources!$A$3:$F$1500,6,FALSE)),FALSE))</f>
        <v>0</v>
      </c>
      <c r="I9" s="3" t="str">
        <f>VLOOKUP(B9,Enviroments!$A$3:$D$60,1,FALSE)</f>
        <v>Production</v>
      </c>
      <c r="J9" s="3" t="str">
        <f>VLOOKUP(B9,Enviroments!$A$3:$D$60,2,FALSE)</f>
        <v>p</v>
      </c>
      <c r="K9" s="3" t="str">
        <f>VLOOKUP(B9,Enviroments!$A$3:$D$60,3,FALSE)</f>
        <v>prd</v>
      </c>
      <c r="L9" s="3">
        <f>VLOOKUP(B9,Enviroments!$A$3:$D$60,4,FALSE)</f>
        <v>4</v>
      </c>
      <c r="M9" s="3" t="str">
        <f>VLOOKUP(D9,AzureRegions!$A$4:$B$1502,1,FALSE)</f>
        <v>North Europe</v>
      </c>
      <c r="N9" s="3" t="str">
        <f>VLOOKUP(D9,AzureRegions!$A$4:$B$1502,2,FALSE)</f>
        <v>northeurope</v>
      </c>
      <c r="O9" s="3" t="str">
        <f>VLOOKUP(D9,AzureRegions!$A$4:$C$1502,3,FALSE)</f>
        <v>NE</v>
      </c>
      <c r="P9" s="3" t="str">
        <f>VLOOKUP(E9,Resources!$A$4:$F$1500,1,FALSE)</f>
        <v>Key vault</v>
      </c>
      <c r="Q9" s="3" t="str">
        <f>VLOOKUP(E9,Resources!$A$4:$F$1500,3,FALSE)</f>
        <v>kv-</v>
      </c>
      <c r="R9" s="3" t="str">
        <f>VLOOKUP($D$5,Casing!$A$4:$A$60,1,FALSE)</f>
        <v>Lower</v>
      </c>
      <c r="S9" s="21" t="str">
        <f t="shared" ref="S9:S72" si="0">A9</f>
        <v>001</v>
      </c>
    </row>
    <row r="10" spans="1:19" x14ac:dyDescent="0.45">
      <c r="A10" s="21" t="s">
        <v>612</v>
      </c>
      <c r="B10" s="3" t="s">
        <v>1</v>
      </c>
      <c r="C10" s="3" t="s">
        <v>617</v>
      </c>
      <c r="D10" s="8" t="s">
        <v>32</v>
      </c>
      <c r="E10" s="3" t="s">
        <v>231</v>
      </c>
      <c r="F10" s="3" t="str">
        <f>IF(ISNUMBER(SEARCH("-",Q10)),IFERROR(IF($D$5="Lower", LOWER(ComputeResourceName($D$4,$D$3,$D$2,C10,I10,J10,K10,L10,N10,O10,Q10,A10)), UPPER(ComputeResourceName($D$4,$D$3,$D$2,C10,I10,J10,K10,L10,N10,O10,Q10,A10))),""),SUBSTITUTE(IFERROR(IF($D$5="Lower", LOWER(ComputeResourceName($D$4,$D$3,$D$2,C10,I10,J10,K10,L10,N10,O10,Q10,A10)), UPPER(ComputeResourceName($D$4,$D$3,$D$2,C10,I10,J10,K10,L10,N10,O10,Q10,A10))),""), "-",""))</f>
        <v>apim-paco-prd-ne-003</v>
      </c>
      <c r="G10" s="3">
        <f xml:space="preserve"> IF(F10="","",  IFERROR(VLOOKUP(E10,Resources!$A$3:$F$1500,5,FALSE)-LEN(F10),0))</f>
        <v>30</v>
      </c>
      <c r="H10" s="3" t="b">
        <f>IF(F10="","",IFERROR(matches(F10,VLOOKUP(E10,Resources!$A$3:$F$1500,6,FALSE)),FALSE))</f>
        <v>1</v>
      </c>
      <c r="I10" s="3" t="str">
        <f>VLOOKUP(B10,Enviroments!$A$3:$D$60,1,FALSE)</f>
        <v>Production</v>
      </c>
      <c r="J10" s="3" t="str">
        <f>VLOOKUP(B10,Enviroments!$A$3:$D$60,2,FALSE)</f>
        <v>p</v>
      </c>
      <c r="K10" s="3" t="str">
        <f>VLOOKUP(B10,Enviroments!$A$3:$D$60,3,FALSE)</f>
        <v>prd</v>
      </c>
      <c r="L10" s="3">
        <f>VLOOKUP(B10,Enviroments!$A$3:$D$60,4,FALSE)</f>
        <v>4</v>
      </c>
      <c r="M10" s="3" t="str">
        <f>VLOOKUP(D10,AzureRegions!$A$4:$B$1502,1,FALSE)</f>
        <v>North Europe</v>
      </c>
      <c r="N10" s="3" t="str">
        <f>VLOOKUP(D10,AzureRegions!$A$4:$B$1502,2,FALSE)</f>
        <v>northeurope</v>
      </c>
      <c r="O10" s="3" t="str">
        <f>VLOOKUP(D10,AzureRegions!$A$4:$C$1502,3,FALSE)</f>
        <v>NE</v>
      </c>
      <c r="P10" s="3" t="str">
        <f>VLOOKUP(E10,Resources!$A$4:$F$1500,1,FALSE)</f>
        <v>API management service instance</v>
      </c>
      <c r="Q10" s="3" t="str">
        <f>VLOOKUP(E10,Resources!$A$4:$F$1500,3,FALSE)</f>
        <v>apim-</v>
      </c>
      <c r="R10" s="3" t="str">
        <f>VLOOKUP($D$5,Casing!$A$4:$A$60,1,FALSE)</f>
        <v>Lower</v>
      </c>
      <c r="S10" s="21" t="str">
        <f t="shared" si="0"/>
        <v>003</v>
      </c>
    </row>
    <row r="11" spans="1:19" x14ac:dyDescent="0.45">
      <c r="A11" s="21" t="s">
        <v>610</v>
      </c>
      <c r="B11" s="3" t="s">
        <v>5</v>
      </c>
      <c r="C11" s="3" t="s">
        <v>618</v>
      </c>
      <c r="D11" s="8" t="s">
        <v>110</v>
      </c>
      <c r="E11" s="3" t="s">
        <v>234</v>
      </c>
      <c r="F11" s="3" t="str">
        <f>IF(ISNUMBER(SEARCH("-",Q11)),IFERROR(IF($D$5="Lower", LOWER(ComputeResourceName($D$4,$D$3,$D$2,C11,I11,J11,K11,L11,N11,O11,Q11,A11)), UPPER(ComputeResourceName($D$4,$D$3,$D$2,C11,I11,J11,K11,L11,N11,O11,Q11,A11))),""),SUBSTITUTE(IFERROR(IF($D$5="Lower", LOWER(ComputeResourceName($D$4,$D$3,$D$2,C11,I11,J11,K11,L11,N11,O11,Q11,A11)), UPPER(ComputeResourceName($D$4,$D$3,$D$2,C11,I11,J11,K11,L11,N11,O11,Q11,A11))),""), "-",""))</f>
        <v>id-manu-dev-wu3-001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VLOOKUP(B11,Enviroments!$A$3:$D$60,1,FALSE)</f>
        <v>Development</v>
      </c>
      <c r="J11" s="3" t="str">
        <f>VLOOKUP(B11,Enviroments!$A$3:$D$60,2,FALSE)</f>
        <v>d</v>
      </c>
      <c r="K11" s="3" t="str">
        <f>VLOOKUP(B11,Enviroments!$A$3:$D$60,3,FALSE)</f>
        <v>dev</v>
      </c>
      <c r="L11" s="3">
        <f>VLOOKUP(B11,Enviroments!$A$3:$D$60,4,FALSE)</f>
        <v>1</v>
      </c>
      <c r="M11" s="3" t="str">
        <f>VLOOKUP(D11,AzureRegions!$A$4:$B$1502,1,FALSE)</f>
        <v>West US 3</v>
      </c>
      <c r="N11" s="3" t="str">
        <f>VLOOKUP(D11,AzureRegions!$A$4:$B$1502,2,FALSE)</f>
        <v>westus3</v>
      </c>
      <c r="O11" s="3" t="str">
        <f>VLOOKUP(D11,AzureRegions!$A$4:$C$1502,3,FALSE)</f>
        <v>WU3</v>
      </c>
      <c r="P11" s="3" t="str">
        <f>VLOOKUP(E11,Resources!$A$4:$F$1500,1,FALSE)</f>
        <v>Managed Identity</v>
      </c>
      <c r="Q11" s="3" t="str">
        <f>VLOOKUP(E11,Resources!$A$4:$F$1500,3,FALSE)</f>
        <v>id-</v>
      </c>
      <c r="R11" s="3" t="str">
        <f>VLOOKUP($D$5,Casing!$A$4:$A$60,1,FALSE)</f>
        <v>Lower</v>
      </c>
      <c r="S11" s="21" t="str">
        <f t="shared" si="0"/>
        <v>001</v>
      </c>
    </row>
    <row r="12" spans="1:19" x14ac:dyDescent="0.45">
      <c r="A12" s="21" t="s">
        <v>610</v>
      </c>
      <c r="D12" s="8"/>
      <c r="E12" s="3"/>
      <c r="F12" s="3" t="str">
        <f>IF(ISNUMBER(SEARCH("-",Q12)),IFERROR(IF($D$5="Lower", LOWER(ComputeResourceName($D$4,$D$3,$D$2,C12,I12,J12,K12,L12,N12,O12,Q12,A12)), UPPER(ComputeResourceName($D$4,$D$3,$D$2,C12,I12,J12,K12,L12,N12,O12,Q12,A12))),""),SUBSTITUTE(IFERROR(IF($D$5="Lower", LOWER(ComputeResourceName($D$4,$D$3,$D$2,C12,I12,J12,K12,L12,N12,O12,Q12,A12)), UPPER(ComputeResourceName($D$4,$D$3,$D$2,C12,I12,J12,K12,L12,N12,O12,Q12,A12))),""),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VLOOKUP(B12,Enviroments!$A$3:$D$60,1,FALSE)</f>
        <v>#N/A</v>
      </c>
      <c r="J12" s="3" t="e">
        <f>VLOOKUP(B12,Enviroments!$A$3:$D$60,2,FALSE)</f>
        <v>#N/A</v>
      </c>
      <c r="K12" s="3" t="e">
        <f>VLOOKUP(B12,Enviroments!$A$3:$D$60,3,FALSE)</f>
        <v>#N/A</v>
      </c>
      <c r="L12" s="3" t="e">
        <f>VLOOKUP(B12,Enviroments!$A$3:$D$60,4,FALSE)</f>
        <v>#N/A</v>
      </c>
      <c r="M12" s="3" t="e">
        <f>VLOOKUP(D12,AzureRegions!$A$4:$B$1502,1,FALSE)</f>
        <v>#N/A</v>
      </c>
      <c r="N12" s="3" t="e">
        <f>VLOOKUP(D12,AzureRegions!$A$4:$B$1502,2,FALSE)</f>
        <v>#N/A</v>
      </c>
      <c r="P12" s="3" t="e">
        <f>VLOOKUP(E12,Resources!$A$4:$F$1500,1,FALSE)</f>
        <v>#N/A</v>
      </c>
      <c r="Q12" s="3" t="e">
        <f>VLOOKUP(E12,Resources!$A$4:$F$1500,3,FALSE)</f>
        <v>#N/A</v>
      </c>
      <c r="R12" s="3" t="str">
        <f>VLOOKUP($D$5,Casing!$A$4:$A$60,1,FALSE)</f>
        <v>Lower</v>
      </c>
      <c r="S12" s="21" t="str">
        <f t="shared" si="0"/>
        <v>001</v>
      </c>
    </row>
    <row r="13" spans="1:19" x14ac:dyDescent="0.45">
      <c r="A13" s="21" t="s">
        <v>610</v>
      </c>
      <c r="D13" s="8"/>
      <c r="E13" s="3"/>
      <c r="F13" s="3" t="str">
        <f>IF(ISNUMBER(SEARCH("-",Q13)),IFERROR(IF($D$5="Lower", LOWER(ComputeResourceName($D$4,$D$3,$D$2,C13,I13,J13,K13,L13,N13,O13,Q13,A13)), UPPER(ComputeResourceName($D$4,$D$3,$D$2,C13,I13,J13,K13,L13,N13,O13,Q13,A13))),""),SUBSTITUTE(IFERROR(IF($D$5="Lower", LOWER(ComputeResourceName($D$4,$D$3,$D$2,C13,I13,J13,K13,L13,N13,O13,Q13,A13)), UPPER(ComputeResourceName($D$4,$D$3,$D$2,C13,I13,J13,K13,L13,N13,O13,Q13,A13))),""),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VLOOKUP(B13,Enviroments!$A$3:$D$60,1,FALSE)</f>
        <v>#N/A</v>
      </c>
      <c r="J13" s="3" t="e">
        <f>VLOOKUP(B13,Enviroments!$A$3:$D$60,2,FALSE)</f>
        <v>#N/A</v>
      </c>
      <c r="K13" s="3" t="e">
        <f>VLOOKUP(B13,Enviroments!$A$3:$D$60,3,FALSE)</f>
        <v>#N/A</v>
      </c>
      <c r="L13" s="3" t="e">
        <f>VLOOKUP(B13,Enviroments!$A$3:$D$60,4,FALSE)</f>
        <v>#N/A</v>
      </c>
      <c r="M13" s="3" t="e">
        <f>VLOOKUP(D13,AzureRegions!$A$4:$B$1502,1,FALSE)</f>
        <v>#N/A</v>
      </c>
      <c r="N13" s="3" t="e">
        <f>VLOOKUP(D13,AzureRegions!$A$4:$B$1502,2,FALSE)</f>
        <v>#N/A</v>
      </c>
      <c r="P13" s="3" t="e">
        <f>VLOOKUP(E13,Resources!$A$4:$F$1500,1,FALSE)</f>
        <v>#N/A</v>
      </c>
      <c r="Q13" s="3" t="e">
        <f>VLOOKUP(E13,Resources!$A$4:$F$1500,3,FALSE)</f>
        <v>#N/A</v>
      </c>
      <c r="R13" s="3" t="str">
        <f>VLOOKUP($D$5,Casing!$A$4:$A$60,1,FALSE)</f>
        <v>Lower</v>
      </c>
      <c r="S13" s="21" t="str">
        <f t="shared" si="0"/>
        <v>001</v>
      </c>
    </row>
    <row r="14" spans="1:19" x14ac:dyDescent="0.45">
      <c r="A14" s="21" t="s">
        <v>610</v>
      </c>
      <c r="D14" s="8"/>
      <c r="E14" s="3"/>
      <c r="F14" s="3" t="str">
        <f>IF(ISNUMBER(SEARCH("-",Q14)),IFERROR(IF($D$5="Lower", LOWER(ComputeResourceName($D$4,$D$3,$D$2,C14,I14,J14,K14,L14,N14,O14,Q14,A14)), UPPER(ComputeResourceName($D$4,$D$3,$D$2,C14,I14,J14,K14,L14,N14,O14,Q14,A14))),""),SUBSTITUTE(IFERROR(IF($D$5="Lower", LOWER(ComputeResourceName($D$4,$D$3,$D$2,C14,I14,J14,K14,L14,N14,O14,Q14,A14)), UPPER(ComputeResourceName($D$4,$D$3,$D$2,C14,I14,J14,K14,L14,N14,O14,Q14,A14))),""),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VLOOKUP(B14,Enviroments!$A$3:$D$60,1,FALSE)</f>
        <v>#N/A</v>
      </c>
      <c r="J14" s="3" t="e">
        <f>VLOOKUP(B14,Enviroments!$A$3:$D$60,2,FALSE)</f>
        <v>#N/A</v>
      </c>
      <c r="K14" s="3" t="e">
        <f>VLOOKUP(B14,Enviroments!$A$3:$D$60,3,FALSE)</f>
        <v>#N/A</v>
      </c>
      <c r="L14" s="3" t="e">
        <f>VLOOKUP(B14,Enviroments!$A$3:$D$60,4,FALSE)</f>
        <v>#N/A</v>
      </c>
      <c r="M14" s="3" t="e">
        <f>VLOOKUP(D14,AzureRegions!$A$4:$B$1502,1,FALSE)</f>
        <v>#N/A</v>
      </c>
      <c r="N14" s="3" t="e">
        <f>VLOOKUP(D14,AzureRegions!$A$4:$B$1502,2,FALSE)</f>
        <v>#N/A</v>
      </c>
      <c r="P14" s="3" t="e">
        <f>VLOOKUP(E14,Resources!$A$4:$F$1500,1,FALSE)</f>
        <v>#N/A</v>
      </c>
      <c r="Q14" s="3" t="e">
        <f>VLOOKUP(E14,Resources!$A$4:$F$1500,3,FALSE)</f>
        <v>#N/A</v>
      </c>
      <c r="R14" s="3" t="str">
        <f>VLOOKUP($D$5,Casing!$A$4:$A$60,1,FALSE)</f>
        <v>Lower</v>
      </c>
      <c r="S14" s="21" t="str">
        <f t="shared" si="0"/>
        <v>001</v>
      </c>
    </row>
    <row r="15" spans="1:19" x14ac:dyDescent="0.45">
      <c r="A15" s="21" t="s">
        <v>610</v>
      </c>
      <c r="D15" s="8"/>
      <c r="E15" s="3"/>
      <c r="F15" s="3" t="str">
        <f>IF(ISNUMBER(SEARCH("-",Q15)),IFERROR(IF($D$5="Lower", LOWER(ComputeResourceName($D$4,$D$3,$D$2,C15,I15,J15,K15,L15,N15,O15,Q15,A15)), UPPER(ComputeResourceName($D$4,$D$3,$D$2,C15,I15,J15,K15,L15,N15,O15,Q15,A15))),""),SUBSTITUTE(IFERROR(IF($D$5="Lower",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VLOOKUP(B15,Enviroments!$A$3:$D$60,1,FALSE)</f>
        <v>#N/A</v>
      </c>
      <c r="J15" s="3" t="e">
        <f>VLOOKUP(B15,Enviroments!$A$3:$D$60,2,FALSE)</f>
        <v>#N/A</v>
      </c>
      <c r="K15" s="3" t="e">
        <f>VLOOKUP(B15,Enviroments!$A$3:$D$60,3,FALSE)</f>
        <v>#N/A</v>
      </c>
      <c r="L15" s="3" t="e">
        <f>VLOOKUP(B15,Enviroments!$A$3:$D$60,4,FALSE)</f>
        <v>#N/A</v>
      </c>
      <c r="M15" s="3" t="e">
        <f>VLOOKUP(D15,AzureRegions!$A$4:$B$1502,1,FALSE)</f>
        <v>#N/A</v>
      </c>
      <c r="N15" s="3" t="e">
        <f>VLOOKUP(D15,AzureRegions!$A$4:$B$1502,2,FALSE)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VLOOKUP($D$5,Casing!$A$4:$A$60,1,FALSE)</f>
        <v>Lower</v>
      </c>
      <c r="S15" s="21" t="str">
        <f t="shared" si="0"/>
        <v>001</v>
      </c>
    </row>
    <row r="16" spans="1:19" x14ac:dyDescent="0.45">
      <c r="A16" s="21" t="s">
        <v>610</v>
      </c>
      <c r="D16" s="8"/>
      <c r="E16" s="3"/>
      <c r="F16" s="3" t="str">
        <f>IF(ISNUMBER(SEARCH("-",Q16)),IFERROR(IF($D$5="Lower", LOWER(ComputeResourceName($D$4,$D$3,$D$2,C16,I16,J16,K16,L16,N16,O16,Q16,A16)), UPPER(ComputeResourceName($D$4,$D$3,$D$2,C16,I16,J16,K16,L16,N16,O16,Q16,A16))),""),SUBSTITUTE(IFERROR(IF($D$5="Lower",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VLOOKUP(B16,Enviroments!$A$3:$D$60,1,FALSE)</f>
        <v>#N/A</v>
      </c>
      <c r="J16" s="3" t="e">
        <f>VLOOKUP(B16,Enviroments!$A$3:$D$60,2,FALSE)</f>
        <v>#N/A</v>
      </c>
      <c r="K16" s="3" t="e">
        <f>VLOOKUP(B16,Enviroments!$A$3:$D$60,3,FALSE)</f>
        <v>#N/A</v>
      </c>
      <c r="L16" s="3" t="e">
        <f>VLOOKUP(B16,Enviroments!$A$3:$D$60,4,FALSE)</f>
        <v>#N/A</v>
      </c>
      <c r="M16" s="3" t="e">
        <f>VLOOKUP(D16,AzureRegions!$A$4:$B$1502,1,FALSE)</f>
        <v>#N/A</v>
      </c>
      <c r="N16" s="3" t="e">
        <f>VLOOKUP(D16,AzureRegions!$A$4:$B$1502,2,FALSE)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VLOOKUP($D$5,Casing!$A$4:$A$60,1,FALSE)</f>
        <v>Lower</v>
      </c>
      <c r="S16" s="21" t="str">
        <f t="shared" si="0"/>
        <v>001</v>
      </c>
    </row>
    <row r="17" spans="1:19" x14ac:dyDescent="0.45">
      <c r="A17" s="21" t="s">
        <v>610</v>
      </c>
      <c r="D17" s="8"/>
      <c r="E17" s="3"/>
      <c r="F17" s="3" t="str">
        <f>IF(ISNUMBER(SEARCH("-",Q17)),IFERROR(IF($D$5="Lower", LOWER(ComputeResourceName($D$4,$D$3,$D$2,C17,I17,J17,K17,L17,N17,O17,Q17,A17)), UPPER(ComputeResourceName($D$4,$D$3,$D$2,C17,I17,J17,K17,L17,N17,O17,Q17,A17))),""),SUBSTITUTE(IFERROR(IF($D$5="Lower",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VLOOKUP(B17,Enviroments!$A$3:$D$60,1,FALSE)</f>
        <v>#N/A</v>
      </c>
      <c r="J17" s="3" t="e">
        <f>VLOOKUP(B17,Enviroments!$A$3:$D$60,2,FALSE)</f>
        <v>#N/A</v>
      </c>
      <c r="K17" s="3" t="e">
        <f>VLOOKUP(B17,Enviroments!$A$3:$D$60,3,FALSE)</f>
        <v>#N/A</v>
      </c>
      <c r="L17" s="3" t="e">
        <f>VLOOKUP(B17,Enviroments!$A$3:$D$60,4,FALSE)</f>
        <v>#N/A</v>
      </c>
      <c r="M17" s="3" t="e">
        <f>VLOOKUP(D17,AzureRegions!$A$4:$B$1502,1,FALSE)</f>
        <v>#N/A</v>
      </c>
      <c r="N17" s="3" t="e">
        <f>VLOOKUP(D17,AzureRegions!$A$4:$B$1502,2,FALSE)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VLOOKUP($D$5,Casing!$A$4:$A$60,1,FALSE)</f>
        <v>Lower</v>
      </c>
      <c r="S17" s="21" t="str">
        <f t="shared" si="0"/>
        <v>001</v>
      </c>
    </row>
    <row r="18" spans="1:19" x14ac:dyDescent="0.45">
      <c r="A18" s="21" t="s">
        <v>610</v>
      </c>
      <c r="D18" s="8"/>
      <c r="E18" s="3"/>
      <c r="F18" s="3" t="str">
        <f>IF(ISNUMBER(SEARCH("-",Q18)),IFERROR(IF($D$5="Lower", LOWER(ComputeResourceName($D$4,$D$3,$D$2,C18,I18,J18,K18,L18,N18,O18,Q18,A18)), UPPER(ComputeResourceName($D$4,$D$3,$D$2,C18,I18,J18,K18,L18,N18,O18,Q18,A18))),""),SUBSTITUTE(IFERROR(IF($D$5="Lower", LOWER(ComputeResourceName($D$4,$D$3,$D$2,C18,I18,J18,K18,L18,N18,O18,Q18,A18)), UPPER(ComputeResourceName($D$4,$D$3,$D$2,C18,I18,J18,K18,L18,N18,O18,Q18,A18))),""),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VLOOKUP(B18,Enviroments!$A$3:$D$60,1,FALSE)</f>
        <v>#N/A</v>
      </c>
      <c r="J18" s="3" t="e">
        <f>VLOOKUP(B18,Enviroments!$A$3:$D$60,2,FALSE)</f>
        <v>#N/A</v>
      </c>
      <c r="K18" s="3" t="e">
        <f>VLOOKUP(B18,Enviroments!$A$3:$D$60,3,FALSE)</f>
        <v>#N/A</v>
      </c>
      <c r="L18" s="3" t="e">
        <f>VLOOKUP(B18,Enviroments!$A$3:$D$60,4,FALSE)</f>
        <v>#N/A</v>
      </c>
      <c r="M18" s="3" t="e">
        <f>VLOOKUP(D18,AzureRegions!$A$4:$B$1502,1,FALSE)</f>
        <v>#N/A</v>
      </c>
      <c r="N18" s="3" t="e">
        <f>VLOOKUP(D18,AzureRegions!$A$4:$B$1502,2,FALSE)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VLOOKUP($D$5,Casing!$A$4:$A$60,1,FALSE)</f>
        <v>Lower</v>
      </c>
      <c r="S18" s="21" t="str">
        <f t="shared" si="0"/>
        <v>001</v>
      </c>
    </row>
    <row r="19" spans="1:19" x14ac:dyDescent="0.45">
      <c r="A19" s="21" t="s">
        <v>610</v>
      </c>
      <c r="D19" s="8"/>
      <c r="E19" s="3"/>
      <c r="F19" s="3" t="str">
        <f>IF(ISNUMBER(SEARCH("-",Q19)),IFERROR(IF($D$5="Lower", LOWER(ComputeResourceName($D$4,$D$3,$D$2,C19,I19,J19,K19,L19,N19,O19,Q19,A19)), UPPER(ComputeResourceName($D$4,$D$3,$D$2,C19,I19,J19,K19,L19,N19,O19,Q19,A19))),""),SUBSTITUTE(IFERROR(IF($D$5="Lower",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VLOOKUP(B19,Enviroments!$A$3:$D$60,1,FALSE)</f>
        <v>#N/A</v>
      </c>
      <c r="J19" s="3" t="e">
        <f>VLOOKUP(B19,Enviroments!$A$3:$D$60,2,FALSE)</f>
        <v>#N/A</v>
      </c>
      <c r="K19" s="3" t="e">
        <f>VLOOKUP(B19,Enviroments!$A$3:$D$60,3,FALSE)</f>
        <v>#N/A</v>
      </c>
      <c r="L19" s="3" t="e">
        <f>VLOOKUP(B19,Enviroments!$A$3:$D$60,4,FALSE)</f>
        <v>#N/A</v>
      </c>
      <c r="M19" s="3" t="e">
        <f>VLOOKUP(D19,AzureRegions!$A$4:$B$1502,1,FALSE)</f>
        <v>#N/A</v>
      </c>
      <c r="N19" s="3" t="e">
        <f>VLOOKUP(D19,AzureRegions!$A$4:$B$1502,2,FALSE)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VLOOKUP($D$5,Casing!$A$4:$A$60,1,FALSE)</f>
        <v>Lower</v>
      </c>
      <c r="S19" s="21" t="str">
        <f t="shared" si="0"/>
        <v>001</v>
      </c>
    </row>
    <row r="20" spans="1:19" x14ac:dyDescent="0.45">
      <c r="A20" s="21" t="s">
        <v>610</v>
      </c>
      <c r="D20" s="8"/>
      <c r="E20" s="3"/>
      <c r="F20" s="3" t="str">
        <f>IF(ISNUMBER(SEARCH("-",Q20)),IFERROR(IF($D$5="Lower", LOWER(ComputeResourceName($D$4,$D$3,$D$2,C20,I20,J20,K20,L20,N20,O20,Q20,A20)), UPPER(ComputeResourceName($D$4,$D$3,$D$2,C20,I20,J20,K20,L20,N20,O20,Q20,A20))),""),SUBSTITUTE(IFERROR(IF($D$5="Lower",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VLOOKUP(B20,Enviroments!$A$3:$D$60,1,FALSE)</f>
        <v>#N/A</v>
      </c>
      <c r="J20" s="3" t="e">
        <f>VLOOKUP(B20,Enviroments!$A$3:$D$60,2,FALSE)</f>
        <v>#N/A</v>
      </c>
      <c r="K20" s="3" t="e">
        <f>VLOOKUP(B20,Enviroments!$A$3:$D$60,3,FALSE)</f>
        <v>#N/A</v>
      </c>
      <c r="L20" s="3" t="e">
        <f>VLOOKUP(B20,Enviroments!$A$3:$D$60,4,FALSE)</f>
        <v>#N/A</v>
      </c>
      <c r="M20" s="3" t="e">
        <f>VLOOKUP(D20,AzureRegions!$A$4:$B$1502,1,FALSE)</f>
        <v>#N/A</v>
      </c>
      <c r="N20" s="3" t="e">
        <f>VLOOKUP(D20,AzureRegions!$A$4:$B$1502,2,FALSE)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VLOOKUP($D$5,Casing!$A$4:$A$60,1,FALSE)</f>
        <v>Lower</v>
      </c>
      <c r="S20" s="21" t="str">
        <f t="shared" si="0"/>
        <v>001</v>
      </c>
    </row>
    <row r="21" spans="1:19" x14ac:dyDescent="0.45">
      <c r="A21" s="21" t="s">
        <v>610</v>
      </c>
      <c r="D21" s="8"/>
      <c r="E21" s="3"/>
      <c r="F21" s="3" t="str">
        <f>IF(ISNUMBER(SEARCH("-",Q21)),IFERROR(IF($D$5="Lower", LOWER(ComputeResourceName($D$4,$D$3,$D$2,C21,I21,J21,K21,L21,N21,O21,Q21,A21)), UPPER(ComputeResourceName($D$4,$D$3,$D$2,C21,I21,J21,K21,L21,N21,O21,Q21,A21))),""),SUBSTITUTE(IFERROR(IF($D$5="Lower",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VLOOKUP(B21,Enviroments!$A$3:$D$60,1,FALSE)</f>
        <v>#N/A</v>
      </c>
      <c r="J21" s="3" t="e">
        <f>VLOOKUP(B21,Enviroments!$A$3:$D$60,2,FALSE)</f>
        <v>#N/A</v>
      </c>
      <c r="K21" s="3" t="e">
        <f>VLOOKUP(B21,Enviroments!$A$3:$D$60,3,FALSE)</f>
        <v>#N/A</v>
      </c>
      <c r="L21" s="3" t="e">
        <f>VLOOKUP(B21,Enviroments!$A$3:$D$60,4,FALSE)</f>
        <v>#N/A</v>
      </c>
      <c r="M21" s="3" t="e">
        <f>VLOOKUP(D21,AzureRegions!$A$4:$B$1502,1,FALSE)</f>
        <v>#N/A</v>
      </c>
      <c r="N21" s="3" t="e">
        <f>VLOOKUP(D21,AzureRegions!$A$4:$B$1502,2,FALSE)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VLOOKUP($D$5,Casing!$A$4:$A$60,1,FALSE)</f>
        <v>Lower</v>
      </c>
      <c r="S21" s="21" t="str">
        <f t="shared" si="0"/>
        <v>001</v>
      </c>
    </row>
    <row r="22" spans="1:19" x14ac:dyDescent="0.45">
      <c r="A22" s="21" t="s">
        <v>610</v>
      </c>
      <c r="D22" s="8"/>
      <c r="E22" s="3"/>
      <c r="F22" s="3" t="str">
        <f>IF(ISNUMBER(SEARCH("-",Q22)),IFERROR(IF($D$5="Lower", LOWER(ComputeResourceName($D$4,$D$3,$D$2,C22,I22,J22,K22,L22,N22,O22,Q22,A22)), UPPER(ComputeResourceName($D$4,$D$3,$D$2,C22,I22,J22,K22,L22,N22,O22,Q22,A22))),""),SUBSTITUTE(IFERROR(IF($D$5="Lower", LOWER(ComputeResourceName($D$4,$D$3,$D$2,C22,I22,J22,K22,L22,N22,O22,Q22,A22)), UPPER(ComputeResourceName($D$4,$D$3,$D$2,C22,I22,J22,K22,L22,N22,O22,Q22,A22))),""), "-",""))</f>
        <v/>
      </c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VLOOKUP(B22,Enviroments!$A$3:$D$60,1,FALSE)</f>
        <v>#N/A</v>
      </c>
      <c r="J22" s="3" t="e">
        <f>VLOOKUP(B22,Enviroments!$A$3:$D$60,2,FALSE)</f>
        <v>#N/A</v>
      </c>
      <c r="K22" s="3" t="e">
        <f>VLOOKUP(B22,Enviroments!$A$3:$D$60,3,FALSE)</f>
        <v>#N/A</v>
      </c>
      <c r="L22" s="3" t="e">
        <f>VLOOKUP(B22,Enviroments!$A$3:$D$60,4,FALSE)</f>
        <v>#N/A</v>
      </c>
      <c r="M22" s="3" t="e">
        <f>VLOOKUP(D22,AzureRegions!$A$4:$B$1502,1,FALSE)</f>
        <v>#N/A</v>
      </c>
      <c r="N22" s="3" t="e">
        <f>VLOOKUP(D22,AzureRegions!$A$4:$B$1502,2,FALSE)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VLOOKUP($D$5,Casing!$A$4:$A$60,1,FALSE)</f>
        <v>Lower</v>
      </c>
      <c r="S22" s="21" t="str">
        <f t="shared" si="0"/>
        <v>001</v>
      </c>
    </row>
    <row r="23" spans="1:19" x14ac:dyDescent="0.45">
      <c r="A23" s="21" t="s">
        <v>610</v>
      </c>
      <c r="D23" s="8"/>
      <c r="E23" s="3"/>
      <c r="F23" s="3" t="str">
        <f>IF(ISNUMBER(SEARCH("-",Q23)),IFERROR(IF($D$5="Lower", LOWER(ComputeResourceName($D$4,$D$3,$D$2,C23,I23,J23,K23,L23,N23,O23,Q23,A23)), UPPER(ComputeResourceName($D$4,$D$3,$D$2,C23,I23,J23,K23,L23,N23,O23,Q23,A23))),""),SUBSTITUTE(IFERROR(IF($D$5="Lower", LOWER(ComputeResourceName($D$4,$D$3,$D$2,C23,I23,J23,K23,L23,N23,O23,Q23,A23)), UPPER(ComputeResourceName($D$4,$D$3,$D$2,C23,I23,J23,K23,L23,N23,O23,Q23,A23))),""), "-",""))</f>
        <v/>
      </c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VLOOKUP(B23,Enviroments!$A$3:$D$60,1,FALSE)</f>
        <v>#N/A</v>
      </c>
      <c r="J23" s="3" t="e">
        <f>VLOOKUP(B23,Enviroments!$A$3:$D$60,2,FALSE)</f>
        <v>#N/A</v>
      </c>
      <c r="K23" s="3" t="e">
        <f>VLOOKUP(B23,Enviroments!$A$3:$D$60,3,FALSE)</f>
        <v>#N/A</v>
      </c>
      <c r="L23" s="3" t="e">
        <f>VLOOKUP(B23,Enviroments!$A$3:$D$60,4,FALSE)</f>
        <v>#N/A</v>
      </c>
      <c r="M23" s="3" t="e">
        <f>VLOOKUP(D23,AzureRegions!$A$4:$B$1502,1,FALSE)</f>
        <v>#N/A</v>
      </c>
      <c r="N23" s="3" t="e">
        <f>VLOOKUP(D23,AzureRegions!$A$4:$B$1502,2,FALSE)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VLOOKUP($D$5,Casing!$A$4:$A$60,1,FALSE)</f>
        <v>Lower</v>
      </c>
      <c r="S23" s="21" t="str">
        <f t="shared" si="0"/>
        <v>001</v>
      </c>
    </row>
    <row r="24" spans="1:19" x14ac:dyDescent="0.45">
      <c r="A24" s="21" t="s">
        <v>610</v>
      </c>
      <c r="D24" s="8"/>
      <c r="E24" s="3"/>
      <c r="F24" s="3" t="str">
        <f>IF(ISNUMBER(SEARCH("-",Q24)),IFERROR(IF($D$5="Lower", LOWER(ComputeResourceName($D$4,$D$3,$D$2,C24,I24,J24,K24,L24,N24,O24,Q24,A24)), UPPER(ComputeResourceName($D$4,$D$3,$D$2,C24,I24,J24,K24,L24,N24,O24,Q24,A24))),""),SUBSTITUTE(IFERROR(IF($D$5="Lower", LOWER(ComputeResourceName($D$4,$D$3,$D$2,C24,I24,J24,K24,L24,N24,O24,Q24,A24)), UPPER(ComputeResourceName($D$4,$D$3,$D$2,C24,I24,J24,K24,L24,N24,O24,Q24,A24))),""), "-",""))</f>
        <v/>
      </c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VLOOKUP(B24,Enviroments!$A$3:$D$60,1,FALSE)</f>
        <v>#N/A</v>
      </c>
      <c r="J24" s="3" t="e">
        <f>VLOOKUP(B24,Enviroments!$A$3:$D$60,2,FALSE)</f>
        <v>#N/A</v>
      </c>
      <c r="K24" s="3" t="e">
        <f>VLOOKUP(B24,Enviroments!$A$3:$D$60,3,FALSE)</f>
        <v>#N/A</v>
      </c>
      <c r="L24" s="3" t="e">
        <f>VLOOKUP(B24,Enviroments!$A$3:$D$60,4,FALSE)</f>
        <v>#N/A</v>
      </c>
      <c r="M24" s="3" t="e">
        <f>VLOOKUP(D24,AzureRegions!$A$4:$B$1502,1,FALSE)</f>
        <v>#N/A</v>
      </c>
      <c r="N24" s="3" t="e">
        <f>VLOOKUP(D24,AzureRegions!$A$4:$B$1502,2,FALSE)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VLOOKUP($D$5,Casing!$A$4:$A$60,1,FALSE)</f>
        <v>Lower</v>
      </c>
      <c r="S24" s="21" t="str">
        <f t="shared" si="0"/>
        <v>001</v>
      </c>
    </row>
    <row r="25" spans="1:19" x14ac:dyDescent="0.45">
      <c r="A25" s="21" t="s">
        <v>610</v>
      </c>
      <c r="D25" s="8"/>
      <c r="E25" s="3"/>
      <c r="F25" s="3" t="str">
        <f>IF(ISNUMBER(SEARCH("-",Q25)),IFERROR(IF($D$5="Lower", LOWER(ComputeResourceName($D$4,$D$3,$D$2,C25,I25,J25,K25,L25,N25,O25,Q25,A25)), UPPER(ComputeResourceName($D$4,$D$3,$D$2,C25,I25,J25,K25,L25,N25,O25,Q25,A25))),""),SUBSTITUTE(IFERROR(IF($D$5="Lower", LOWER(ComputeResourceName($D$4,$D$3,$D$2,C25,I25,J25,K25,L25,N25,O25,Q25,A25)), UPPER(ComputeResourceName($D$4,$D$3,$D$2,C25,I25,J25,K25,L25,N25,O25,Q25,A25))),""), "-",""))</f>
        <v/>
      </c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VLOOKUP(B25,Enviroments!$A$3:$D$60,1,FALSE)</f>
        <v>#N/A</v>
      </c>
      <c r="J25" s="3" t="e">
        <f>VLOOKUP(B25,Enviroments!$A$3:$D$60,2,FALSE)</f>
        <v>#N/A</v>
      </c>
      <c r="K25" s="3" t="e">
        <f>VLOOKUP(B25,Enviroments!$A$3:$D$60,3,FALSE)</f>
        <v>#N/A</v>
      </c>
      <c r="L25" s="3" t="e">
        <f>VLOOKUP(B25,Enviroments!$A$3:$D$60,4,FALSE)</f>
        <v>#N/A</v>
      </c>
      <c r="M25" s="3" t="e">
        <f>VLOOKUP(D25,AzureRegions!$A$4:$B$1502,1,FALSE)</f>
        <v>#N/A</v>
      </c>
      <c r="N25" s="3" t="e">
        <f>VLOOKUP(D25,AzureRegions!$A$4:$B$1502,2,FALSE)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VLOOKUP($D$5,Casing!$A$4:$A$60,1,FALSE)</f>
        <v>Lower</v>
      </c>
      <c r="S25" s="21" t="str">
        <f t="shared" si="0"/>
        <v>001</v>
      </c>
    </row>
    <row r="26" spans="1:19" x14ac:dyDescent="0.45">
      <c r="A26" s="21" t="s">
        <v>610</v>
      </c>
      <c r="D26" s="8"/>
      <c r="E26" s="3"/>
      <c r="F26" s="3" t="str">
        <f>IF(ISNUMBER(SEARCH("-",Q26)),IFERROR(IF($D$5="Lower", LOWER(ComputeResourceName($D$4,$D$3,$D$2,C26,I26,J26,K26,L26,N26,O26,Q26,A26)), UPPER(ComputeResourceName($D$4,$D$3,$D$2,C26,I26,J26,K26,L26,N26,O26,Q26,A26))),""),SUBSTITUTE(IFERROR(IF($D$5="Lower", LOWER(ComputeResourceName($D$4,$D$3,$D$2,C26,I26,J26,K26,L26,N26,O26,Q26,A26)), UPPER(ComputeResourceName($D$4,$D$3,$D$2,C26,I26,J26,K26,L26,N26,O26,Q26,A26))),""), "-",""))</f>
        <v/>
      </c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VLOOKUP(B26,Enviroments!$A$3:$D$60,1,FALSE)</f>
        <v>#N/A</v>
      </c>
      <c r="J26" s="3" t="e">
        <f>VLOOKUP(B26,Enviroments!$A$3:$D$60,2,FALSE)</f>
        <v>#N/A</v>
      </c>
      <c r="K26" s="3" t="e">
        <f>VLOOKUP(B26,Enviroments!$A$3:$D$60,3,FALSE)</f>
        <v>#N/A</v>
      </c>
      <c r="L26" s="3" t="e">
        <f>VLOOKUP(B26,Enviroments!$A$3:$D$60,4,FALSE)</f>
        <v>#N/A</v>
      </c>
      <c r="M26" s="3" t="e">
        <f>VLOOKUP(D26,AzureRegions!$A$4:$B$1502,1,FALSE)</f>
        <v>#N/A</v>
      </c>
      <c r="N26" s="3" t="e">
        <f>VLOOKUP(D26,AzureRegions!$A$4:$B$1502,2,FALSE)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VLOOKUP($D$5,Casing!$A$4:$A$60,1,FALSE)</f>
        <v>Lower</v>
      </c>
      <c r="S26" s="21" t="str">
        <f t="shared" si="0"/>
        <v>001</v>
      </c>
    </row>
    <row r="27" spans="1:19" x14ac:dyDescent="0.45">
      <c r="A27" s="21" t="s">
        <v>610</v>
      </c>
      <c r="D27" s="8"/>
      <c r="E27" s="3"/>
      <c r="F27" s="3" t="str">
        <f>IF(ISNUMBER(SEARCH("-",Q27)),IFERROR(IF($D$5="Lower", LOWER(ComputeResourceName($D$4,$D$3,$D$2,C27,I27,J27,K27,L27,N27,O27,Q27,A27)), UPPER(ComputeResourceName($D$4,$D$3,$D$2,C27,I27,J27,K27,L27,N27,O27,Q27,A27))),""),SUBSTITUTE(IFERROR(IF($D$5="Lower",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VLOOKUP(B27,Enviroments!$A$3:$D$60,1,FALSE)</f>
        <v>#N/A</v>
      </c>
      <c r="J27" s="3" t="e">
        <f>VLOOKUP(B27,Enviroments!$A$3:$D$60,2,FALSE)</f>
        <v>#N/A</v>
      </c>
      <c r="K27" s="3" t="e">
        <f>VLOOKUP(B27,Enviroments!$A$3:$D$60,3,FALSE)</f>
        <v>#N/A</v>
      </c>
      <c r="L27" s="3" t="e">
        <f>VLOOKUP(B27,Enviroments!$A$3:$D$60,4,FALSE)</f>
        <v>#N/A</v>
      </c>
      <c r="M27" s="3" t="e">
        <f>VLOOKUP(D27,AzureRegions!$A$4:$B$1502,1,FALSE)</f>
        <v>#N/A</v>
      </c>
      <c r="N27" s="3" t="e">
        <f>VLOOKUP(D27,AzureRegions!$A$4:$B$1502,2,FALSE)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VLOOKUP($D$5,Casing!$A$4:$A$60,1,FALSE)</f>
        <v>Lower</v>
      </c>
      <c r="S27" s="21" t="str">
        <f t="shared" si="0"/>
        <v>001</v>
      </c>
    </row>
    <row r="28" spans="1:19" x14ac:dyDescent="0.45">
      <c r="A28" s="21" t="s">
        <v>610</v>
      </c>
      <c r="D28" s="8"/>
      <c r="E28" s="3"/>
      <c r="F28" s="3" t="str">
        <f>IF(ISNUMBER(SEARCH("-",Q28)),IFERROR(IF($D$5="Lower", LOWER(ComputeResourceName($D$4,$D$3,$D$2,C28,I28,J28,K28,L28,N28,O28,Q28,A28)), UPPER(ComputeResourceName($D$4,$D$3,$D$2,C28,I28,J28,K28,L28,N28,O28,Q28,A28))),""),SUBSTITUTE(IFERROR(IF($D$5="Lower",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VLOOKUP(B28,Enviroments!$A$3:$D$60,1,FALSE)</f>
        <v>#N/A</v>
      </c>
      <c r="J28" s="3" t="e">
        <f>VLOOKUP(B28,Enviroments!$A$3:$D$60,2,FALSE)</f>
        <v>#N/A</v>
      </c>
      <c r="K28" s="3" t="e">
        <f>VLOOKUP(B28,Enviroments!$A$3:$D$60,3,FALSE)</f>
        <v>#N/A</v>
      </c>
      <c r="L28" s="3" t="e">
        <f>VLOOKUP(B28,Enviroments!$A$3:$D$60,4,FALSE)</f>
        <v>#N/A</v>
      </c>
      <c r="M28" s="3" t="e">
        <f>VLOOKUP(D28,AzureRegions!$A$4:$B$1502,1,FALSE)</f>
        <v>#N/A</v>
      </c>
      <c r="N28" s="3" t="e">
        <f>VLOOKUP(D28,AzureRegions!$A$4:$B$1502,2,FALSE)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VLOOKUP($D$5,Casing!$A$4:$A$60,1,FALSE)</f>
        <v>Lower</v>
      </c>
      <c r="S28" s="21" t="str">
        <f t="shared" si="0"/>
        <v>001</v>
      </c>
    </row>
    <row r="29" spans="1:19" x14ac:dyDescent="0.45">
      <c r="A29" s="21" t="s">
        <v>610</v>
      </c>
      <c r="D29" s="8"/>
      <c r="E29" s="3"/>
      <c r="F29" s="3" t="str">
        <f>IF(ISNUMBER(SEARCH("-",Q29)),IFERROR(IF($D$5="Lower", LOWER(ComputeResourceName($D$4,$D$3,$D$2,C29,I29,J29,K29,L29,N29,O29,Q29,A29)), UPPER(ComputeResourceName($D$4,$D$3,$D$2,C29,I29,J29,K29,L29,N29,O29,Q29,A29))),""),SUBSTITUTE(IFERROR(IF($D$5="Lower",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VLOOKUP(B29,Enviroments!$A$3:$D$60,1,FALSE)</f>
        <v>#N/A</v>
      </c>
      <c r="J29" s="3" t="e">
        <f>VLOOKUP(B29,Enviroments!$A$3:$D$60,2,FALSE)</f>
        <v>#N/A</v>
      </c>
      <c r="K29" s="3" t="e">
        <f>VLOOKUP(B29,Enviroments!$A$3:$D$60,3,FALSE)</f>
        <v>#N/A</v>
      </c>
      <c r="L29" s="3" t="e">
        <f>VLOOKUP(B29,Enviroments!$A$3:$D$60,4,FALSE)</f>
        <v>#N/A</v>
      </c>
      <c r="M29" s="3" t="e">
        <f>VLOOKUP(D29,AzureRegions!$A$4:$B$1502,1,FALSE)</f>
        <v>#N/A</v>
      </c>
      <c r="N29" s="3" t="e">
        <f>VLOOKUP(D29,AzureRegions!$A$4:$B$1502,2,FALSE)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VLOOKUP($D$5,Casing!$A$4:$A$60,1,FALSE)</f>
        <v>Lower</v>
      </c>
      <c r="S29" s="21" t="str">
        <f t="shared" si="0"/>
        <v>001</v>
      </c>
    </row>
    <row r="30" spans="1:19" x14ac:dyDescent="0.45">
      <c r="A30" s="21" t="s">
        <v>610</v>
      </c>
      <c r="D30" s="8"/>
      <c r="E30" s="3"/>
      <c r="F30" s="3" t="str">
        <f>IF(ISNUMBER(SEARCH("-",Q30)),IFERROR(IF($D$5="Lower", LOWER(ComputeResourceName($D$4,$D$3,$D$2,C30,I30,J30,K30,L30,N30,O30,Q30,A30)), UPPER(ComputeResourceName($D$4,$D$3,$D$2,C30,I30,J30,K30,L30,N30,O30,Q30,A30))),""),SUBSTITUTE(IFERROR(IF($D$5="Lower", LOWER(ComputeResourceName($D$4,$D$3,$D$2,C30,I30,J30,K30,L30,N30,O30,Q30,A30)), UPPER(ComputeResourceName($D$4,$D$3,$D$2,C30,I30,J30,K30,L30,N30,O30,Q30,A30))),""), "-",""))</f>
        <v/>
      </c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VLOOKUP(B30,Enviroments!$A$3:$D$60,1,FALSE)</f>
        <v>#N/A</v>
      </c>
      <c r="J30" s="3" t="e">
        <f>VLOOKUP(B30,Enviroments!$A$3:$D$60,2,FALSE)</f>
        <v>#N/A</v>
      </c>
      <c r="K30" s="3" t="e">
        <f>VLOOKUP(B30,Enviroments!$A$3:$D$60,3,FALSE)</f>
        <v>#N/A</v>
      </c>
      <c r="L30" s="3" t="e">
        <f>VLOOKUP(B30,Enviroments!$A$3:$D$60,4,FALSE)</f>
        <v>#N/A</v>
      </c>
      <c r="M30" s="3" t="e">
        <f>VLOOKUP(D30,AzureRegions!$A$4:$B$1502,1,FALSE)</f>
        <v>#N/A</v>
      </c>
      <c r="N30" s="3" t="e">
        <f>VLOOKUP(D30,AzureRegions!$A$4:$B$1502,2,FALSE)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VLOOKUP($D$5,Casing!$A$4:$A$60,1,FALSE)</f>
        <v>Lower</v>
      </c>
      <c r="S30" s="21" t="str">
        <f t="shared" si="0"/>
        <v>001</v>
      </c>
    </row>
    <row r="31" spans="1:19" x14ac:dyDescent="0.45">
      <c r="A31" s="21" t="s">
        <v>610</v>
      </c>
      <c r="D31" s="8"/>
      <c r="E31" s="3"/>
      <c r="F31" s="3" t="str">
        <f>IF(ISNUMBER(SEARCH("-",Q31)),IFERROR(IF($D$5="Lower", LOWER(ComputeResourceName($D$4,$D$3,$D$2,C31,I31,J31,K31,L31,N31,O31,Q31,A31)), UPPER(ComputeResourceName($D$4,$D$3,$D$2,C31,I31,J31,K31,L31,N31,O31,Q31,A31))),""),SUBSTITUTE(IFERROR(IF($D$5="Lower", LOWER(ComputeResourceName($D$4,$D$3,$D$2,C31,I31,J31,K31,L31,N31,O31,Q31,A31)), UPPER(ComputeResourceName($D$4,$D$3,$D$2,C31,I31,J31,K31,L31,N31,O31,Q31,A31))),""), "-",""))</f>
        <v/>
      </c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VLOOKUP(B31,Enviroments!$A$3:$D$60,1,FALSE)</f>
        <v>#N/A</v>
      </c>
      <c r="J31" s="3" t="e">
        <f>VLOOKUP(B31,Enviroments!$A$3:$D$60,2,FALSE)</f>
        <v>#N/A</v>
      </c>
      <c r="K31" s="3" t="e">
        <f>VLOOKUP(B31,Enviroments!$A$3:$D$60,3,FALSE)</f>
        <v>#N/A</v>
      </c>
      <c r="L31" s="3" t="e">
        <f>VLOOKUP(B31,Enviroments!$A$3:$D$60,4,FALSE)</f>
        <v>#N/A</v>
      </c>
      <c r="M31" s="3" t="e">
        <f>VLOOKUP(D31,AzureRegions!$A$4:$B$1502,1,FALSE)</f>
        <v>#N/A</v>
      </c>
      <c r="N31" s="3" t="e">
        <f>VLOOKUP(D31,AzureRegions!$A$4:$B$1502,2,FALSE)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VLOOKUP($D$5,Casing!$A$4:$A$60,1,FALSE)</f>
        <v>Lower</v>
      </c>
      <c r="S31" s="21" t="str">
        <f t="shared" si="0"/>
        <v>001</v>
      </c>
    </row>
    <row r="32" spans="1:19" x14ac:dyDescent="0.45">
      <c r="A32" s="21" t="s">
        <v>610</v>
      </c>
      <c r="D32" s="8"/>
      <c r="E32" s="3"/>
      <c r="F32" s="3" t="str">
        <f>IF(ISNUMBER(SEARCH("-",Q32)),IFERROR(IF($D$5="Lower", LOWER(ComputeResourceName($D$4,$D$3,$D$2,C32,I32,J32,K32,L32,N32,O32,Q32,A32)), UPPER(ComputeResourceName($D$4,$D$3,$D$2,C32,I32,J32,K32,L32,N32,O32,Q32,A32))),""),SUBSTITUTE(IFERROR(IF($D$5="Lower", LOWER(ComputeResourceName($D$4,$D$3,$D$2,C32,I32,J32,K32,L32,N32,O32,Q32,A32)), UPPER(ComputeResourceName($D$4,$D$3,$D$2,C32,I32,J32,K32,L32,N32,O32,Q32,A32))),""), "-",""))</f>
        <v/>
      </c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VLOOKUP(B32,Enviroments!$A$3:$D$60,1,FALSE)</f>
        <v>#N/A</v>
      </c>
      <c r="J32" s="3" t="e">
        <f>VLOOKUP(B32,Enviroments!$A$3:$D$60,2,FALSE)</f>
        <v>#N/A</v>
      </c>
      <c r="K32" s="3" t="e">
        <f>VLOOKUP(B32,Enviroments!$A$3:$D$60,3,FALSE)</f>
        <v>#N/A</v>
      </c>
      <c r="L32" s="3" t="e">
        <f>VLOOKUP(B32,Enviroments!$A$3:$D$60,4,FALSE)</f>
        <v>#N/A</v>
      </c>
      <c r="M32" s="3" t="e">
        <f>VLOOKUP(D32,AzureRegions!$A$4:$B$1502,1,FALSE)</f>
        <v>#N/A</v>
      </c>
      <c r="N32" s="3" t="e">
        <f>VLOOKUP(D32,AzureRegions!$A$4:$B$1502,2,FALSE)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VLOOKUP($D$5,Casing!$A$4:$A$60,1,FALSE)</f>
        <v>Lower</v>
      </c>
      <c r="S32" s="21" t="str">
        <f t="shared" si="0"/>
        <v>001</v>
      </c>
    </row>
    <row r="33" spans="1:19" x14ac:dyDescent="0.45">
      <c r="A33" s="21" t="s">
        <v>610</v>
      </c>
      <c r="D33" s="8"/>
      <c r="E33" s="3"/>
      <c r="F33" s="3" t="str">
        <f>IF(ISNUMBER(SEARCH("-",Q33)),IFERROR(IF($D$5="Lower", LOWER(ComputeResourceName($D$4,$D$3,$D$2,C33,I33,J33,K33,L33,N33,O33,Q33,A33)), UPPER(ComputeResourceName($D$4,$D$3,$D$2,C33,I33,J33,K33,L33,N33,O33,Q33,A33))),""),SUBSTITUTE(IFERROR(IF($D$5="Lower", LOWER(ComputeResourceName($D$4,$D$3,$D$2,C33,I33,J33,K33,L33,N33,O33,Q33,A33)), UPPER(ComputeResourceName($D$4,$D$3,$D$2,C33,I33,J33,K33,L33,N33,O33,Q33,A33))),""), "-",""))</f>
        <v/>
      </c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VLOOKUP(B33,Enviroments!$A$3:$D$60,1,FALSE)</f>
        <v>#N/A</v>
      </c>
      <c r="J33" s="3" t="e">
        <f>VLOOKUP(B33,Enviroments!$A$3:$D$60,2,FALSE)</f>
        <v>#N/A</v>
      </c>
      <c r="K33" s="3" t="e">
        <f>VLOOKUP(B33,Enviroments!$A$3:$D$60,3,FALSE)</f>
        <v>#N/A</v>
      </c>
      <c r="L33" s="3" t="e">
        <f>VLOOKUP(B33,Enviroments!$A$3:$D$60,4,FALSE)</f>
        <v>#N/A</v>
      </c>
      <c r="M33" s="3" t="e">
        <f>VLOOKUP(D33,AzureRegions!$A$4:$B$1502,1,FALSE)</f>
        <v>#N/A</v>
      </c>
      <c r="N33" s="3" t="e">
        <f>VLOOKUP(D33,AzureRegions!$A$4:$B$1502,2,FALSE)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VLOOKUP($D$5,Casing!$A$4:$A$60,1,FALSE)</f>
        <v>Lower</v>
      </c>
      <c r="S33" s="21" t="str">
        <f t="shared" si="0"/>
        <v>001</v>
      </c>
    </row>
    <row r="34" spans="1:19" x14ac:dyDescent="0.45">
      <c r="A34" s="21" t="s">
        <v>610</v>
      </c>
      <c r="D34" s="8"/>
      <c r="E34" s="3"/>
      <c r="F34" s="3" t="str">
        <f>IF(ISNUMBER(SEARCH("-",Q34)),IFERROR(IF($D$5="Lower", LOWER(ComputeResourceName($D$4,$D$3,$D$2,C34,I34,J34,K34,L34,N34,O34,Q34,A34)), UPPER(ComputeResourceName($D$4,$D$3,$D$2,C34,I34,J34,K34,L34,N34,O34,Q34,A34))),""),SUBSTITUTE(IFERROR(IF($D$5="Lower", LOWER(ComputeResourceName($D$4,$D$3,$D$2,C34,I34,J34,K34,L34,N34,O34,Q34,A34)), UPPER(ComputeResourceName($D$4,$D$3,$D$2,C34,I34,J34,K34,L34,N34,O34,Q34,A34))),""), "-",""))</f>
        <v/>
      </c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VLOOKUP(B34,Enviroments!$A$3:$D$60,1,FALSE)</f>
        <v>#N/A</v>
      </c>
      <c r="J34" s="3" t="e">
        <f>VLOOKUP(B34,Enviroments!$A$3:$D$60,2,FALSE)</f>
        <v>#N/A</v>
      </c>
      <c r="K34" s="3" t="e">
        <f>VLOOKUP(B34,Enviroments!$A$3:$D$60,3,FALSE)</f>
        <v>#N/A</v>
      </c>
      <c r="L34" s="3" t="e">
        <f>VLOOKUP(B34,Enviroments!$A$3:$D$60,4,FALSE)</f>
        <v>#N/A</v>
      </c>
      <c r="M34" s="3" t="e">
        <f>VLOOKUP(D34,AzureRegions!$A$4:$B$1502,1,FALSE)</f>
        <v>#N/A</v>
      </c>
      <c r="N34" s="3" t="e">
        <f>VLOOKUP(D34,AzureRegions!$A$4:$B$1502,2,FALSE)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VLOOKUP($D$5,Casing!$A$4:$A$60,1,FALSE)</f>
        <v>Lower</v>
      </c>
      <c r="S34" s="21" t="str">
        <f t="shared" si="0"/>
        <v>001</v>
      </c>
    </row>
    <row r="35" spans="1:19" x14ac:dyDescent="0.45">
      <c r="A35" s="21" t="s">
        <v>610</v>
      </c>
      <c r="D35" s="8"/>
      <c r="E35" s="3"/>
      <c r="F35" s="3" t="str">
        <f>IF(ISNUMBER(SEARCH("-",Q35)),IFERROR(IF($D$5="Lower", LOWER(ComputeResourceName($D$4,$D$3,$D$2,C35,I35,J35,K35,L35,N35,O35,Q35,A35)), UPPER(ComputeResourceName($D$4,$D$3,$D$2,C35,I35,J35,K35,L35,N35,O35,Q35,A35))),""),SUBSTITUTE(IFERROR(IF($D$5="Lower", LOWER(ComputeResourceName($D$4,$D$3,$D$2,C35,I35,J35,K35,L35,N35,O35,Q35,A35)), UPPER(ComputeResourceName($D$4,$D$3,$D$2,C35,I35,J35,K35,L35,N35,O35,Q35,A35))),""), "-",""))</f>
        <v/>
      </c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VLOOKUP(B35,Enviroments!$A$3:$D$60,1,FALSE)</f>
        <v>#N/A</v>
      </c>
      <c r="J35" s="3" t="e">
        <f>VLOOKUP(B35,Enviroments!$A$3:$D$60,2,FALSE)</f>
        <v>#N/A</v>
      </c>
      <c r="K35" s="3" t="e">
        <f>VLOOKUP(B35,Enviroments!$A$3:$D$60,3,FALSE)</f>
        <v>#N/A</v>
      </c>
      <c r="L35" s="3" t="e">
        <f>VLOOKUP(B35,Enviroments!$A$3:$D$60,4,FALSE)</f>
        <v>#N/A</v>
      </c>
      <c r="M35" s="3" t="e">
        <f>VLOOKUP(D35,AzureRegions!$A$4:$B$1502,1,FALSE)</f>
        <v>#N/A</v>
      </c>
      <c r="N35" s="3" t="e">
        <f>VLOOKUP(D35,AzureRegions!$A$4:$B$1502,2,FALSE)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VLOOKUP($D$5,Casing!$A$4:$A$60,1,FALSE)</f>
        <v>Lower</v>
      </c>
      <c r="S35" s="21" t="str">
        <f t="shared" si="0"/>
        <v>001</v>
      </c>
    </row>
    <row r="36" spans="1:19" x14ac:dyDescent="0.45">
      <c r="A36" s="21" t="s">
        <v>610</v>
      </c>
      <c r="D36" s="8"/>
      <c r="E36" s="3"/>
      <c r="F36" s="3" t="str">
        <f>IF(ISNUMBER(SEARCH("-",Q36)),IFERROR(IF($D$5="Lower", LOWER(ComputeResourceName($D$4,$D$3,$D$2,C36,I36,J36,K36,L36,N36,O36,Q36,A36)), UPPER(ComputeResourceName($D$4,$D$3,$D$2,C36,I36,J36,K36,L36,N36,O36,Q36,A36))),""),SUBSTITUTE(IFERROR(IF($D$5="Lower",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VLOOKUP(B36,Enviroments!$A$3:$D$60,1,FALSE)</f>
        <v>#N/A</v>
      </c>
      <c r="J36" s="3" t="e">
        <f>VLOOKUP(B36,Enviroments!$A$3:$D$60,2,FALSE)</f>
        <v>#N/A</v>
      </c>
      <c r="K36" s="3" t="e">
        <f>VLOOKUP(B36,Enviroments!$A$3:$D$60,3,FALSE)</f>
        <v>#N/A</v>
      </c>
      <c r="L36" s="3" t="e">
        <f>VLOOKUP(B36,Enviroments!$A$3:$D$60,4,FALSE)</f>
        <v>#N/A</v>
      </c>
      <c r="M36" s="3" t="e">
        <f>VLOOKUP(D36,AzureRegions!$A$4:$B$1502,1,FALSE)</f>
        <v>#N/A</v>
      </c>
      <c r="N36" s="3" t="e">
        <f>VLOOKUP(D36,AzureRegions!$A$4:$B$1502,2,FALSE)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VLOOKUP($D$5,Casing!$A$4:$A$60,1,FALSE)</f>
        <v>Lower</v>
      </c>
      <c r="S36" s="21" t="str">
        <f t="shared" si="0"/>
        <v>001</v>
      </c>
    </row>
    <row r="37" spans="1:19" x14ac:dyDescent="0.45">
      <c r="A37" s="21" t="s">
        <v>610</v>
      </c>
      <c r="D37" s="8"/>
      <c r="E37" s="3"/>
      <c r="F37" s="3" t="str">
        <f>IF(ISNUMBER(SEARCH("-",Q37)),IFERROR(IF($D$5="Lower", LOWER(ComputeResourceName($D$4,$D$3,$D$2,C37,I37,J37,K37,L37,N37,O37,Q37,A37)), UPPER(ComputeResourceName($D$4,$D$3,$D$2,C37,I37,J37,K37,L37,N37,O37,Q37,A37))),""),SUBSTITUTE(IFERROR(IF($D$5="Lower",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VLOOKUP(B37,Enviroments!$A$3:$D$60,1,FALSE)</f>
        <v>#N/A</v>
      </c>
      <c r="J37" s="3" t="e">
        <f>VLOOKUP(B37,Enviroments!$A$3:$D$60,2,FALSE)</f>
        <v>#N/A</v>
      </c>
      <c r="K37" s="3" t="e">
        <f>VLOOKUP(B37,Enviroments!$A$3:$D$60,3,FALSE)</f>
        <v>#N/A</v>
      </c>
      <c r="L37" s="3" t="e">
        <f>VLOOKUP(B37,Enviroments!$A$3:$D$60,4,FALSE)</f>
        <v>#N/A</v>
      </c>
      <c r="M37" s="3" t="e">
        <f>VLOOKUP(D37,AzureRegions!$A$4:$B$1502,1,FALSE)</f>
        <v>#N/A</v>
      </c>
      <c r="N37" s="3" t="e">
        <f>VLOOKUP(D37,AzureRegions!$A$4:$B$1502,2,FALSE)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VLOOKUP($D$5,Casing!$A$4:$A$60,1,FALSE)</f>
        <v>Lower</v>
      </c>
      <c r="S37" s="21" t="str">
        <f t="shared" si="0"/>
        <v>001</v>
      </c>
    </row>
    <row r="38" spans="1:19" x14ac:dyDescent="0.45">
      <c r="A38" s="21" t="s">
        <v>610</v>
      </c>
      <c r="D38" s="8"/>
      <c r="E38" s="3"/>
      <c r="F38" s="3" t="str">
        <f>IF(ISNUMBER(SEARCH("-",Q38)),IFERROR(IF($D$5="Lower", LOWER(ComputeResourceName($D$4,$D$3,$D$2,C38,I38,J38,K38,L38,N38,O38,Q38,A38)), UPPER(ComputeResourceName($D$4,$D$3,$D$2,C38,I38,J38,K38,L38,N38,O38,Q38,A38))),""),SUBSTITUTE(IFERROR(IF($D$5="Lower",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VLOOKUP(B38,Enviroments!$A$3:$D$60,1,FALSE)</f>
        <v>#N/A</v>
      </c>
      <c r="J38" s="3" t="e">
        <f>VLOOKUP(B38,Enviroments!$A$3:$D$60,2,FALSE)</f>
        <v>#N/A</v>
      </c>
      <c r="K38" s="3" t="e">
        <f>VLOOKUP(B38,Enviroments!$A$3:$D$60,3,FALSE)</f>
        <v>#N/A</v>
      </c>
      <c r="L38" s="3" t="e">
        <f>VLOOKUP(B38,Enviroments!$A$3:$D$60,4,FALSE)</f>
        <v>#N/A</v>
      </c>
      <c r="M38" s="3" t="e">
        <f>VLOOKUP(D38,AzureRegions!$A$4:$B$1502,1,FALSE)</f>
        <v>#N/A</v>
      </c>
      <c r="N38" s="3" t="e">
        <f>VLOOKUP(D38,AzureRegions!$A$4:$B$1502,2,FALSE)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VLOOKUP($D$5,Casing!$A$4:$A$60,1,FALSE)</f>
        <v>Lower</v>
      </c>
      <c r="S38" s="21" t="str">
        <f t="shared" si="0"/>
        <v>001</v>
      </c>
    </row>
    <row r="39" spans="1:19" x14ac:dyDescent="0.45">
      <c r="A39" s="21" t="s">
        <v>610</v>
      </c>
      <c r="D39" s="8"/>
      <c r="E39" s="3"/>
      <c r="F39" s="3" t="str">
        <f>IF(ISNUMBER(SEARCH("-",Q39)),IFERROR(IF($D$5="Lower", LOWER(ComputeResourceName($D$4,$D$3,$D$2,C39,I39,J39,K39,L39,N39,O39,Q39,A39)), UPPER(ComputeResourceName($D$4,$D$3,$D$2,C39,I39,J39,K39,L39,N39,O39,Q39,A39))),""),SUBSTITUTE(IFERROR(IF($D$5="Lower",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VLOOKUP(B39,Enviroments!$A$3:$D$60,1,FALSE)</f>
        <v>#N/A</v>
      </c>
      <c r="J39" s="3" t="e">
        <f>VLOOKUP(B39,Enviroments!$A$3:$D$60,2,FALSE)</f>
        <v>#N/A</v>
      </c>
      <c r="K39" s="3" t="e">
        <f>VLOOKUP(B39,Enviroments!$A$3:$D$60,3,FALSE)</f>
        <v>#N/A</v>
      </c>
      <c r="L39" s="3" t="e">
        <f>VLOOKUP(B39,Enviroments!$A$3:$D$60,4,FALSE)</f>
        <v>#N/A</v>
      </c>
      <c r="M39" s="3" t="e">
        <f>VLOOKUP(D39,AzureRegions!$A$4:$B$1502,1,FALSE)</f>
        <v>#N/A</v>
      </c>
      <c r="N39" s="3" t="e">
        <f>VLOOKUP(D39,AzureRegions!$A$4:$B$1502,2,FALSE)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VLOOKUP($D$5,Casing!$A$4:$A$60,1,FALSE)</f>
        <v>Lower</v>
      </c>
      <c r="S39" s="21" t="str">
        <f t="shared" si="0"/>
        <v>001</v>
      </c>
    </row>
    <row r="40" spans="1:19" x14ac:dyDescent="0.45">
      <c r="A40" s="21" t="s">
        <v>610</v>
      </c>
      <c r="D40" s="8"/>
      <c r="E40" s="3"/>
      <c r="F40" s="3" t="str">
        <f>IF(ISNUMBER(SEARCH("-",Q40)),IFERROR(IF($D$5="Lower", LOWER(ComputeResourceName($D$4,$D$3,$D$2,C40,I40,J40,K40,L40,N40,O40,Q40,A40)), UPPER(ComputeResourceName($D$4,$D$3,$D$2,C40,I40,J40,K40,L40,N40,O40,Q40,A40))),""),SUBSTITUTE(IFERROR(IF($D$5="Lower",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VLOOKUP(B40,Enviroments!$A$3:$D$60,1,FALSE)</f>
        <v>#N/A</v>
      </c>
      <c r="J40" s="3" t="e">
        <f>VLOOKUP(B40,Enviroments!$A$3:$D$60,2,FALSE)</f>
        <v>#N/A</v>
      </c>
      <c r="K40" s="3" t="e">
        <f>VLOOKUP(B40,Enviroments!$A$3:$D$60,3,FALSE)</f>
        <v>#N/A</v>
      </c>
      <c r="L40" s="3" t="e">
        <f>VLOOKUP(B40,Enviroments!$A$3:$D$60,4,FALSE)</f>
        <v>#N/A</v>
      </c>
      <c r="M40" s="3" t="e">
        <f>VLOOKUP(D40,AzureRegions!$A$4:$B$1502,1,FALSE)</f>
        <v>#N/A</v>
      </c>
      <c r="N40" s="3" t="e">
        <f>VLOOKUP(D40,AzureRegions!$A$4:$B$1502,2,FALSE)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VLOOKUP($D$5,Casing!$A$4:$A$60,1,FALSE)</f>
        <v>Lower</v>
      </c>
      <c r="S40" s="21" t="str">
        <f t="shared" si="0"/>
        <v>001</v>
      </c>
    </row>
    <row r="41" spans="1:19" x14ac:dyDescent="0.45">
      <c r="A41" s="21" t="s">
        <v>610</v>
      </c>
      <c r="D41" s="8"/>
      <c r="E41" s="3"/>
      <c r="F41" s="3" t="str">
        <f>IF(ISNUMBER(SEARCH("-",Q41)),IFERROR(IF($D$5="Lower", LOWER(ComputeResourceName($D$4,$D$3,$D$2,C41,I41,J41,K41,L41,N41,O41,Q41,A41)), UPPER(ComputeResourceName($D$4,$D$3,$D$2,C41,I41,J41,K41,L41,N41,O41,Q41,A41))),""),SUBSTITUTE(IFERROR(IF($D$5="Lower",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VLOOKUP(B41,Enviroments!$A$3:$D$60,1,FALSE)</f>
        <v>#N/A</v>
      </c>
      <c r="J41" s="3" t="e">
        <f>VLOOKUP(B41,Enviroments!$A$3:$D$60,2,FALSE)</f>
        <v>#N/A</v>
      </c>
      <c r="K41" s="3" t="e">
        <f>VLOOKUP(B41,Enviroments!$A$3:$D$60,3,FALSE)</f>
        <v>#N/A</v>
      </c>
      <c r="L41" s="3" t="e">
        <f>VLOOKUP(B41,Enviroments!$A$3:$D$60,4,FALSE)</f>
        <v>#N/A</v>
      </c>
      <c r="M41" s="3" t="e">
        <f>VLOOKUP(D41,AzureRegions!$A$4:$B$1502,1,FALSE)</f>
        <v>#N/A</v>
      </c>
      <c r="N41" s="3" t="e">
        <f>VLOOKUP(D41,AzureRegions!$A$4:$B$1502,2,FALSE)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VLOOKUP($D$5,Casing!$A$4:$A$60,1,FALSE)</f>
        <v>Lower</v>
      </c>
      <c r="S41" s="21" t="str">
        <f t="shared" si="0"/>
        <v>001</v>
      </c>
    </row>
    <row r="42" spans="1:19" x14ac:dyDescent="0.45">
      <c r="A42" s="21" t="s">
        <v>610</v>
      </c>
      <c r="D42" s="8"/>
      <c r="E42" s="3"/>
      <c r="F42" s="3" t="str">
        <f>IF(ISNUMBER(SEARCH("-",Q42)),IFERROR(IF($D$5="Lower", LOWER(ComputeResourceName($D$4,$D$3,$D$2,C42,I42,J42,K42,L42,N42,O42,Q42,A42)), UPPER(ComputeResourceName($D$4,$D$3,$D$2,C42,I42,J42,K42,L42,N42,O42,Q42,A42))),""),SUBSTITUTE(IFERROR(IF($D$5="Lower",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VLOOKUP(B42,Enviroments!$A$3:$D$60,1,FALSE)</f>
        <v>#N/A</v>
      </c>
      <c r="J42" s="3" t="e">
        <f>VLOOKUP(B42,Enviroments!$A$3:$D$60,2,FALSE)</f>
        <v>#N/A</v>
      </c>
      <c r="K42" s="3" t="e">
        <f>VLOOKUP(B42,Enviroments!$A$3:$D$60,3,FALSE)</f>
        <v>#N/A</v>
      </c>
      <c r="L42" s="3" t="e">
        <f>VLOOKUP(B42,Enviroments!$A$3:$D$60,4,FALSE)</f>
        <v>#N/A</v>
      </c>
      <c r="M42" s="3" t="e">
        <f>VLOOKUP(D42,AzureRegions!$A$4:$B$1502,1,FALSE)</f>
        <v>#N/A</v>
      </c>
      <c r="N42" s="3" t="e">
        <f>VLOOKUP(D42,AzureRegions!$A$4:$B$1502,2,FALSE)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VLOOKUP($D$5,Casing!$A$4:$A$60,1,FALSE)</f>
        <v>Lower</v>
      </c>
      <c r="S42" s="21" t="str">
        <f t="shared" si="0"/>
        <v>001</v>
      </c>
    </row>
    <row r="43" spans="1:19" x14ac:dyDescent="0.45">
      <c r="A43" s="21" t="s">
        <v>610</v>
      </c>
      <c r="D43" s="8"/>
      <c r="E43" s="3"/>
      <c r="F43" s="3" t="str">
        <f>IF(ISNUMBER(SEARCH("-",Q43)),IFERROR(IF($D$5="Lower", LOWER(ComputeResourceName($D$4,$D$3,$D$2,C43,I43,J43,K43,L43,N43,O43,Q43,A43)), UPPER(ComputeResourceName($D$4,$D$3,$D$2,C43,I43,J43,K43,L43,N43,O43,Q43,A43))),""),SUBSTITUTE(IFERROR(IF($D$5="Lower",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VLOOKUP(B43,Enviroments!$A$3:$D$60,1,FALSE)</f>
        <v>#N/A</v>
      </c>
      <c r="J43" s="3" t="e">
        <f>VLOOKUP(B43,Enviroments!$A$3:$D$60,2,FALSE)</f>
        <v>#N/A</v>
      </c>
      <c r="K43" s="3" t="e">
        <f>VLOOKUP(B43,Enviroments!$A$3:$D$60,3,FALSE)</f>
        <v>#N/A</v>
      </c>
      <c r="L43" s="3" t="e">
        <f>VLOOKUP(B43,Enviroments!$A$3:$D$60,4,FALSE)</f>
        <v>#N/A</v>
      </c>
      <c r="M43" s="3" t="e">
        <f>VLOOKUP(D43,AzureRegions!$A$4:$B$1502,1,FALSE)</f>
        <v>#N/A</v>
      </c>
      <c r="N43" s="3" t="e">
        <f>VLOOKUP(D43,AzureRegions!$A$4:$B$1502,2,FALSE)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VLOOKUP($D$5,Casing!$A$4:$A$60,1,FALSE)</f>
        <v>Lower</v>
      </c>
      <c r="S43" s="21" t="str">
        <f t="shared" si="0"/>
        <v>001</v>
      </c>
    </row>
    <row r="44" spans="1:19" x14ac:dyDescent="0.45">
      <c r="A44" s="21" t="s">
        <v>610</v>
      </c>
      <c r="D44" s="8"/>
      <c r="E44" s="3"/>
      <c r="F44" s="3" t="str">
        <f>IF(ISNUMBER(SEARCH("-",Q44)),IFERROR(IF($D$5="Lower", LOWER(ComputeResourceName($D$4,$D$3,$D$2,C44,I44,J44,K44,L44,N44,O44,Q44,A44)), UPPER(ComputeResourceName($D$4,$D$3,$D$2,C44,I44,J44,K44,L44,N44,O44,Q44,A44))),""),SUBSTITUTE(IFERROR(IF($D$5="Lower",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VLOOKUP(B44,Enviroments!$A$3:$D$60,1,FALSE)</f>
        <v>#N/A</v>
      </c>
      <c r="J44" s="3" t="e">
        <f>VLOOKUP(B44,Enviroments!$A$3:$D$60,2,FALSE)</f>
        <v>#N/A</v>
      </c>
      <c r="K44" s="3" t="e">
        <f>VLOOKUP(B44,Enviroments!$A$3:$D$60,3,FALSE)</f>
        <v>#N/A</v>
      </c>
      <c r="L44" s="3" t="e">
        <f>VLOOKUP(B44,Enviroments!$A$3:$D$60,4,FALSE)</f>
        <v>#N/A</v>
      </c>
      <c r="M44" s="3" t="e">
        <f>VLOOKUP(D44,AzureRegions!$A$4:$B$1502,1,FALSE)</f>
        <v>#N/A</v>
      </c>
      <c r="N44" s="3" t="e">
        <f>VLOOKUP(D44,AzureRegions!$A$4:$B$1502,2,FALSE)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VLOOKUP($D$5,Casing!$A$4:$A$60,1,FALSE)</f>
        <v>Lower</v>
      </c>
      <c r="S44" s="21" t="str">
        <f t="shared" si="0"/>
        <v>001</v>
      </c>
    </row>
    <row r="45" spans="1:19" x14ac:dyDescent="0.45">
      <c r="A45" s="21" t="s">
        <v>610</v>
      </c>
      <c r="D45" s="8"/>
      <c r="E45" s="3"/>
      <c r="F45" s="3" t="str">
        <f>IF(ISNUMBER(SEARCH("-",Q45)),IFERROR(IF($D$5="Lower", LOWER(ComputeResourceName($D$4,$D$3,$D$2,C45,I45,J45,K45,L45,N45,O45,Q45,A45)), UPPER(ComputeResourceName($D$4,$D$3,$D$2,C45,I45,J45,K45,L45,N45,O45,Q45,A45))),""),SUBSTITUTE(IFERROR(IF($D$5="Lower",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VLOOKUP(B45,Enviroments!$A$3:$D$60,1,FALSE)</f>
        <v>#N/A</v>
      </c>
      <c r="J45" s="3" t="e">
        <f>VLOOKUP(B45,Enviroments!$A$3:$D$60,2,FALSE)</f>
        <v>#N/A</v>
      </c>
      <c r="K45" s="3" t="e">
        <f>VLOOKUP(B45,Enviroments!$A$3:$D$60,3,FALSE)</f>
        <v>#N/A</v>
      </c>
      <c r="L45" s="3" t="e">
        <f>VLOOKUP(B45,Enviroments!$A$3:$D$60,4,FALSE)</f>
        <v>#N/A</v>
      </c>
      <c r="M45" s="3" t="e">
        <f>VLOOKUP(D45,AzureRegions!$A$4:$B$1502,1,FALSE)</f>
        <v>#N/A</v>
      </c>
      <c r="N45" s="3" t="e">
        <f>VLOOKUP(D45,AzureRegions!$A$4:$B$1502,2,FALSE)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VLOOKUP($D$5,Casing!$A$4:$A$60,1,FALSE)</f>
        <v>Lower</v>
      </c>
      <c r="S45" s="21" t="str">
        <f t="shared" si="0"/>
        <v>001</v>
      </c>
    </row>
    <row r="46" spans="1:19" x14ac:dyDescent="0.45">
      <c r="A46" s="21" t="s">
        <v>610</v>
      </c>
      <c r="D46" s="8"/>
      <c r="E46" s="3"/>
      <c r="F46" s="3" t="str">
        <f>IF(ISNUMBER(SEARCH("-",Q46)),IFERROR(IF($D$5="Lower", LOWER(ComputeResourceName($D$4,$D$3,$D$2,C46,I46,J46,K46,L46,N46,O46,Q46,A46)), UPPER(ComputeResourceName($D$4,$D$3,$D$2,C46,I46,J46,K46,L46,N46,O46,Q46,A46))),""),SUBSTITUTE(IFERROR(IF($D$5="Lower",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VLOOKUP(B46,Enviroments!$A$3:$D$60,1,FALSE)</f>
        <v>#N/A</v>
      </c>
      <c r="J46" s="3" t="e">
        <f>VLOOKUP(B46,Enviroments!$A$3:$D$60,2,FALSE)</f>
        <v>#N/A</v>
      </c>
      <c r="K46" s="3" t="e">
        <f>VLOOKUP(B46,Enviroments!$A$3:$D$60,3,FALSE)</f>
        <v>#N/A</v>
      </c>
      <c r="L46" s="3" t="e">
        <f>VLOOKUP(B46,Enviroments!$A$3:$D$60,4,FALSE)</f>
        <v>#N/A</v>
      </c>
      <c r="M46" s="3" t="e">
        <f>VLOOKUP(D46,AzureRegions!$A$4:$B$1502,1,FALSE)</f>
        <v>#N/A</v>
      </c>
      <c r="N46" s="3" t="e">
        <f>VLOOKUP(D46,AzureRegions!$A$4:$B$1502,2,FALSE)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VLOOKUP($D$5,Casing!$A$4:$A$60,1,FALSE)</f>
        <v>Lower</v>
      </c>
      <c r="S46" s="21" t="str">
        <f t="shared" si="0"/>
        <v>001</v>
      </c>
    </row>
    <row r="47" spans="1:19" x14ac:dyDescent="0.45">
      <c r="A47" s="21" t="s">
        <v>610</v>
      </c>
      <c r="D47" s="8"/>
      <c r="E47" s="3"/>
      <c r="F47" s="3" t="str">
        <f>IF(ISNUMBER(SEARCH("-",Q47)),IFERROR(IF($D$5="Lower", LOWER(ComputeResourceName($D$4,$D$3,$D$2,C47,I47,J47,K47,L47,N47,O47,Q47,A47)), UPPER(ComputeResourceName($D$4,$D$3,$D$2,C47,I47,J47,K47,L47,N47,O47,Q47,A47))),""),SUBSTITUTE(IFERROR(IF($D$5="Lower",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VLOOKUP(B47,Enviroments!$A$3:$D$60,1,FALSE)</f>
        <v>#N/A</v>
      </c>
      <c r="J47" s="3" t="e">
        <f>VLOOKUP(B47,Enviroments!$A$3:$D$60,2,FALSE)</f>
        <v>#N/A</v>
      </c>
      <c r="K47" s="3" t="e">
        <f>VLOOKUP(B47,Enviroments!$A$3:$D$60,3,FALSE)</f>
        <v>#N/A</v>
      </c>
      <c r="L47" s="3" t="e">
        <f>VLOOKUP(B47,Enviroments!$A$3:$D$60,4,FALSE)</f>
        <v>#N/A</v>
      </c>
      <c r="M47" s="3" t="e">
        <f>VLOOKUP(D47,AzureRegions!$A$4:$B$1502,1,FALSE)</f>
        <v>#N/A</v>
      </c>
      <c r="N47" s="3" t="e">
        <f>VLOOKUP(D47,AzureRegions!$A$4:$B$1502,2,FALSE)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VLOOKUP($D$5,Casing!$A$4:$A$60,1,FALSE)</f>
        <v>Lower</v>
      </c>
      <c r="S47" s="21" t="str">
        <f t="shared" si="0"/>
        <v>001</v>
      </c>
    </row>
    <row r="48" spans="1:19" x14ac:dyDescent="0.45">
      <c r="A48" s="21" t="s">
        <v>610</v>
      </c>
      <c r="D48" s="8"/>
      <c r="E48" s="3"/>
      <c r="F48" s="3" t="str">
        <f>IF(ISNUMBER(SEARCH("-",Q48)),IFERROR(IF($D$5="Lower", LOWER(ComputeResourceName($D$4,$D$3,$D$2,C48,I48,J48,K48,L48,N48,O48,Q48,A48)), UPPER(ComputeResourceName($D$4,$D$3,$D$2,C48,I48,J48,K48,L48,N48,O48,Q48,A48))),""),SUBSTITUTE(IFERROR(IF($D$5="Lower",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VLOOKUP(B48,Enviroments!$A$3:$D$60,1,FALSE)</f>
        <v>#N/A</v>
      </c>
      <c r="J48" s="3" t="e">
        <f>VLOOKUP(B48,Enviroments!$A$3:$D$60,2,FALSE)</f>
        <v>#N/A</v>
      </c>
      <c r="K48" s="3" t="e">
        <f>VLOOKUP(B48,Enviroments!$A$3:$D$60,3,FALSE)</f>
        <v>#N/A</v>
      </c>
      <c r="L48" s="3" t="e">
        <f>VLOOKUP(B48,Enviroments!$A$3:$D$60,4,FALSE)</f>
        <v>#N/A</v>
      </c>
      <c r="M48" s="3" t="e">
        <f>VLOOKUP(D48,AzureRegions!$A$4:$B$1502,1,FALSE)</f>
        <v>#N/A</v>
      </c>
      <c r="N48" s="3" t="e">
        <f>VLOOKUP(D48,AzureRegions!$A$4:$B$1502,2,FALSE)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VLOOKUP($D$5,Casing!$A$4:$A$60,1,FALSE)</f>
        <v>Lower</v>
      </c>
      <c r="S48" s="21" t="str">
        <f t="shared" si="0"/>
        <v>001</v>
      </c>
    </row>
    <row r="49" spans="1:19" x14ac:dyDescent="0.45">
      <c r="A49" s="21" t="s">
        <v>610</v>
      </c>
      <c r="D49" s="8"/>
      <c r="E49" s="3"/>
      <c r="F49" s="3" t="str">
        <f>IF(ISNUMBER(SEARCH("-",Q49)),IFERROR(IF($D$5="Lower", LOWER(ComputeResourceName($D$4,$D$3,$D$2,C49,I49,J49,K49,L49,N49,O49,Q49,A49)), UPPER(ComputeResourceName($D$4,$D$3,$D$2,C49,I49,J49,K49,L49,N49,O49,Q49,A49))),""),SUBSTITUTE(IFERROR(IF($D$5="Lower",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VLOOKUP(B49,Enviroments!$A$3:$D$60,1,FALSE)</f>
        <v>#N/A</v>
      </c>
      <c r="J49" s="3" t="e">
        <f>VLOOKUP(B49,Enviroments!$A$3:$D$60,2,FALSE)</f>
        <v>#N/A</v>
      </c>
      <c r="K49" s="3" t="e">
        <f>VLOOKUP(B49,Enviroments!$A$3:$D$60,3,FALSE)</f>
        <v>#N/A</v>
      </c>
      <c r="L49" s="3" t="e">
        <f>VLOOKUP(B49,Enviroments!$A$3:$D$60,4,FALSE)</f>
        <v>#N/A</v>
      </c>
      <c r="M49" s="3" t="e">
        <f>VLOOKUP(D49,AzureRegions!$A$4:$B$1502,1,FALSE)</f>
        <v>#N/A</v>
      </c>
      <c r="N49" s="3" t="e">
        <f>VLOOKUP(D49,AzureRegions!$A$4:$B$1502,2,FALSE)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VLOOKUP($D$5,Casing!$A$4:$A$60,1,FALSE)</f>
        <v>Lower</v>
      </c>
      <c r="S49" s="21" t="str">
        <f t="shared" si="0"/>
        <v>001</v>
      </c>
    </row>
    <row r="50" spans="1:19" x14ac:dyDescent="0.45">
      <c r="A50" s="21" t="s">
        <v>610</v>
      </c>
      <c r="D50" s="8"/>
      <c r="E50" s="3"/>
      <c r="F50" s="3" t="str">
        <f>IF(ISNUMBER(SEARCH("-",Q50)),IFERROR(IF($D$5="Lower", LOWER(ComputeResourceName($D$4,$D$3,$D$2,C50,I50,J50,K50,L50,N50,O50,Q50,A50)), UPPER(ComputeResourceName($D$4,$D$3,$D$2,C50,I50,J50,K50,L50,N50,O50,Q50,A50))),""),SUBSTITUTE(IFERROR(IF($D$5="Lower",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VLOOKUP(B50,Enviroments!$A$3:$D$60,1,FALSE)</f>
        <v>#N/A</v>
      </c>
      <c r="J50" s="3" t="e">
        <f>VLOOKUP(B50,Enviroments!$A$3:$D$60,2,FALSE)</f>
        <v>#N/A</v>
      </c>
      <c r="K50" s="3" t="e">
        <f>VLOOKUP(B50,Enviroments!$A$3:$D$60,3,FALSE)</f>
        <v>#N/A</v>
      </c>
      <c r="L50" s="3" t="e">
        <f>VLOOKUP(B50,Enviroments!$A$3:$D$60,4,FALSE)</f>
        <v>#N/A</v>
      </c>
      <c r="M50" s="3" t="e">
        <f>VLOOKUP(D50,AzureRegions!$A$4:$B$1502,1,FALSE)</f>
        <v>#N/A</v>
      </c>
      <c r="N50" s="3" t="e">
        <f>VLOOKUP(D50,AzureRegions!$A$4:$B$1502,2,FALSE)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VLOOKUP($D$5,Casing!$A$4:$A$60,1,FALSE)</f>
        <v>Lower</v>
      </c>
      <c r="S50" s="21" t="str">
        <f t="shared" si="0"/>
        <v>001</v>
      </c>
    </row>
    <row r="51" spans="1:19" x14ac:dyDescent="0.45">
      <c r="A51" s="21" t="s">
        <v>610</v>
      </c>
      <c r="D51" s="8"/>
      <c r="E51" s="3"/>
      <c r="F51" s="3" t="str">
        <f>IF(ISNUMBER(SEARCH("-",Q51)),IFERROR(IF($D$5="Lower", LOWER(ComputeResourceName($D$4,$D$3,$D$2,C51,I51,J51,K51,L51,N51,O51,Q51,A51)), UPPER(ComputeResourceName($D$4,$D$3,$D$2,C51,I51,J51,K51,L51,N51,O51,Q51,A51))),""),SUBSTITUTE(IFERROR(IF($D$5="Lower",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VLOOKUP(B51,Enviroments!$A$3:$D$60,1,FALSE)</f>
        <v>#N/A</v>
      </c>
      <c r="J51" s="3" t="e">
        <f>VLOOKUP(B51,Enviroments!$A$3:$D$60,2,FALSE)</f>
        <v>#N/A</v>
      </c>
      <c r="K51" s="3" t="e">
        <f>VLOOKUP(B51,Enviroments!$A$3:$D$60,3,FALSE)</f>
        <v>#N/A</v>
      </c>
      <c r="L51" s="3" t="e">
        <f>VLOOKUP(B51,Enviroments!$A$3:$D$60,4,FALSE)</f>
        <v>#N/A</v>
      </c>
      <c r="M51" s="3" t="e">
        <f>VLOOKUP(D51,AzureRegions!$A$4:$B$1502,1,FALSE)</f>
        <v>#N/A</v>
      </c>
      <c r="N51" s="3" t="e">
        <f>VLOOKUP(D51,AzureRegions!$A$4:$B$1502,2,FALSE)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VLOOKUP($D$5,Casing!$A$4:$A$60,1,FALSE)</f>
        <v>Lower</v>
      </c>
      <c r="S51" s="21" t="str">
        <f t="shared" si="0"/>
        <v>001</v>
      </c>
    </row>
    <row r="52" spans="1:19" x14ac:dyDescent="0.45">
      <c r="A52" s="21" t="s">
        <v>610</v>
      </c>
      <c r="D52" s="8"/>
      <c r="E52" s="3"/>
      <c r="F52" s="3" t="str">
        <f>IF(ISNUMBER(SEARCH("-",Q52)),IFERROR(IF($D$5="Lower", LOWER(ComputeResourceName($D$4,$D$3,$D$2,C52,I52,J52,K52,L52,N52,O52,Q52,A52)), UPPER(ComputeResourceName($D$4,$D$3,$D$2,C52,I52,J52,K52,L52,N52,O52,Q52,A52))),""),SUBSTITUTE(IFERROR(IF($D$5="Lower",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VLOOKUP(B52,Enviroments!$A$3:$D$60,1,FALSE)</f>
        <v>#N/A</v>
      </c>
      <c r="J52" s="3" t="e">
        <f>VLOOKUP(B52,Enviroments!$A$3:$D$60,2,FALSE)</f>
        <v>#N/A</v>
      </c>
      <c r="K52" s="3" t="e">
        <f>VLOOKUP(B52,Enviroments!$A$3:$D$60,3,FALSE)</f>
        <v>#N/A</v>
      </c>
      <c r="L52" s="3" t="e">
        <f>VLOOKUP(B52,Enviroments!$A$3:$D$60,4,FALSE)</f>
        <v>#N/A</v>
      </c>
      <c r="M52" s="3" t="e">
        <f>VLOOKUP(D52,AzureRegions!$A$4:$B$1502,1,FALSE)</f>
        <v>#N/A</v>
      </c>
      <c r="N52" s="3" t="e">
        <f>VLOOKUP(D52,AzureRegions!$A$4:$B$1502,2,FALSE)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VLOOKUP($D$5,Casing!$A$4:$A$60,1,FALSE)</f>
        <v>Lower</v>
      </c>
      <c r="S52" s="21" t="str">
        <f t="shared" si="0"/>
        <v>001</v>
      </c>
    </row>
    <row r="53" spans="1:19" x14ac:dyDescent="0.45">
      <c r="A53" s="21" t="s">
        <v>610</v>
      </c>
      <c r="D53" s="8"/>
      <c r="E53" s="3"/>
      <c r="F53" s="3" t="str">
        <f>IF(ISNUMBER(SEARCH("-",Q53)),IFERROR(IF($D$5="Lower", LOWER(ComputeResourceName($D$4,$D$3,$D$2,C53,I53,J53,K53,L53,N53,O53,Q53,A53)), UPPER(ComputeResourceName($D$4,$D$3,$D$2,C53,I53,J53,K53,L53,N53,O53,Q53,A53))),""),SUBSTITUTE(IFERROR(IF($D$5="Lower",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VLOOKUP(B53,Enviroments!$A$3:$D$60,1,FALSE)</f>
        <v>#N/A</v>
      </c>
      <c r="J53" s="3" t="e">
        <f>VLOOKUP(B53,Enviroments!$A$3:$D$60,2,FALSE)</f>
        <v>#N/A</v>
      </c>
      <c r="K53" s="3" t="e">
        <f>VLOOKUP(B53,Enviroments!$A$3:$D$60,3,FALSE)</f>
        <v>#N/A</v>
      </c>
      <c r="L53" s="3" t="e">
        <f>VLOOKUP(B53,Enviroments!$A$3:$D$60,4,FALSE)</f>
        <v>#N/A</v>
      </c>
      <c r="M53" s="3" t="e">
        <f>VLOOKUP(D53,AzureRegions!$A$4:$B$1502,1,FALSE)</f>
        <v>#N/A</v>
      </c>
      <c r="N53" s="3" t="e">
        <f>VLOOKUP(D53,AzureRegions!$A$4:$B$1502,2,FALSE)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VLOOKUP($D$5,Casing!$A$4:$A$60,1,FALSE)</f>
        <v>Lower</v>
      </c>
      <c r="S53" s="21" t="str">
        <f t="shared" si="0"/>
        <v>001</v>
      </c>
    </row>
    <row r="54" spans="1:19" x14ac:dyDescent="0.45">
      <c r="A54" s="21" t="s">
        <v>610</v>
      </c>
      <c r="D54" s="8"/>
      <c r="E54" s="3"/>
      <c r="F54" s="3" t="str">
        <f>IF(ISNUMBER(SEARCH("-",Q54)),IFERROR(IF($D$5="Lower", LOWER(ComputeResourceName($D$4,$D$3,$D$2,C54,I54,J54,K54,L54,N54,O54,Q54,A54)), UPPER(ComputeResourceName($D$4,$D$3,$D$2,C54,I54,J54,K54,L54,N54,O54,Q54,A54))),""),SUBSTITUTE(IFERROR(IF($D$5="Lower",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VLOOKUP(B54,Enviroments!$A$3:$D$60,1,FALSE)</f>
        <v>#N/A</v>
      </c>
      <c r="J54" s="3" t="e">
        <f>VLOOKUP(B54,Enviroments!$A$3:$D$60,2,FALSE)</f>
        <v>#N/A</v>
      </c>
      <c r="K54" s="3" t="e">
        <f>VLOOKUP(B54,Enviroments!$A$3:$D$60,3,FALSE)</f>
        <v>#N/A</v>
      </c>
      <c r="L54" s="3" t="e">
        <f>VLOOKUP(B54,Enviroments!$A$3:$D$60,4,FALSE)</f>
        <v>#N/A</v>
      </c>
      <c r="M54" s="3" t="e">
        <f>VLOOKUP(D54,AzureRegions!$A$4:$B$1502,1,FALSE)</f>
        <v>#N/A</v>
      </c>
      <c r="N54" s="3" t="e">
        <f>VLOOKUP(D54,AzureRegions!$A$4:$B$1502,2,FALSE)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VLOOKUP($D$5,Casing!$A$4:$A$60,1,FALSE)</f>
        <v>Lower</v>
      </c>
      <c r="S54" s="21" t="str">
        <f t="shared" si="0"/>
        <v>001</v>
      </c>
    </row>
    <row r="55" spans="1:19" x14ac:dyDescent="0.45">
      <c r="A55" s="21" t="s">
        <v>610</v>
      </c>
      <c r="D55" s="8"/>
      <c r="E55" s="3"/>
      <c r="F55" s="3" t="str">
        <f>IF(ISNUMBER(SEARCH("-",Q55)),IFERROR(IF($D$5="Lower", LOWER(ComputeResourceName($D$4,$D$3,$D$2,C55,I55,J55,K55,L55,N55,O55,Q55,A55)), UPPER(ComputeResourceName($D$4,$D$3,$D$2,C55,I55,J55,K55,L55,N55,O55,Q55,A55))),""),SUBSTITUTE(IFERROR(IF($D$5="Lower",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VLOOKUP(B55,Enviroments!$A$3:$D$60,1,FALSE)</f>
        <v>#N/A</v>
      </c>
      <c r="J55" s="3" t="e">
        <f>VLOOKUP(B55,Enviroments!$A$3:$D$60,2,FALSE)</f>
        <v>#N/A</v>
      </c>
      <c r="K55" s="3" t="e">
        <f>VLOOKUP(B55,Enviroments!$A$3:$D$60,3,FALSE)</f>
        <v>#N/A</v>
      </c>
      <c r="L55" s="3" t="e">
        <f>VLOOKUP(B55,Enviroments!$A$3:$D$60,4,FALSE)</f>
        <v>#N/A</v>
      </c>
      <c r="M55" s="3" t="e">
        <f>VLOOKUP(D55,AzureRegions!$A$4:$B$1502,1,FALSE)</f>
        <v>#N/A</v>
      </c>
      <c r="N55" s="3" t="e">
        <f>VLOOKUP(D55,AzureRegions!$A$4:$B$1502,2,FALSE)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VLOOKUP($D$5,Casing!$A$4:$A$60,1,FALSE)</f>
        <v>Lower</v>
      </c>
      <c r="S55" s="21" t="str">
        <f t="shared" si="0"/>
        <v>001</v>
      </c>
    </row>
    <row r="56" spans="1:19" x14ac:dyDescent="0.45">
      <c r="A56" s="21" t="s">
        <v>610</v>
      </c>
      <c r="D56" s="8"/>
      <c r="E56" s="3"/>
      <c r="F56" s="3" t="str">
        <f>IF(ISNUMBER(SEARCH("-",Q56)),IFERROR(IF($D$5="Lower", LOWER(ComputeResourceName($D$4,$D$3,$D$2,C56,I56,J56,K56,L56,N56,O56,Q56,A56)), UPPER(ComputeResourceName($D$4,$D$3,$D$2,C56,I56,J56,K56,L56,N56,O56,Q56,A56))),""),SUBSTITUTE(IFERROR(IF($D$5="Lower",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VLOOKUP(B56,Enviroments!$A$3:$D$60,1,FALSE)</f>
        <v>#N/A</v>
      </c>
      <c r="J56" s="3" t="e">
        <f>VLOOKUP(B56,Enviroments!$A$3:$D$60,2,FALSE)</f>
        <v>#N/A</v>
      </c>
      <c r="K56" s="3" t="e">
        <f>VLOOKUP(B56,Enviroments!$A$3:$D$60,3,FALSE)</f>
        <v>#N/A</v>
      </c>
      <c r="L56" s="3" t="e">
        <f>VLOOKUP(B56,Enviroments!$A$3:$D$60,4,FALSE)</f>
        <v>#N/A</v>
      </c>
      <c r="M56" s="3" t="e">
        <f>VLOOKUP(D56,AzureRegions!$A$4:$B$1502,1,FALSE)</f>
        <v>#N/A</v>
      </c>
      <c r="N56" s="3" t="e">
        <f>VLOOKUP(D56,AzureRegions!$A$4:$B$1502,2,FALSE)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VLOOKUP($D$5,Casing!$A$4:$A$60,1,FALSE)</f>
        <v>Lower</v>
      </c>
      <c r="S56" s="21" t="str">
        <f t="shared" si="0"/>
        <v>001</v>
      </c>
    </row>
    <row r="57" spans="1:19" x14ac:dyDescent="0.45">
      <c r="A57" s="21" t="s">
        <v>610</v>
      </c>
      <c r="D57" s="8"/>
      <c r="E57" s="3"/>
      <c r="F57" s="3" t="str">
        <f>IF(ISNUMBER(SEARCH("-",Q57)),IFERROR(IF($D$5="Lower", LOWER(ComputeResourceName($D$4,$D$3,$D$2,C57,I57,J57,K57,L57,N57,O57,Q57,A57)), UPPER(ComputeResourceName($D$4,$D$3,$D$2,C57,I57,J57,K57,L57,N57,O57,Q57,A57))),""),SUBSTITUTE(IFERROR(IF($D$5="Lower",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VLOOKUP(B57,Enviroments!$A$3:$D$60,1,FALSE)</f>
        <v>#N/A</v>
      </c>
      <c r="J57" s="3" t="e">
        <f>VLOOKUP(B57,Enviroments!$A$3:$D$60,2,FALSE)</f>
        <v>#N/A</v>
      </c>
      <c r="K57" s="3" t="e">
        <f>VLOOKUP(B57,Enviroments!$A$3:$D$60,3,FALSE)</f>
        <v>#N/A</v>
      </c>
      <c r="L57" s="3" t="e">
        <f>VLOOKUP(B57,Enviroments!$A$3:$D$60,4,FALSE)</f>
        <v>#N/A</v>
      </c>
      <c r="M57" s="3" t="e">
        <f>VLOOKUP(D57,AzureRegions!$A$4:$B$1502,1,FALSE)</f>
        <v>#N/A</v>
      </c>
      <c r="N57" s="3" t="e">
        <f>VLOOKUP(D57,AzureRegions!$A$4:$B$1502,2,FALSE)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VLOOKUP($D$5,Casing!$A$4:$A$60,1,FALSE)</f>
        <v>Lower</v>
      </c>
      <c r="S57" s="21" t="str">
        <f t="shared" si="0"/>
        <v>001</v>
      </c>
    </row>
    <row r="58" spans="1:19" x14ac:dyDescent="0.45">
      <c r="A58" s="21" t="s">
        <v>610</v>
      </c>
      <c r="D58" s="8"/>
      <c r="E58" s="3"/>
      <c r="F58" s="3" t="str">
        <f>IF(ISNUMBER(SEARCH("-",Q58)),IFERROR(IF($D$5="Lower", LOWER(ComputeResourceName($D$4,$D$3,$D$2,C58,I58,J58,K58,L58,N58,O58,Q58,A58)), UPPER(ComputeResourceName($D$4,$D$3,$D$2,C58,I58,J58,K58,L58,N58,O58,Q58,A58))),""),SUBSTITUTE(IFERROR(IF($D$5="Lower",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VLOOKUP(B58,Enviroments!$A$3:$D$60,1,FALSE)</f>
        <v>#N/A</v>
      </c>
      <c r="J58" s="3" t="e">
        <f>VLOOKUP(B58,Enviroments!$A$3:$D$60,2,FALSE)</f>
        <v>#N/A</v>
      </c>
      <c r="K58" s="3" t="e">
        <f>VLOOKUP(B58,Enviroments!$A$3:$D$60,3,FALSE)</f>
        <v>#N/A</v>
      </c>
      <c r="L58" s="3" t="e">
        <f>VLOOKUP(B58,Enviroments!$A$3:$D$60,4,FALSE)</f>
        <v>#N/A</v>
      </c>
      <c r="M58" s="3" t="e">
        <f>VLOOKUP(D58,AzureRegions!$A$4:$B$1502,1,FALSE)</f>
        <v>#N/A</v>
      </c>
      <c r="N58" s="3" t="e">
        <f>VLOOKUP(D58,AzureRegions!$A$4:$B$1502,2,FALSE)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VLOOKUP($D$5,Casing!$A$4:$A$60,1,FALSE)</f>
        <v>Lower</v>
      </c>
      <c r="S58" s="21" t="str">
        <f t="shared" si="0"/>
        <v>001</v>
      </c>
    </row>
    <row r="59" spans="1:19" x14ac:dyDescent="0.45">
      <c r="A59" s="21" t="s">
        <v>610</v>
      </c>
      <c r="D59" s="8"/>
      <c r="E59" s="3"/>
      <c r="F59" s="3" t="str">
        <f>IF(ISNUMBER(SEARCH("-",Q59)),IFERROR(IF($D$5="Lower", LOWER(ComputeResourceName($D$4,$D$3,$D$2,C59,I59,J59,K59,L59,N59,O59,Q59,A59)), UPPER(ComputeResourceName($D$4,$D$3,$D$2,C59,I59,J59,K59,L59,N59,O59,Q59,A59))),""),SUBSTITUTE(IFERROR(IF($D$5="Lower",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VLOOKUP(B59,Enviroments!$A$3:$D$60,1,FALSE)</f>
        <v>#N/A</v>
      </c>
      <c r="J59" s="3" t="e">
        <f>VLOOKUP(B59,Enviroments!$A$3:$D$60,2,FALSE)</f>
        <v>#N/A</v>
      </c>
      <c r="K59" s="3" t="e">
        <f>VLOOKUP(B59,Enviroments!$A$3:$D$60,3,FALSE)</f>
        <v>#N/A</v>
      </c>
      <c r="L59" s="3" t="e">
        <f>VLOOKUP(B59,Enviroments!$A$3:$D$60,4,FALSE)</f>
        <v>#N/A</v>
      </c>
      <c r="M59" s="3" t="e">
        <f>VLOOKUP(D59,AzureRegions!$A$4:$B$1502,1,FALSE)</f>
        <v>#N/A</v>
      </c>
      <c r="N59" s="3" t="e">
        <f>VLOOKUP(D59,AzureRegions!$A$4:$B$1502,2,FALSE)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VLOOKUP($D$5,Casing!$A$4:$A$60,1,FALSE)</f>
        <v>Lower</v>
      </c>
      <c r="S59" s="21" t="str">
        <f t="shared" si="0"/>
        <v>001</v>
      </c>
    </row>
    <row r="60" spans="1:19" x14ac:dyDescent="0.45">
      <c r="A60" s="21" t="s">
        <v>610</v>
      </c>
      <c r="D60" s="8"/>
      <c r="E60" s="3"/>
      <c r="F60" s="3" t="str">
        <f>IF(ISNUMBER(SEARCH("-",Q60)),IFERROR(IF($D$5="Lower", LOWER(ComputeResourceName($D$4,$D$3,$D$2,C60,I60,J60,K60,L60,N60,O60,Q60,A60)), UPPER(ComputeResourceName($D$4,$D$3,$D$2,C60,I60,J60,K60,L60,N60,O60,Q60,A60))),""),SUBSTITUTE(IFERROR(IF($D$5="Lower",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VLOOKUP(B60,Enviroments!$A$3:$D$60,1,FALSE)</f>
        <v>#N/A</v>
      </c>
      <c r="J60" s="3" t="e">
        <f>VLOOKUP(B60,Enviroments!$A$3:$D$60,2,FALSE)</f>
        <v>#N/A</v>
      </c>
      <c r="K60" s="3" t="e">
        <f>VLOOKUP(B60,Enviroments!$A$3:$D$60,3,FALSE)</f>
        <v>#N/A</v>
      </c>
      <c r="L60" s="3" t="e">
        <f>VLOOKUP(B60,Enviroments!$A$3:$D$60,4,FALSE)</f>
        <v>#N/A</v>
      </c>
      <c r="M60" s="3" t="e">
        <f>VLOOKUP(D60,AzureRegions!$A$4:$B$1502,1,FALSE)</f>
        <v>#N/A</v>
      </c>
      <c r="N60" s="3" t="e">
        <f>VLOOKUP(D60,AzureRegions!$A$4:$B$1502,2,FALSE)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VLOOKUP($D$5,Casing!$A$4:$A$60,1,FALSE)</f>
        <v>Lower</v>
      </c>
      <c r="S60" s="21" t="str">
        <f t="shared" si="0"/>
        <v>001</v>
      </c>
    </row>
    <row r="61" spans="1:19" x14ac:dyDescent="0.45">
      <c r="A61" s="21" t="s">
        <v>610</v>
      </c>
      <c r="D61" s="8"/>
      <c r="E61" s="3"/>
      <c r="F61" s="3" t="str">
        <f>IF(ISNUMBER(SEARCH("-",Q61)),IFERROR(IF($D$5="Lower", LOWER(ComputeResourceName($D$4,$D$3,$D$2,C61,I61,J61,K61,L61,N61,O61,Q61,A61)), UPPER(ComputeResourceName($D$4,$D$3,$D$2,C61,I61,J61,K61,L61,N61,O61,Q61,A61))),""),SUBSTITUTE(IFERROR(IF($D$5="Lower",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VLOOKUP(B61,Enviroments!$A$3:$D$60,1,FALSE)</f>
        <v>#N/A</v>
      </c>
      <c r="J61" s="3" t="e">
        <f>VLOOKUP(B61,Enviroments!$A$3:$D$60,2,FALSE)</f>
        <v>#N/A</v>
      </c>
      <c r="K61" s="3" t="e">
        <f>VLOOKUP(B61,Enviroments!$A$3:$D$60,3,FALSE)</f>
        <v>#N/A</v>
      </c>
      <c r="L61" s="3" t="e">
        <f>VLOOKUP(B61,Enviroments!$A$3:$D$60,4,FALSE)</f>
        <v>#N/A</v>
      </c>
      <c r="M61" s="3" t="e">
        <f>VLOOKUP(D61,AzureRegions!$A$4:$B$1502,1,FALSE)</f>
        <v>#N/A</v>
      </c>
      <c r="N61" s="3" t="e">
        <f>VLOOKUP(D61,AzureRegions!$A$4:$B$1502,2,FALSE)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VLOOKUP($D$5,Casing!$A$4:$A$60,1,FALSE)</f>
        <v>Lower</v>
      </c>
      <c r="S61" s="21" t="str">
        <f t="shared" si="0"/>
        <v>001</v>
      </c>
    </row>
    <row r="62" spans="1:19" x14ac:dyDescent="0.45">
      <c r="A62" s="21" t="s">
        <v>610</v>
      </c>
      <c r="D62" s="8"/>
      <c r="E62" s="3"/>
      <c r="F62" s="3" t="str">
        <f>IF(ISNUMBER(SEARCH("-",Q62)),IFERROR(IF($D$5="Lower", LOWER(ComputeResourceName($D$4,$D$3,$D$2,C62,I62,J62,K62,L62,N62,O62,Q62,A62)), UPPER(ComputeResourceName($D$4,$D$3,$D$2,C62,I62,J62,K62,L62,N62,O62,Q62,A62))),""),SUBSTITUTE(IFERROR(IF($D$5="Lower",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VLOOKUP(B62,Enviroments!$A$3:$D$60,1,FALSE)</f>
        <v>#N/A</v>
      </c>
      <c r="J62" s="3" t="e">
        <f>VLOOKUP(B62,Enviroments!$A$3:$D$60,2,FALSE)</f>
        <v>#N/A</v>
      </c>
      <c r="K62" s="3" t="e">
        <f>VLOOKUP(B62,Enviroments!$A$3:$D$60,3,FALSE)</f>
        <v>#N/A</v>
      </c>
      <c r="L62" s="3" t="e">
        <f>VLOOKUP(B62,Enviroments!$A$3:$D$60,4,FALSE)</f>
        <v>#N/A</v>
      </c>
      <c r="M62" s="3" t="e">
        <f>VLOOKUP(D62,AzureRegions!$A$4:$B$1502,1,FALSE)</f>
        <v>#N/A</v>
      </c>
      <c r="N62" s="3" t="e">
        <f>VLOOKUP(D62,AzureRegions!$A$4:$B$1502,2,FALSE)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VLOOKUP($D$5,Casing!$A$4:$A$60,1,FALSE)</f>
        <v>Lower</v>
      </c>
      <c r="S62" s="21" t="str">
        <f t="shared" si="0"/>
        <v>001</v>
      </c>
    </row>
    <row r="63" spans="1:19" x14ac:dyDescent="0.45">
      <c r="A63" s="21" t="s">
        <v>610</v>
      </c>
      <c r="D63" s="8"/>
      <c r="E63" s="3"/>
      <c r="F63" s="3" t="str">
        <f>IF(ISNUMBER(SEARCH("-",Q63)),IFERROR(IF($D$5="Lower", LOWER(ComputeResourceName($D$4,$D$3,$D$2,C63,I63,J63,K63,L63,N63,O63,Q63,A63)), UPPER(ComputeResourceName($D$4,$D$3,$D$2,C63,I63,J63,K63,L63,N63,O63,Q63,A63))),""),SUBSTITUTE(IFERROR(IF($D$5="Lower",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VLOOKUP(B63,Enviroments!$A$3:$D$60,1,FALSE)</f>
        <v>#N/A</v>
      </c>
      <c r="J63" s="3" t="e">
        <f>VLOOKUP(B63,Enviroments!$A$3:$D$60,2,FALSE)</f>
        <v>#N/A</v>
      </c>
      <c r="K63" s="3" t="e">
        <f>VLOOKUP(B63,Enviroments!$A$3:$D$60,3,FALSE)</f>
        <v>#N/A</v>
      </c>
      <c r="L63" s="3" t="e">
        <f>VLOOKUP(B63,Enviroments!$A$3:$D$60,4,FALSE)</f>
        <v>#N/A</v>
      </c>
      <c r="M63" s="3" t="e">
        <f>VLOOKUP(D63,AzureRegions!$A$4:$B$1502,1,FALSE)</f>
        <v>#N/A</v>
      </c>
      <c r="N63" s="3" t="e">
        <f>VLOOKUP(D63,AzureRegions!$A$4:$B$1502,2,FALSE)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VLOOKUP($D$5,Casing!$A$4:$A$60,1,FALSE)</f>
        <v>Lower</v>
      </c>
      <c r="S63" s="21" t="str">
        <f t="shared" si="0"/>
        <v>001</v>
      </c>
    </row>
    <row r="64" spans="1:19" x14ac:dyDescent="0.45">
      <c r="A64" s="21" t="s">
        <v>610</v>
      </c>
      <c r="D64" s="8"/>
      <c r="E64" s="3"/>
      <c r="F64" s="3" t="str">
        <f>IF(ISNUMBER(SEARCH("-",Q64)),IFERROR(IF($D$5="Lower", LOWER(ComputeResourceName($D$4,$D$3,$D$2,C64,I64,J64,K64,L64,N64,O64,Q64,A64)), UPPER(ComputeResourceName($D$4,$D$3,$D$2,C64,I64,J64,K64,L64,N64,O64,Q64,A64))),""),SUBSTITUTE(IFERROR(IF($D$5="Lower",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VLOOKUP(B64,Enviroments!$A$3:$D$60,1,FALSE)</f>
        <v>#N/A</v>
      </c>
      <c r="J64" s="3" t="e">
        <f>VLOOKUP(B64,Enviroments!$A$3:$D$60,2,FALSE)</f>
        <v>#N/A</v>
      </c>
      <c r="K64" s="3" t="e">
        <f>VLOOKUP(B64,Enviroments!$A$3:$D$60,3,FALSE)</f>
        <v>#N/A</v>
      </c>
      <c r="L64" s="3" t="e">
        <f>VLOOKUP(B64,Enviroments!$A$3:$D$60,4,FALSE)</f>
        <v>#N/A</v>
      </c>
      <c r="M64" s="3" t="e">
        <f>VLOOKUP(D64,AzureRegions!$A$4:$B$1502,1,FALSE)</f>
        <v>#N/A</v>
      </c>
      <c r="N64" s="3" t="e">
        <f>VLOOKUP(D64,AzureRegions!$A$4:$B$1502,2,FALSE)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VLOOKUP($D$5,Casing!$A$4:$A$60,1,FALSE)</f>
        <v>Lower</v>
      </c>
      <c r="S64" s="21" t="str">
        <f t="shared" si="0"/>
        <v>001</v>
      </c>
    </row>
    <row r="65" spans="1:19" x14ac:dyDescent="0.45">
      <c r="A65" s="21" t="s">
        <v>610</v>
      </c>
      <c r="D65" s="8"/>
      <c r="E65" s="3"/>
      <c r="F65" s="3" t="str">
        <f>IF(ISNUMBER(SEARCH("-",Q65)),IFERROR(IF($D$5="Lower", LOWER(ComputeResourceName($D$4,$D$3,$D$2,C65,I65,J65,K65,L65,N65,O65,Q65,A65)), UPPER(ComputeResourceName($D$4,$D$3,$D$2,C65,I65,J65,K65,L65,N65,O65,Q65,A65))),""),SUBSTITUTE(IFERROR(IF($D$5="Lower",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VLOOKUP(B65,Enviroments!$A$3:$D$60,1,FALSE)</f>
        <v>#N/A</v>
      </c>
      <c r="J65" s="3" t="e">
        <f>VLOOKUP(B65,Enviroments!$A$3:$D$60,2,FALSE)</f>
        <v>#N/A</v>
      </c>
      <c r="K65" s="3" t="e">
        <f>VLOOKUP(B65,Enviroments!$A$3:$D$60,3,FALSE)</f>
        <v>#N/A</v>
      </c>
      <c r="L65" s="3" t="e">
        <f>VLOOKUP(B65,Enviroments!$A$3:$D$60,4,FALSE)</f>
        <v>#N/A</v>
      </c>
      <c r="M65" s="3" t="e">
        <f>VLOOKUP(D65,AzureRegions!$A$4:$B$1502,1,FALSE)</f>
        <v>#N/A</v>
      </c>
      <c r="N65" s="3" t="e">
        <f>VLOOKUP(D65,AzureRegions!$A$4:$B$1502,2,FALSE)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VLOOKUP($D$5,Casing!$A$4:$A$60,1,FALSE)</f>
        <v>Lower</v>
      </c>
      <c r="S65" s="21" t="str">
        <f t="shared" si="0"/>
        <v>001</v>
      </c>
    </row>
    <row r="66" spans="1:19" x14ac:dyDescent="0.45">
      <c r="A66" s="21" t="s">
        <v>610</v>
      </c>
      <c r="D66" s="8"/>
      <c r="E66" s="3"/>
      <c r="F66" s="3" t="str">
        <f>IF(ISNUMBER(SEARCH("-",Q66)),IFERROR(IF($D$5="Lower", LOWER(ComputeResourceName($D$4,$D$3,$D$2,C66,I66,J66,K66,L66,N66,O66,Q66,A66)), UPPER(ComputeResourceName($D$4,$D$3,$D$2,C66,I66,J66,K66,L66,N66,O66,Q66,A66))),""),SUBSTITUTE(IFERROR(IF($D$5="Lower",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VLOOKUP(B66,Enviroments!$A$3:$D$60,1,FALSE)</f>
        <v>#N/A</v>
      </c>
      <c r="J66" s="3" t="e">
        <f>VLOOKUP(B66,Enviroments!$A$3:$D$60,2,FALSE)</f>
        <v>#N/A</v>
      </c>
      <c r="K66" s="3" t="e">
        <f>VLOOKUP(B66,Enviroments!$A$3:$D$60,3,FALSE)</f>
        <v>#N/A</v>
      </c>
      <c r="L66" s="3" t="e">
        <f>VLOOKUP(B66,Enviroments!$A$3:$D$60,4,FALSE)</f>
        <v>#N/A</v>
      </c>
      <c r="M66" s="3" t="e">
        <f>VLOOKUP(D66,AzureRegions!$A$4:$B$1502,1,FALSE)</f>
        <v>#N/A</v>
      </c>
      <c r="N66" s="3" t="e">
        <f>VLOOKUP(D66,AzureRegions!$A$4:$B$1502,2,FALSE)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VLOOKUP($D$5,Casing!$A$4:$A$60,1,FALSE)</f>
        <v>Lower</v>
      </c>
      <c r="S66" s="21" t="str">
        <f t="shared" si="0"/>
        <v>001</v>
      </c>
    </row>
    <row r="67" spans="1:19" x14ac:dyDescent="0.45">
      <c r="A67" s="21" t="s">
        <v>610</v>
      </c>
      <c r="D67" s="8"/>
      <c r="E67" s="3"/>
      <c r="F67" s="3" t="str">
        <f>IF(ISNUMBER(SEARCH("-",Q67)),IFERROR(IF($D$5="Lower", LOWER(ComputeResourceName($D$4,$D$3,$D$2,C67,I67,J67,K67,L67,N67,O67,Q67,A67)), UPPER(ComputeResourceName($D$4,$D$3,$D$2,C67,I67,J67,K67,L67,N67,O67,Q67,A67))),""),SUBSTITUTE(IFERROR(IF($D$5="Lower",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VLOOKUP(B67,Enviroments!$A$3:$D$60,1,FALSE)</f>
        <v>#N/A</v>
      </c>
      <c r="J67" s="3" t="e">
        <f>VLOOKUP(B67,Enviroments!$A$3:$D$60,2,FALSE)</f>
        <v>#N/A</v>
      </c>
      <c r="K67" s="3" t="e">
        <f>VLOOKUP(B67,Enviroments!$A$3:$D$60,3,FALSE)</f>
        <v>#N/A</v>
      </c>
      <c r="L67" s="3" t="e">
        <f>VLOOKUP(B67,Enviroments!$A$3:$D$60,4,FALSE)</f>
        <v>#N/A</v>
      </c>
      <c r="M67" s="3" t="e">
        <f>VLOOKUP(D67,AzureRegions!$A$4:$B$1502,1,FALSE)</f>
        <v>#N/A</v>
      </c>
      <c r="N67" s="3" t="e">
        <f>VLOOKUP(D67,AzureRegions!$A$4:$B$1502,2,FALSE)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VLOOKUP($D$5,Casing!$A$4:$A$60,1,FALSE)</f>
        <v>Lower</v>
      </c>
      <c r="S67" s="21" t="str">
        <f t="shared" si="0"/>
        <v>001</v>
      </c>
    </row>
    <row r="68" spans="1:19" x14ac:dyDescent="0.45">
      <c r="A68" s="21" t="s">
        <v>610</v>
      </c>
      <c r="D68" s="8"/>
      <c r="E68" s="3"/>
      <c r="F68" s="3" t="str">
        <f>IF(ISNUMBER(SEARCH("-",Q68)),IFERROR(IF($D$5="Lower", LOWER(ComputeResourceName($D$4,$D$3,$D$2,C68,I68,J68,K68,L68,N68,O68,Q68,A68)), UPPER(ComputeResourceName($D$4,$D$3,$D$2,C68,I68,J68,K68,L68,N68,O68,Q68,A68))),""),SUBSTITUTE(IFERROR(IF($D$5="Lower",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VLOOKUP(B68,Enviroments!$A$3:$D$60,1,FALSE)</f>
        <v>#N/A</v>
      </c>
      <c r="J68" s="3" t="e">
        <f>VLOOKUP(B68,Enviroments!$A$3:$D$60,2,FALSE)</f>
        <v>#N/A</v>
      </c>
      <c r="K68" s="3" t="e">
        <f>VLOOKUP(B68,Enviroments!$A$3:$D$60,3,FALSE)</f>
        <v>#N/A</v>
      </c>
      <c r="L68" s="3" t="e">
        <f>VLOOKUP(B68,Enviroments!$A$3:$D$60,4,FALSE)</f>
        <v>#N/A</v>
      </c>
      <c r="M68" s="3" t="e">
        <f>VLOOKUP(D68,AzureRegions!$A$4:$B$1502,1,FALSE)</f>
        <v>#N/A</v>
      </c>
      <c r="N68" s="3" t="e">
        <f>VLOOKUP(D68,AzureRegions!$A$4:$B$1502,2,FALSE)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VLOOKUP($D$5,Casing!$A$4:$A$60,1,FALSE)</f>
        <v>Lower</v>
      </c>
      <c r="S68" s="21" t="str">
        <f t="shared" si="0"/>
        <v>001</v>
      </c>
    </row>
    <row r="69" spans="1:19" x14ac:dyDescent="0.45">
      <c r="A69" s="21" t="s">
        <v>610</v>
      </c>
      <c r="D69" s="8"/>
      <c r="E69" s="3"/>
      <c r="F69" s="3" t="str">
        <f>IF(ISNUMBER(SEARCH("-",Q69)),IFERROR(IF($D$5="Lower", LOWER(ComputeResourceName($D$4,$D$3,$D$2,C69,I69,J69,K69,L69,N69,O69,Q69,A69)), UPPER(ComputeResourceName($D$4,$D$3,$D$2,C69,I69,J69,K69,L69,N69,O69,Q69,A69))),""),SUBSTITUTE(IFERROR(IF($D$5="Lower",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VLOOKUP(B69,Enviroments!$A$3:$D$60,1,FALSE)</f>
        <v>#N/A</v>
      </c>
      <c r="J69" s="3" t="e">
        <f>VLOOKUP(B69,Enviroments!$A$3:$D$60,2,FALSE)</f>
        <v>#N/A</v>
      </c>
      <c r="K69" s="3" t="e">
        <f>VLOOKUP(B69,Enviroments!$A$3:$D$60,3,FALSE)</f>
        <v>#N/A</v>
      </c>
      <c r="L69" s="3" t="e">
        <f>VLOOKUP(B69,Enviroments!$A$3:$D$60,4,FALSE)</f>
        <v>#N/A</v>
      </c>
      <c r="M69" s="3" t="e">
        <f>VLOOKUP(D69,AzureRegions!$A$4:$B$1502,1,FALSE)</f>
        <v>#N/A</v>
      </c>
      <c r="N69" s="3" t="e">
        <f>VLOOKUP(D69,AzureRegions!$A$4:$B$1502,2,FALSE)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VLOOKUP($D$5,Casing!$A$4:$A$60,1,FALSE)</f>
        <v>Lower</v>
      </c>
      <c r="S69" s="21" t="str">
        <f t="shared" si="0"/>
        <v>001</v>
      </c>
    </row>
    <row r="70" spans="1:19" x14ac:dyDescent="0.45">
      <c r="A70" s="21" t="s">
        <v>610</v>
      </c>
      <c r="D70" s="8"/>
      <c r="E70" s="3"/>
      <c r="F70" s="3" t="str">
        <f>IF(ISNUMBER(SEARCH("-",Q70)),IFERROR(IF($D$5="Lower", LOWER(ComputeResourceName($D$4,$D$3,$D$2,C70,I70,J70,K70,L70,N70,O70,Q70,A70)), UPPER(ComputeResourceName($D$4,$D$3,$D$2,C70,I70,J70,K70,L70,N70,O70,Q70,A70))),""),SUBSTITUTE(IFERROR(IF($D$5="Lower",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VLOOKUP(B70,Enviroments!$A$3:$D$60,1,FALSE)</f>
        <v>#N/A</v>
      </c>
      <c r="J70" s="3" t="e">
        <f>VLOOKUP(B70,Enviroments!$A$3:$D$60,2,FALSE)</f>
        <v>#N/A</v>
      </c>
      <c r="K70" s="3" t="e">
        <f>VLOOKUP(B70,Enviroments!$A$3:$D$60,3,FALSE)</f>
        <v>#N/A</v>
      </c>
      <c r="L70" s="3" t="e">
        <f>VLOOKUP(B70,Enviroments!$A$3:$D$60,4,FALSE)</f>
        <v>#N/A</v>
      </c>
      <c r="M70" s="3" t="e">
        <f>VLOOKUP(D70,AzureRegions!$A$4:$B$1502,1,FALSE)</f>
        <v>#N/A</v>
      </c>
      <c r="N70" s="3" t="e">
        <f>VLOOKUP(D70,AzureRegions!$A$4:$B$1502,2,FALSE)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VLOOKUP($D$5,Casing!$A$4:$A$60,1,FALSE)</f>
        <v>Lower</v>
      </c>
      <c r="S70" s="21" t="str">
        <f t="shared" si="0"/>
        <v>001</v>
      </c>
    </row>
    <row r="71" spans="1:19" x14ac:dyDescent="0.45">
      <c r="A71" s="21" t="s">
        <v>610</v>
      </c>
      <c r="D71" s="8"/>
      <c r="E71" s="3"/>
      <c r="F71" s="3" t="str">
        <f>IF(ISNUMBER(SEARCH("-",Q71)),IFERROR(IF($D$5="Lower", LOWER(ComputeResourceName($D$4,$D$3,$D$2,C71,I71,J71,K71,L71,N71,O71,Q71,A71)), UPPER(ComputeResourceName($D$4,$D$3,$D$2,C71,I71,J71,K71,L71,N71,O71,Q71,A71))),""),SUBSTITUTE(IFERROR(IF($D$5="Lower",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VLOOKUP(B71,Enviroments!$A$3:$D$60,1,FALSE)</f>
        <v>#N/A</v>
      </c>
      <c r="J71" s="3" t="e">
        <f>VLOOKUP(B71,Enviroments!$A$3:$D$60,2,FALSE)</f>
        <v>#N/A</v>
      </c>
      <c r="K71" s="3" t="e">
        <f>VLOOKUP(B71,Enviroments!$A$3:$D$60,3,FALSE)</f>
        <v>#N/A</v>
      </c>
      <c r="L71" s="3" t="e">
        <f>VLOOKUP(B71,Enviroments!$A$3:$D$60,4,FALSE)</f>
        <v>#N/A</v>
      </c>
      <c r="M71" s="3" t="e">
        <f>VLOOKUP(D71,AzureRegions!$A$4:$B$1502,1,FALSE)</f>
        <v>#N/A</v>
      </c>
      <c r="N71" s="3" t="e">
        <f>VLOOKUP(D71,AzureRegions!$A$4:$B$1502,2,FALSE)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VLOOKUP($D$5,Casing!$A$4:$A$60,1,FALSE)</f>
        <v>Lower</v>
      </c>
      <c r="S71" s="21" t="str">
        <f t="shared" si="0"/>
        <v>001</v>
      </c>
    </row>
    <row r="72" spans="1:19" x14ac:dyDescent="0.45">
      <c r="A72" s="21" t="s">
        <v>610</v>
      </c>
      <c r="D72" s="8"/>
      <c r="E72" s="3"/>
      <c r="F72" s="3" t="str">
        <f>IF(ISNUMBER(SEARCH("-",Q72)),IFERROR(IF($D$5="Lower", LOWER(ComputeResourceName($D$4,$D$3,$D$2,C72,I72,J72,K72,L72,N72,O72,Q72,A72)), UPPER(ComputeResourceName($D$4,$D$3,$D$2,C72,I72,J72,K72,L72,N72,O72,Q72,A72))),""),SUBSTITUTE(IFERROR(IF($D$5="Lower",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VLOOKUP(B72,Enviroments!$A$3:$D$60,1,FALSE)</f>
        <v>#N/A</v>
      </c>
      <c r="J72" s="3" t="e">
        <f>VLOOKUP(B72,Enviroments!$A$3:$D$60,2,FALSE)</f>
        <v>#N/A</v>
      </c>
      <c r="K72" s="3" t="e">
        <f>VLOOKUP(B72,Enviroments!$A$3:$D$60,3,FALSE)</f>
        <v>#N/A</v>
      </c>
      <c r="L72" s="3" t="e">
        <f>VLOOKUP(B72,Enviroments!$A$3:$D$60,4,FALSE)</f>
        <v>#N/A</v>
      </c>
      <c r="M72" s="3" t="e">
        <f>VLOOKUP(D72,AzureRegions!$A$4:$B$1502,1,FALSE)</f>
        <v>#N/A</v>
      </c>
      <c r="N72" s="3" t="e">
        <f>VLOOKUP(D72,AzureRegions!$A$4:$B$1502,2,FALSE)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VLOOKUP($D$5,Casing!$A$4:$A$60,1,FALSE)</f>
        <v>Lower</v>
      </c>
      <c r="S72" s="21" t="str">
        <f t="shared" si="0"/>
        <v>001</v>
      </c>
    </row>
    <row r="73" spans="1:19" x14ac:dyDescent="0.45">
      <c r="A73" s="21" t="s">
        <v>610</v>
      </c>
      <c r="D73" s="8"/>
      <c r="E73" s="3"/>
      <c r="F73" s="3" t="str">
        <f>IF(ISNUMBER(SEARCH("-",Q73)),IFERROR(IF($D$5="Lower", LOWER(ComputeResourceName($D$4,$D$3,$D$2,C73,I73,J73,K73,L73,N73,O73,Q73,A73)), UPPER(ComputeResourceName($D$4,$D$3,$D$2,C73,I73,J73,K73,L73,N73,O73,Q73,A73))),""),SUBSTITUTE(IFERROR(IF($D$5="Lower",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VLOOKUP(B73,Enviroments!$A$3:$D$60,1,FALSE)</f>
        <v>#N/A</v>
      </c>
      <c r="J73" s="3" t="e">
        <f>VLOOKUP(B73,Enviroments!$A$3:$D$60,2,FALSE)</f>
        <v>#N/A</v>
      </c>
      <c r="K73" s="3" t="e">
        <f>VLOOKUP(B73,Enviroments!$A$3:$D$60,3,FALSE)</f>
        <v>#N/A</v>
      </c>
      <c r="L73" s="3" t="e">
        <f>VLOOKUP(B73,Enviroments!$A$3:$D$60,4,FALSE)</f>
        <v>#N/A</v>
      </c>
      <c r="M73" s="3" t="e">
        <f>VLOOKUP(D73,AzureRegions!$A$4:$B$1502,1,FALSE)</f>
        <v>#N/A</v>
      </c>
      <c r="N73" s="3" t="e">
        <f>VLOOKUP(D73,AzureRegions!$A$4:$B$1502,2,FALSE)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VLOOKUP($D$5,Casing!$A$4:$A$60,1,FALSE)</f>
        <v>Lower</v>
      </c>
      <c r="S73" s="21" t="str">
        <f t="shared" ref="S73:S136" si="1">A73</f>
        <v>001</v>
      </c>
    </row>
    <row r="74" spans="1:19" x14ac:dyDescent="0.45">
      <c r="A74" s="21" t="s">
        <v>610</v>
      </c>
      <c r="D74" s="8"/>
      <c r="E74" s="3"/>
      <c r="F74" s="3" t="str">
        <f>IF(ISNUMBER(SEARCH("-",Q74)),IFERROR(IF($D$5="Lower", LOWER(ComputeResourceName($D$4,$D$3,$D$2,C74,I74,J74,K74,L74,N74,O74,Q74,A74)), UPPER(ComputeResourceName($D$4,$D$3,$D$2,C74,I74,J74,K74,L74,N74,O74,Q74,A74))),""),SUBSTITUTE(IFERROR(IF($D$5="Lower",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VLOOKUP(B74,Enviroments!$A$3:$D$60,1,FALSE)</f>
        <v>#N/A</v>
      </c>
      <c r="J74" s="3" t="e">
        <f>VLOOKUP(B74,Enviroments!$A$3:$D$60,2,FALSE)</f>
        <v>#N/A</v>
      </c>
      <c r="K74" s="3" t="e">
        <f>VLOOKUP(B74,Enviroments!$A$3:$D$60,3,FALSE)</f>
        <v>#N/A</v>
      </c>
      <c r="L74" s="3" t="e">
        <f>VLOOKUP(B74,Enviroments!$A$3:$D$60,4,FALSE)</f>
        <v>#N/A</v>
      </c>
      <c r="M74" s="3" t="e">
        <f>VLOOKUP(D74,AzureRegions!$A$4:$B$1502,1,FALSE)</f>
        <v>#N/A</v>
      </c>
      <c r="N74" s="3" t="e">
        <f>VLOOKUP(D74,AzureRegions!$A$4:$B$1502,2,FALSE)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VLOOKUP($D$5,Casing!$A$4:$A$60,1,FALSE)</f>
        <v>Lower</v>
      </c>
      <c r="S74" s="21" t="str">
        <f t="shared" si="1"/>
        <v>001</v>
      </c>
    </row>
    <row r="75" spans="1:19" x14ac:dyDescent="0.45">
      <c r="A75" s="21" t="s">
        <v>610</v>
      </c>
      <c r="D75" s="8"/>
      <c r="E75" s="3"/>
      <c r="F75" s="3" t="str">
        <f>IF(ISNUMBER(SEARCH("-",Q75)),IFERROR(IF($D$5="Lower", LOWER(ComputeResourceName($D$4,$D$3,$D$2,C75,I75,J75,K75,L75,N75,O75,Q75,A75)), UPPER(ComputeResourceName($D$4,$D$3,$D$2,C75,I75,J75,K75,L75,N75,O75,Q75,A75))),""),SUBSTITUTE(IFERROR(IF($D$5="Lower",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VLOOKUP(B75,Enviroments!$A$3:$D$60,1,FALSE)</f>
        <v>#N/A</v>
      </c>
      <c r="J75" s="3" t="e">
        <f>VLOOKUP(B75,Enviroments!$A$3:$D$60,2,FALSE)</f>
        <v>#N/A</v>
      </c>
      <c r="K75" s="3" t="e">
        <f>VLOOKUP(B75,Enviroments!$A$3:$D$60,3,FALSE)</f>
        <v>#N/A</v>
      </c>
      <c r="L75" s="3" t="e">
        <f>VLOOKUP(B75,Enviroments!$A$3:$D$60,4,FALSE)</f>
        <v>#N/A</v>
      </c>
      <c r="M75" s="3" t="e">
        <f>VLOOKUP(D75,AzureRegions!$A$4:$B$1502,1,FALSE)</f>
        <v>#N/A</v>
      </c>
      <c r="N75" s="3" t="e">
        <f>VLOOKUP(D75,AzureRegions!$A$4:$B$1502,2,FALSE)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VLOOKUP($D$5,Casing!$A$4:$A$60,1,FALSE)</f>
        <v>Lower</v>
      </c>
      <c r="S75" s="21" t="str">
        <f t="shared" si="1"/>
        <v>001</v>
      </c>
    </row>
    <row r="76" spans="1:19" x14ac:dyDescent="0.45">
      <c r="A76" s="21" t="s">
        <v>610</v>
      </c>
      <c r="D76" s="8"/>
      <c r="E76" s="3"/>
      <c r="F76" s="3" t="str">
        <f>IF(ISNUMBER(SEARCH("-",Q76)),IFERROR(IF($D$5="Lower", LOWER(ComputeResourceName($D$4,$D$3,$D$2,C76,I76,J76,K76,L76,N76,O76,Q76,A76)), UPPER(ComputeResourceName($D$4,$D$3,$D$2,C76,I76,J76,K76,L76,N76,O76,Q76,A76))),""),SUBSTITUTE(IFERROR(IF($D$5="Lower",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VLOOKUP(B76,Enviroments!$A$3:$D$60,1,FALSE)</f>
        <v>#N/A</v>
      </c>
      <c r="J76" s="3" t="e">
        <f>VLOOKUP(B76,Enviroments!$A$3:$D$60,2,FALSE)</f>
        <v>#N/A</v>
      </c>
      <c r="K76" s="3" t="e">
        <f>VLOOKUP(B76,Enviroments!$A$3:$D$60,3,FALSE)</f>
        <v>#N/A</v>
      </c>
      <c r="L76" s="3" t="e">
        <f>VLOOKUP(B76,Enviroments!$A$3:$D$60,4,FALSE)</f>
        <v>#N/A</v>
      </c>
      <c r="M76" s="3" t="e">
        <f>VLOOKUP(D76,AzureRegions!$A$4:$B$1502,1,FALSE)</f>
        <v>#N/A</v>
      </c>
      <c r="N76" s="3" t="e">
        <f>VLOOKUP(D76,AzureRegions!$A$4:$B$1502,2,FALSE)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VLOOKUP($D$5,Casing!$A$4:$A$60,1,FALSE)</f>
        <v>Lower</v>
      </c>
      <c r="S76" s="21" t="str">
        <f t="shared" si="1"/>
        <v>001</v>
      </c>
    </row>
    <row r="77" spans="1:19" x14ac:dyDescent="0.45">
      <c r="A77" s="21" t="s">
        <v>610</v>
      </c>
      <c r="D77" s="8"/>
      <c r="E77" s="3"/>
      <c r="F77" s="3" t="str">
        <f>IF(ISNUMBER(SEARCH("-",Q77)),IFERROR(IF($D$5="Lower", LOWER(ComputeResourceName($D$4,$D$3,$D$2,C77,I77,J77,K77,L77,N77,O77,Q77,A77)), UPPER(ComputeResourceName($D$4,$D$3,$D$2,C77,I77,J77,K77,L77,N77,O77,Q77,A77))),""),SUBSTITUTE(IFERROR(IF($D$5="Lower",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VLOOKUP(B77,Enviroments!$A$3:$D$60,1,FALSE)</f>
        <v>#N/A</v>
      </c>
      <c r="J77" s="3" t="e">
        <f>VLOOKUP(B77,Enviroments!$A$3:$D$60,2,FALSE)</f>
        <v>#N/A</v>
      </c>
      <c r="K77" s="3" t="e">
        <f>VLOOKUP(B77,Enviroments!$A$3:$D$60,3,FALSE)</f>
        <v>#N/A</v>
      </c>
      <c r="L77" s="3" t="e">
        <f>VLOOKUP(B77,Enviroments!$A$3:$D$60,4,FALSE)</f>
        <v>#N/A</v>
      </c>
      <c r="M77" s="3" t="e">
        <f>VLOOKUP(D77,AzureRegions!$A$4:$B$1502,1,FALSE)</f>
        <v>#N/A</v>
      </c>
      <c r="N77" s="3" t="e">
        <f>VLOOKUP(D77,AzureRegions!$A$4:$B$1502,2,FALSE)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VLOOKUP($D$5,Casing!$A$4:$A$60,1,FALSE)</f>
        <v>Lower</v>
      </c>
      <c r="S77" s="21" t="str">
        <f t="shared" si="1"/>
        <v>001</v>
      </c>
    </row>
    <row r="78" spans="1:19" x14ac:dyDescent="0.45">
      <c r="A78" s="21" t="s">
        <v>610</v>
      </c>
      <c r="D78" s="8"/>
      <c r="E78" s="3"/>
      <c r="F78" s="3" t="str">
        <f>IF(ISNUMBER(SEARCH("-",Q78)),IFERROR(IF($D$5="Lower", LOWER(ComputeResourceName($D$4,$D$3,$D$2,C78,I78,J78,K78,L78,N78,O78,Q78,A78)), UPPER(ComputeResourceName($D$4,$D$3,$D$2,C78,I78,J78,K78,L78,N78,O78,Q78,A78))),""),SUBSTITUTE(IFERROR(IF($D$5="Lower",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VLOOKUP(B78,Enviroments!$A$3:$D$60,1,FALSE)</f>
        <v>#N/A</v>
      </c>
      <c r="J78" s="3" t="e">
        <f>VLOOKUP(B78,Enviroments!$A$3:$D$60,2,FALSE)</f>
        <v>#N/A</v>
      </c>
      <c r="K78" s="3" t="e">
        <f>VLOOKUP(B78,Enviroments!$A$3:$D$60,3,FALSE)</f>
        <v>#N/A</v>
      </c>
      <c r="L78" s="3" t="e">
        <f>VLOOKUP(B78,Enviroments!$A$3:$D$60,4,FALSE)</f>
        <v>#N/A</v>
      </c>
      <c r="M78" s="3" t="e">
        <f>VLOOKUP(D78,AzureRegions!$A$4:$B$1502,1,FALSE)</f>
        <v>#N/A</v>
      </c>
      <c r="N78" s="3" t="e">
        <f>VLOOKUP(D78,AzureRegions!$A$4:$B$1502,2,FALSE)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VLOOKUP($D$5,Casing!$A$4:$A$60,1,FALSE)</f>
        <v>Lower</v>
      </c>
      <c r="S78" s="21" t="str">
        <f t="shared" si="1"/>
        <v>001</v>
      </c>
    </row>
    <row r="79" spans="1:19" x14ac:dyDescent="0.45">
      <c r="A79" s="21" t="s">
        <v>610</v>
      </c>
      <c r="D79" s="8"/>
      <c r="E79" s="3"/>
      <c r="F79" s="3" t="str">
        <f>IF(ISNUMBER(SEARCH("-",Q79)),IFERROR(IF($D$5="Lower", LOWER(ComputeResourceName($D$4,$D$3,$D$2,C79,I79,J79,K79,L79,N79,O79,Q79,A79)), UPPER(ComputeResourceName($D$4,$D$3,$D$2,C79,I79,J79,K79,L79,N79,O79,Q79,A79))),""),SUBSTITUTE(IFERROR(IF($D$5="Lower",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VLOOKUP(B79,Enviroments!$A$3:$D$60,1,FALSE)</f>
        <v>#N/A</v>
      </c>
      <c r="J79" s="3" t="e">
        <f>VLOOKUP(B79,Enviroments!$A$3:$D$60,2,FALSE)</f>
        <v>#N/A</v>
      </c>
      <c r="K79" s="3" t="e">
        <f>VLOOKUP(B79,Enviroments!$A$3:$D$60,3,FALSE)</f>
        <v>#N/A</v>
      </c>
      <c r="L79" s="3" t="e">
        <f>VLOOKUP(B79,Enviroments!$A$3:$D$60,4,FALSE)</f>
        <v>#N/A</v>
      </c>
      <c r="M79" s="3" t="e">
        <f>VLOOKUP(D79,AzureRegions!$A$4:$B$1502,1,FALSE)</f>
        <v>#N/A</v>
      </c>
      <c r="N79" s="3" t="e">
        <f>VLOOKUP(D79,AzureRegions!$A$4:$B$1502,2,FALSE)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VLOOKUP($D$5,Casing!$A$4:$A$60,1,FALSE)</f>
        <v>Lower</v>
      </c>
      <c r="S79" s="21" t="str">
        <f t="shared" si="1"/>
        <v>001</v>
      </c>
    </row>
    <row r="80" spans="1:19" x14ac:dyDescent="0.45">
      <c r="A80" s="21" t="s">
        <v>610</v>
      </c>
      <c r="D80" s="8"/>
      <c r="E80" s="3"/>
      <c r="F80" s="3" t="str">
        <f>IF(ISNUMBER(SEARCH("-",Q80)),IFERROR(IF($D$5="Lower", LOWER(ComputeResourceName($D$4,$D$3,$D$2,C80,I80,J80,K80,L80,N80,O80,Q80,A80)), UPPER(ComputeResourceName($D$4,$D$3,$D$2,C80,I80,J80,K80,L80,N80,O80,Q80,A80))),""),SUBSTITUTE(IFERROR(IF($D$5="Lower",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VLOOKUP(B80,Enviroments!$A$3:$D$60,1,FALSE)</f>
        <v>#N/A</v>
      </c>
      <c r="J80" s="3" t="e">
        <f>VLOOKUP(B80,Enviroments!$A$3:$D$60,2,FALSE)</f>
        <v>#N/A</v>
      </c>
      <c r="K80" s="3" t="e">
        <f>VLOOKUP(B80,Enviroments!$A$3:$D$60,3,FALSE)</f>
        <v>#N/A</v>
      </c>
      <c r="L80" s="3" t="e">
        <f>VLOOKUP(B80,Enviroments!$A$3:$D$60,4,FALSE)</f>
        <v>#N/A</v>
      </c>
      <c r="M80" s="3" t="e">
        <f>VLOOKUP(D80,AzureRegions!$A$4:$B$1502,1,FALSE)</f>
        <v>#N/A</v>
      </c>
      <c r="N80" s="3" t="e">
        <f>VLOOKUP(D80,AzureRegions!$A$4:$B$1502,2,FALSE)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VLOOKUP($D$5,Casing!$A$4:$A$60,1,FALSE)</f>
        <v>Lower</v>
      </c>
      <c r="S80" s="21" t="str">
        <f t="shared" si="1"/>
        <v>001</v>
      </c>
    </row>
    <row r="81" spans="1:19" x14ac:dyDescent="0.45">
      <c r="A81" s="21" t="s">
        <v>610</v>
      </c>
      <c r="D81" s="8"/>
      <c r="E81" s="3"/>
      <c r="F81" s="3" t="str">
        <f>IF(ISNUMBER(SEARCH("-",Q81)),IFERROR(IF($D$5="Lower", LOWER(ComputeResourceName($D$4,$D$3,$D$2,C81,I81,J81,K81,L81,N81,O81,Q81,A81)), UPPER(ComputeResourceName($D$4,$D$3,$D$2,C81,I81,J81,K81,L81,N81,O81,Q81,A81))),""),SUBSTITUTE(IFERROR(IF($D$5="Lower",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VLOOKUP(B81,Enviroments!$A$3:$D$60,1,FALSE)</f>
        <v>#N/A</v>
      </c>
      <c r="J81" s="3" t="e">
        <f>VLOOKUP(B81,Enviroments!$A$3:$D$60,2,FALSE)</f>
        <v>#N/A</v>
      </c>
      <c r="K81" s="3" t="e">
        <f>VLOOKUP(B81,Enviroments!$A$3:$D$60,3,FALSE)</f>
        <v>#N/A</v>
      </c>
      <c r="L81" s="3" t="e">
        <f>VLOOKUP(B81,Enviroments!$A$3:$D$60,4,FALSE)</f>
        <v>#N/A</v>
      </c>
      <c r="M81" s="3" t="e">
        <f>VLOOKUP(D81,AzureRegions!$A$4:$B$1502,1,FALSE)</f>
        <v>#N/A</v>
      </c>
      <c r="N81" s="3" t="e">
        <f>VLOOKUP(D81,AzureRegions!$A$4:$B$1502,2,FALSE)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VLOOKUP($D$5,Casing!$A$4:$A$60,1,FALSE)</f>
        <v>Lower</v>
      </c>
      <c r="S81" s="21" t="str">
        <f t="shared" si="1"/>
        <v>001</v>
      </c>
    </row>
    <row r="82" spans="1:19" x14ac:dyDescent="0.45">
      <c r="A82" s="21" t="s">
        <v>610</v>
      </c>
      <c r="D82" s="8"/>
      <c r="E82" s="3"/>
      <c r="F82" s="3" t="str">
        <f>IF(ISNUMBER(SEARCH("-",Q82)),IFERROR(IF($D$5="Lower", LOWER(ComputeResourceName($D$4,$D$3,$D$2,C82,I82,J82,K82,L82,N82,O82,Q82,A82)), UPPER(ComputeResourceName($D$4,$D$3,$D$2,C82,I82,J82,K82,L82,N82,O82,Q82,A82))),""),SUBSTITUTE(IFERROR(IF($D$5="Lower",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VLOOKUP(B82,Enviroments!$A$3:$D$60,1,FALSE)</f>
        <v>#N/A</v>
      </c>
      <c r="J82" s="3" t="e">
        <f>VLOOKUP(B82,Enviroments!$A$3:$D$60,2,FALSE)</f>
        <v>#N/A</v>
      </c>
      <c r="K82" s="3" t="e">
        <f>VLOOKUP(B82,Enviroments!$A$3:$D$60,3,FALSE)</f>
        <v>#N/A</v>
      </c>
      <c r="L82" s="3" t="e">
        <f>VLOOKUP(B82,Enviroments!$A$3:$D$60,4,FALSE)</f>
        <v>#N/A</v>
      </c>
      <c r="M82" s="3" t="e">
        <f>VLOOKUP(D82,AzureRegions!$A$4:$B$1502,1,FALSE)</f>
        <v>#N/A</v>
      </c>
      <c r="N82" s="3" t="e">
        <f>VLOOKUP(D82,AzureRegions!$A$4:$B$1502,2,FALSE)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VLOOKUP($D$5,Casing!$A$4:$A$60,1,FALSE)</f>
        <v>Lower</v>
      </c>
      <c r="S82" s="21" t="str">
        <f t="shared" si="1"/>
        <v>001</v>
      </c>
    </row>
    <row r="83" spans="1:19" x14ac:dyDescent="0.45">
      <c r="A83" s="21" t="s">
        <v>610</v>
      </c>
      <c r="D83" s="8"/>
      <c r="E83" s="3"/>
      <c r="F83" s="3" t="str">
        <f>IF(ISNUMBER(SEARCH("-",Q83)),IFERROR(IF($D$5="Lower", LOWER(ComputeResourceName($D$4,$D$3,$D$2,C83,I83,J83,K83,L83,N83,O83,Q83,A83)), UPPER(ComputeResourceName($D$4,$D$3,$D$2,C83,I83,J83,K83,L83,N83,O83,Q83,A83))),""),SUBSTITUTE(IFERROR(IF($D$5="Lower",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VLOOKUP(B83,Enviroments!$A$3:$D$60,1,FALSE)</f>
        <v>#N/A</v>
      </c>
      <c r="J83" s="3" t="e">
        <f>VLOOKUP(B83,Enviroments!$A$3:$D$60,2,FALSE)</f>
        <v>#N/A</v>
      </c>
      <c r="K83" s="3" t="e">
        <f>VLOOKUP(B83,Enviroments!$A$3:$D$60,3,FALSE)</f>
        <v>#N/A</v>
      </c>
      <c r="L83" s="3" t="e">
        <f>VLOOKUP(B83,Enviroments!$A$3:$D$60,4,FALSE)</f>
        <v>#N/A</v>
      </c>
      <c r="M83" s="3" t="e">
        <f>VLOOKUP(D83,AzureRegions!$A$4:$B$1502,1,FALSE)</f>
        <v>#N/A</v>
      </c>
      <c r="N83" s="3" t="e">
        <f>VLOOKUP(D83,AzureRegions!$A$4:$B$1502,2,FALSE)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VLOOKUP($D$5,Casing!$A$4:$A$60,1,FALSE)</f>
        <v>Lower</v>
      </c>
      <c r="S83" s="21" t="str">
        <f t="shared" si="1"/>
        <v>001</v>
      </c>
    </row>
    <row r="84" spans="1:19" x14ac:dyDescent="0.45">
      <c r="A84" s="21" t="s">
        <v>610</v>
      </c>
      <c r="D84" s="8"/>
      <c r="E84" s="3"/>
      <c r="F84" s="3" t="str">
        <f>IF(ISNUMBER(SEARCH("-",Q84)),IFERROR(IF($D$5="Lower", LOWER(ComputeResourceName($D$4,$D$3,$D$2,C84,I84,J84,K84,L84,N84,O84,Q84,A84)), UPPER(ComputeResourceName($D$4,$D$3,$D$2,C84,I84,J84,K84,L84,N84,O84,Q84,A84))),""),SUBSTITUTE(IFERROR(IF($D$5="Lower",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VLOOKUP(B84,Enviroments!$A$3:$D$60,1,FALSE)</f>
        <v>#N/A</v>
      </c>
      <c r="J84" s="3" t="e">
        <f>VLOOKUP(B84,Enviroments!$A$3:$D$60,2,FALSE)</f>
        <v>#N/A</v>
      </c>
      <c r="K84" s="3" t="e">
        <f>VLOOKUP(B84,Enviroments!$A$3:$D$60,3,FALSE)</f>
        <v>#N/A</v>
      </c>
      <c r="L84" s="3" t="e">
        <f>VLOOKUP(B84,Enviroments!$A$3:$D$60,4,FALSE)</f>
        <v>#N/A</v>
      </c>
      <c r="M84" s="3" t="e">
        <f>VLOOKUP(D84,AzureRegions!$A$4:$B$1502,1,FALSE)</f>
        <v>#N/A</v>
      </c>
      <c r="N84" s="3" t="e">
        <f>VLOOKUP(D84,AzureRegions!$A$4:$B$1502,2,FALSE)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VLOOKUP($D$5,Casing!$A$4:$A$60,1,FALSE)</f>
        <v>Lower</v>
      </c>
      <c r="S84" s="21" t="str">
        <f t="shared" si="1"/>
        <v>001</v>
      </c>
    </row>
    <row r="85" spans="1:19" x14ac:dyDescent="0.45">
      <c r="A85" s="21" t="s">
        <v>610</v>
      </c>
      <c r="D85" s="8"/>
      <c r="E85" s="3"/>
      <c r="F85" s="3" t="str">
        <f>IF(ISNUMBER(SEARCH("-",Q85)),IFERROR(IF($D$5="Lower", LOWER(ComputeResourceName($D$4,$D$3,$D$2,C85,I85,J85,K85,L85,N85,O85,Q85,A85)), UPPER(ComputeResourceName($D$4,$D$3,$D$2,C85,I85,J85,K85,L85,N85,O85,Q85,A85))),""),SUBSTITUTE(IFERROR(IF($D$5="Lower",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VLOOKUP(B85,Enviroments!$A$3:$D$60,1,FALSE)</f>
        <v>#N/A</v>
      </c>
      <c r="J85" s="3" t="e">
        <f>VLOOKUP(B85,Enviroments!$A$3:$D$60,2,FALSE)</f>
        <v>#N/A</v>
      </c>
      <c r="K85" s="3" t="e">
        <f>VLOOKUP(B85,Enviroments!$A$3:$D$60,3,FALSE)</f>
        <v>#N/A</v>
      </c>
      <c r="L85" s="3" t="e">
        <f>VLOOKUP(B85,Enviroments!$A$3:$D$60,4,FALSE)</f>
        <v>#N/A</v>
      </c>
      <c r="M85" s="3" t="e">
        <f>VLOOKUP(D85,AzureRegions!$A$4:$B$1502,1,FALSE)</f>
        <v>#N/A</v>
      </c>
      <c r="N85" s="3" t="e">
        <f>VLOOKUP(D85,AzureRegions!$A$4:$B$1502,2,FALSE)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VLOOKUP($D$5,Casing!$A$4:$A$60,1,FALSE)</f>
        <v>Lower</v>
      </c>
      <c r="S85" s="21" t="str">
        <f t="shared" si="1"/>
        <v>001</v>
      </c>
    </row>
    <row r="86" spans="1:19" x14ac:dyDescent="0.45">
      <c r="A86" s="21" t="s">
        <v>610</v>
      </c>
      <c r="D86" s="8"/>
      <c r="E86" s="3"/>
      <c r="F86" s="3" t="str">
        <f>IF(ISNUMBER(SEARCH("-",Q86)),IFERROR(IF($D$5="Lower", LOWER(ComputeResourceName($D$4,$D$3,$D$2,C86,I86,J86,K86,L86,N86,O86,Q86,A86)), UPPER(ComputeResourceName($D$4,$D$3,$D$2,C86,I86,J86,K86,L86,N86,O86,Q86,A86))),""),SUBSTITUTE(IFERROR(IF($D$5="Lower",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VLOOKUP(B86,Enviroments!$A$3:$D$60,1,FALSE)</f>
        <v>#N/A</v>
      </c>
      <c r="J86" s="3" t="e">
        <f>VLOOKUP(B86,Enviroments!$A$3:$D$60,2,FALSE)</f>
        <v>#N/A</v>
      </c>
      <c r="K86" s="3" t="e">
        <f>VLOOKUP(B86,Enviroments!$A$3:$D$60,3,FALSE)</f>
        <v>#N/A</v>
      </c>
      <c r="L86" s="3" t="e">
        <f>VLOOKUP(B86,Enviroments!$A$3:$D$60,4,FALSE)</f>
        <v>#N/A</v>
      </c>
      <c r="M86" s="3" t="e">
        <f>VLOOKUP(D86,AzureRegions!$A$4:$B$1502,1,FALSE)</f>
        <v>#N/A</v>
      </c>
      <c r="N86" s="3" t="e">
        <f>VLOOKUP(D86,AzureRegions!$A$4:$B$1502,2,FALSE)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VLOOKUP($D$5,Casing!$A$4:$A$60,1,FALSE)</f>
        <v>Lower</v>
      </c>
      <c r="S86" s="21" t="str">
        <f t="shared" si="1"/>
        <v>001</v>
      </c>
    </row>
    <row r="87" spans="1:19" x14ac:dyDescent="0.45">
      <c r="A87" s="21" t="s">
        <v>610</v>
      </c>
      <c r="D87" s="8"/>
      <c r="E87" s="3"/>
      <c r="F87" s="3" t="str">
        <f>IF(ISNUMBER(SEARCH("-",Q87)),IFERROR(IF($D$5="Lower", LOWER(ComputeResourceName($D$4,$D$3,$D$2,C87,I87,J87,K87,L87,N87,O87,Q87,A87)), UPPER(ComputeResourceName($D$4,$D$3,$D$2,C87,I87,J87,K87,L87,N87,O87,Q87,A87))),""),SUBSTITUTE(IFERROR(IF($D$5="Lower",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VLOOKUP(B87,Enviroments!$A$3:$D$60,1,FALSE)</f>
        <v>#N/A</v>
      </c>
      <c r="J87" s="3" t="e">
        <f>VLOOKUP(B87,Enviroments!$A$3:$D$60,2,FALSE)</f>
        <v>#N/A</v>
      </c>
      <c r="K87" s="3" t="e">
        <f>VLOOKUP(B87,Enviroments!$A$3:$D$60,3,FALSE)</f>
        <v>#N/A</v>
      </c>
      <c r="L87" s="3" t="e">
        <f>VLOOKUP(B87,Enviroments!$A$3:$D$60,4,FALSE)</f>
        <v>#N/A</v>
      </c>
      <c r="M87" s="3" t="e">
        <f>VLOOKUP(D87,AzureRegions!$A$4:$B$1502,1,FALSE)</f>
        <v>#N/A</v>
      </c>
      <c r="N87" s="3" t="e">
        <f>VLOOKUP(D87,AzureRegions!$A$4:$B$1502,2,FALSE)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VLOOKUP($D$5,Casing!$A$4:$A$60,1,FALSE)</f>
        <v>Lower</v>
      </c>
      <c r="S87" s="21" t="str">
        <f t="shared" si="1"/>
        <v>001</v>
      </c>
    </row>
    <row r="88" spans="1:19" x14ac:dyDescent="0.45">
      <c r="A88" s="21" t="s">
        <v>610</v>
      </c>
      <c r="D88" s="8"/>
      <c r="E88" s="3"/>
      <c r="F88" s="3" t="str">
        <f>IF(ISNUMBER(SEARCH("-",Q88)),IFERROR(IF($D$5="Lower", LOWER(ComputeResourceName($D$4,$D$3,$D$2,C88,I88,J88,K88,L88,N88,O88,Q88,A88)), UPPER(ComputeResourceName($D$4,$D$3,$D$2,C88,I88,J88,K88,L88,N88,O88,Q88,A88))),""),SUBSTITUTE(IFERROR(IF($D$5="Lower",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VLOOKUP(B88,Enviroments!$A$3:$D$60,1,FALSE)</f>
        <v>#N/A</v>
      </c>
      <c r="J88" s="3" t="e">
        <f>VLOOKUP(B88,Enviroments!$A$3:$D$60,2,FALSE)</f>
        <v>#N/A</v>
      </c>
      <c r="K88" s="3" t="e">
        <f>VLOOKUP(B88,Enviroments!$A$3:$D$60,3,FALSE)</f>
        <v>#N/A</v>
      </c>
      <c r="L88" s="3" t="e">
        <f>VLOOKUP(B88,Enviroments!$A$3:$D$60,4,FALSE)</f>
        <v>#N/A</v>
      </c>
      <c r="M88" s="3" t="e">
        <f>VLOOKUP(D88,AzureRegions!$A$4:$B$1502,1,FALSE)</f>
        <v>#N/A</v>
      </c>
      <c r="N88" s="3" t="e">
        <f>VLOOKUP(D88,AzureRegions!$A$4:$B$1502,2,FALSE)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VLOOKUP($D$5,Casing!$A$4:$A$60,1,FALSE)</f>
        <v>Lower</v>
      </c>
      <c r="S88" s="21" t="str">
        <f t="shared" si="1"/>
        <v>001</v>
      </c>
    </row>
    <row r="89" spans="1:19" x14ac:dyDescent="0.45">
      <c r="A89" s="21" t="s">
        <v>610</v>
      </c>
      <c r="D89" s="8"/>
      <c r="E89" s="3"/>
      <c r="F89" s="3" t="str">
        <f>IF(ISNUMBER(SEARCH("-",Q89)),IFERROR(IF($D$5="Lower", LOWER(ComputeResourceName($D$4,$D$3,$D$2,C89,I89,J89,K89,L89,N89,O89,Q89,A89)), UPPER(ComputeResourceName($D$4,$D$3,$D$2,C89,I89,J89,K89,L89,N89,O89,Q89,A89))),""),SUBSTITUTE(IFERROR(IF($D$5="Lower",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VLOOKUP(B89,Enviroments!$A$3:$D$60,1,FALSE)</f>
        <v>#N/A</v>
      </c>
      <c r="J89" s="3" t="e">
        <f>VLOOKUP(B89,Enviroments!$A$3:$D$60,2,FALSE)</f>
        <v>#N/A</v>
      </c>
      <c r="K89" s="3" t="e">
        <f>VLOOKUP(B89,Enviroments!$A$3:$D$60,3,FALSE)</f>
        <v>#N/A</v>
      </c>
      <c r="L89" s="3" t="e">
        <f>VLOOKUP(B89,Enviroments!$A$3:$D$60,4,FALSE)</f>
        <v>#N/A</v>
      </c>
      <c r="M89" s="3" t="e">
        <f>VLOOKUP(D89,AzureRegions!$A$4:$B$1502,1,FALSE)</f>
        <v>#N/A</v>
      </c>
      <c r="N89" s="3" t="e">
        <f>VLOOKUP(D89,AzureRegions!$A$4:$B$1502,2,FALSE)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VLOOKUP($D$5,Casing!$A$4:$A$60,1,FALSE)</f>
        <v>Lower</v>
      </c>
      <c r="S89" s="21" t="str">
        <f t="shared" si="1"/>
        <v>001</v>
      </c>
    </row>
    <row r="90" spans="1:19" x14ac:dyDescent="0.45">
      <c r="A90" s="21" t="s">
        <v>610</v>
      </c>
      <c r="D90" s="8"/>
      <c r="E90" s="3"/>
      <c r="F90" s="3" t="str">
        <f>IF(ISNUMBER(SEARCH("-",Q90)),IFERROR(IF($D$5="Lower", LOWER(ComputeResourceName($D$4,$D$3,$D$2,C90,I90,J90,K90,L90,N90,O90,Q90,A90)), UPPER(ComputeResourceName($D$4,$D$3,$D$2,C90,I90,J90,K90,L90,N90,O90,Q90,A90))),""),SUBSTITUTE(IFERROR(IF($D$5="Lower",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VLOOKUP(B90,Enviroments!$A$3:$D$60,1,FALSE)</f>
        <v>#N/A</v>
      </c>
      <c r="J90" s="3" t="e">
        <f>VLOOKUP(B90,Enviroments!$A$3:$D$60,2,FALSE)</f>
        <v>#N/A</v>
      </c>
      <c r="K90" s="3" t="e">
        <f>VLOOKUP(B90,Enviroments!$A$3:$D$60,3,FALSE)</f>
        <v>#N/A</v>
      </c>
      <c r="L90" s="3" t="e">
        <f>VLOOKUP(B90,Enviroments!$A$3:$D$60,4,FALSE)</f>
        <v>#N/A</v>
      </c>
      <c r="M90" s="3" t="e">
        <f>VLOOKUP(D90,AzureRegions!$A$4:$B$1502,1,FALSE)</f>
        <v>#N/A</v>
      </c>
      <c r="N90" s="3" t="e">
        <f>VLOOKUP(D90,AzureRegions!$A$4:$B$1502,2,FALSE)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VLOOKUP($D$5,Casing!$A$4:$A$60,1,FALSE)</f>
        <v>Lower</v>
      </c>
      <c r="S90" s="21" t="str">
        <f t="shared" si="1"/>
        <v>001</v>
      </c>
    </row>
    <row r="91" spans="1:19" x14ac:dyDescent="0.45">
      <c r="A91" s="21" t="s">
        <v>610</v>
      </c>
      <c r="D91" s="8"/>
      <c r="E91" s="3"/>
      <c r="F91" s="3" t="str">
        <f>IF(ISNUMBER(SEARCH("-",Q91)),IFERROR(IF($D$5="Lower", LOWER(ComputeResourceName($D$4,$D$3,$D$2,C91,I91,J91,K91,L91,N91,O91,Q91,A91)), UPPER(ComputeResourceName($D$4,$D$3,$D$2,C91,I91,J91,K91,L91,N91,O91,Q91,A91))),""),SUBSTITUTE(IFERROR(IF($D$5="Lower",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VLOOKUP(B91,Enviroments!$A$3:$D$60,1,FALSE)</f>
        <v>#N/A</v>
      </c>
      <c r="J91" s="3" t="e">
        <f>VLOOKUP(B91,Enviroments!$A$3:$D$60,2,FALSE)</f>
        <v>#N/A</v>
      </c>
      <c r="K91" s="3" t="e">
        <f>VLOOKUP(B91,Enviroments!$A$3:$D$60,3,FALSE)</f>
        <v>#N/A</v>
      </c>
      <c r="L91" s="3" t="e">
        <f>VLOOKUP(B91,Enviroments!$A$3:$D$60,4,FALSE)</f>
        <v>#N/A</v>
      </c>
      <c r="M91" s="3" t="e">
        <f>VLOOKUP(D91,AzureRegions!$A$4:$B$1502,1,FALSE)</f>
        <v>#N/A</v>
      </c>
      <c r="N91" s="3" t="e">
        <f>VLOOKUP(D91,AzureRegions!$A$4:$B$1502,2,FALSE)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VLOOKUP($D$5,Casing!$A$4:$A$60,1,FALSE)</f>
        <v>Lower</v>
      </c>
      <c r="S91" s="21" t="str">
        <f t="shared" si="1"/>
        <v>001</v>
      </c>
    </row>
    <row r="92" spans="1:19" x14ac:dyDescent="0.45">
      <c r="A92" s="21" t="s">
        <v>610</v>
      </c>
      <c r="D92" s="8"/>
      <c r="E92" s="3"/>
      <c r="F92" s="3" t="str">
        <f>IF(ISNUMBER(SEARCH("-",Q92)),IFERROR(IF($D$5="Lower", LOWER(ComputeResourceName($D$4,$D$3,$D$2,C92,I92,J92,K92,L92,N92,O92,Q92,A92)), UPPER(ComputeResourceName($D$4,$D$3,$D$2,C92,I92,J92,K92,L92,N92,O92,Q92,A92))),""),SUBSTITUTE(IFERROR(IF($D$5="Lower",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VLOOKUP(B92,Enviroments!$A$3:$D$60,1,FALSE)</f>
        <v>#N/A</v>
      </c>
      <c r="J92" s="3" t="e">
        <f>VLOOKUP(B92,Enviroments!$A$3:$D$60,2,FALSE)</f>
        <v>#N/A</v>
      </c>
      <c r="K92" s="3" t="e">
        <f>VLOOKUP(B92,Enviroments!$A$3:$D$60,3,FALSE)</f>
        <v>#N/A</v>
      </c>
      <c r="L92" s="3" t="e">
        <f>VLOOKUP(B92,Enviroments!$A$3:$D$60,4,FALSE)</f>
        <v>#N/A</v>
      </c>
      <c r="M92" s="3" t="e">
        <f>VLOOKUP(D92,AzureRegions!$A$4:$B$1502,1,FALSE)</f>
        <v>#N/A</v>
      </c>
      <c r="N92" s="3" t="e">
        <f>VLOOKUP(D92,AzureRegions!$A$4:$B$1502,2,FALSE)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VLOOKUP($D$5,Casing!$A$4:$A$60,1,FALSE)</f>
        <v>Lower</v>
      </c>
      <c r="S92" s="21" t="str">
        <f t="shared" si="1"/>
        <v>001</v>
      </c>
    </row>
    <row r="93" spans="1:19" x14ac:dyDescent="0.45">
      <c r="A93" s="21" t="s">
        <v>610</v>
      </c>
      <c r="D93" s="8"/>
      <c r="E93" s="3"/>
      <c r="F93" s="3" t="str">
        <f>IF(ISNUMBER(SEARCH("-",Q93)),IFERROR(IF($D$5="Lower", LOWER(ComputeResourceName($D$4,$D$3,$D$2,C93,I93,J93,K93,L93,N93,O93,Q93,A93)), UPPER(ComputeResourceName($D$4,$D$3,$D$2,C93,I93,J93,K93,L93,N93,O93,Q93,A93))),""),SUBSTITUTE(IFERROR(IF($D$5="Lower",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VLOOKUP(B93,Enviroments!$A$3:$D$60,1,FALSE)</f>
        <v>#N/A</v>
      </c>
      <c r="J93" s="3" t="e">
        <f>VLOOKUP(B93,Enviroments!$A$3:$D$60,2,FALSE)</f>
        <v>#N/A</v>
      </c>
      <c r="K93" s="3" t="e">
        <f>VLOOKUP(B93,Enviroments!$A$3:$D$60,3,FALSE)</f>
        <v>#N/A</v>
      </c>
      <c r="L93" s="3" t="e">
        <f>VLOOKUP(B93,Enviroments!$A$3:$D$60,4,FALSE)</f>
        <v>#N/A</v>
      </c>
      <c r="M93" s="3" t="e">
        <f>VLOOKUP(D93,AzureRegions!$A$4:$B$1502,1,FALSE)</f>
        <v>#N/A</v>
      </c>
      <c r="N93" s="3" t="e">
        <f>VLOOKUP(D93,AzureRegions!$A$4:$B$1502,2,FALSE)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VLOOKUP($D$5,Casing!$A$4:$A$60,1,FALSE)</f>
        <v>Lower</v>
      </c>
      <c r="S93" s="21" t="str">
        <f t="shared" si="1"/>
        <v>001</v>
      </c>
    </row>
    <row r="94" spans="1:19" x14ac:dyDescent="0.45">
      <c r="A94" s="21" t="s">
        <v>610</v>
      </c>
      <c r="D94" s="8"/>
      <c r="E94" s="3"/>
      <c r="F94" s="3" t="str">
        <f>IF(ISNUMBER(SEARCH("-",Q94)),IFERROR(IF($D$5="Lower", LOWER(ComputeResourceName($D$4,$D$3,$D$2,C94,I94,J94,K94,L94,N94,O94,Q94,A94)), UPPER(ComputeResourceName($D$4,$D$3,$D$2,C94,I94,J94,K94,L94,N94,O94,Q94,A94))),""),SUBSTITUTE(IFERROR(IF($D$5="Lower",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VLOOKUP(B94,Enviroments!$A$3:$D$60,1,FALSE)</f>
        <v>#N/A</v>
      </c>
      <c r="J94" s="3" t="e">
        <f>VLOOKUP(B94,Enviroments!$A$3:$D$60,2,FALSE)</f>
        <v>#N/A</v>
      </c>
      <c r="K94" s="3" t="e">
        <f>VLOOKUP(B94,Enviroments!$A$3:$D$60,3,FALSE)</f>
        <v>#N/A</v>
      </c>
      <c r="L94" s="3" t="e">
        <f>VLOOKUP(B94,Enviroments!$A$3:$D$60,4,FALSE)</f>
        <v>#N/A</v>
      </c>
      <c r="M94" s="3" t="e">
        <f>VLOOKUP(D94,AzureRegions!$A$4:$B$1502,1,FALSE)</f>
        <v>#N/A</v>
      </c>
      <c r="N94" s="3" t="e">
        <f>VLOOKUP(D94,AzureRegions!$A$4:$B$1502,2,FALSE)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VLOOKUP($D$5,Casing!$A$4:$A$60,1,FALSE)</f>
        <v>Lower</v>
      </c>
      <c r="S94" s="21" t="str">
        <f t="shared" si="1"/>
        <v>001</v>
      </c>
    </row>
    <row r="95" spans="1:19" x14ac:dyDescent="0.45">
      <c r="A95" s="21" t="s">
        <v>610</v>
      </c>
      <c r="D95" s="8"/>
      <c r="E95" s="3"/>
      <c r="F95" s="3" t="str">
        <f>IF(ISNUMBER(SEARCH("-",Q95)),IFERROR(IF($D$5="Lower", LOWER(ComputeResourceName($D$4,$D$3,$D$2,C95,I95,J95,K95,L95,N95,O95,Q95,A95)), UPPER(ComputeResourceName($D$4,$D$3,$D$2,C95,I95,J95,K95,L95,N95,O95,Q95,A95))),""),SUBSTITUTE(IFERROR(IF($D$5="Lower",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VLOOKUP(B95,Enviroments!$A$3:$D$60,1,FALSE)</f>
        <v>#N/A</v>
      </c>
      <c r="J95" s="3" t="e">
        <f>VLOOKUP(B95,Enviroments!$A$3:$D$60,2,FALSE)</f>
        <v>#N/A</v>
      </c>
      <c r="K95" s="3" t="e">
        <f>VLOOKUP(B95,Enviroments!$A$3:$D$60,3,FALSE)</f>
        <v>#N/A</v>
      </c>
      <c r="L95" s="3" t="e">
        <f>VLOOKUP(B95,Enviroments!$A$3:$D$60,4,FALSE)</f>
        <v>#N/A</v>
      </c>
      <c r="M95" s="3" t="e">
        <f>VLOOKUP(D95,AzureRegions!$A$4:$B$1502,1,FALSE)</f>
        <v>#N/A</v>
      </c>
      <c r="N95" s="3" t="e">
        <f>VLOOKUP(D95,AzureRegions!$A$4:$B$1502,2,FALSE)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VLOOKUP($D$5,Casing!$A$4:$A$60,1,FALSE)</f>
        <v>Lower</v>
      </c>
      <c r="S95" s="21" t="str">
        <f t="shared" si="1"/>
        <v>001</v>
      </c>
    </row>
    <row r="96" spans="1:19" x14ac:dyDescent="0.45">
      <c r="A96" s="21" t="s">
        <v>610</v>
      </c>
      <c r="D96" s="8"/>
      <c r="E96" s="3"/>
      <c r="F96" s="3" t="str">
        <f>IF(ISNUMBER(SEARCH("-",Q96)),IFERROR(IF($D$5="Lower", LOWER(ComputeResourceName($D$4,$D$3,$D$2,C96,I96,J96,K96,L96,N96,O96,Q96,A96)), UPPER(ComputeResourceName($D$4,$D$3,$D$2,C96,I96,J96,K96,L96,N96,O96,Q96,A96))),""),SUBSTITUTE(IFERROR(IF($D$5="Lower",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VLOOKUP(B96,Enviroments!$A$3:$D$60,1,FALSE)</f>
        <v>#N/A</v>
      </c>
      <c r="J96" s="3" t="e">
        <f>VLOOKUP(B96,Enviroments!$A$3:$D$60,2,FALSE)</f>
        <v>#N/A</v>
      </c>
      <c r="K96" s="3" t="e">
        <f>VLOOKUP(B96,Enviroments!$A$3:$D$60,3,FALSE)</f>
        <v>#N/A</v>
      </c>
      <c r="L96" s="3" t="e">
        <f>VLOOKUP(B96,Enviroments!$A$3:$D$60,4,FALSE)</f>
        <v>#N/A</v>
      </c>
      <c r="M96" s="3" t="e">
        <f>VLOOKUP(D96,AzureRegions!$A$4:$B$1502,1,FALSE)</f>
        <v>#N/A</v>
      </c>
      <c r="N96" s="3" t="e">
        <f>VLOOKUP(D96,AzureRegions!$A$4:$B$1502,2,FALSE)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VLOOKUP($D$5,Casing!$A$4:$A$60,1,FALSE)</f>
        <v>Lower</v>
      </c>
      <c r="S96" s="21" t="str">
        <f t="shared" si="1"/>
        <v>001</v>
      </c>
    </row>
    <row r="97" spans="1:19" x14ac:dyDescent="0.45">
      <c r="A97" s="21" t="s">
        <v>610</v>
      </c>
      <c r="D97" s="8"/>
      <c r="E97" s="3"/>
      <c r="F97" s="3" t="str">
        <f>IF(ISNUMBER(SEARCH("-",Q97)),IFERROR(IF($D$5="Lower", LOWER(ComputeResourceName($D$4,$D$3,$D$2,C97,I97,J97,K97,L97,N97,O97,Q97,A97)), UPPER(ComputeResourceName($D$4,$D$3,$D$2,C97,I97,J97,K97,L97,N97,O97,Q97,A97))),""),SUBSTITUTE(IFERROR(IF($D$5="Lower",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VLOOKUP(B97,Enviroments!$A$3:$D$60,1,FALSE)</f>
        <v>#N/A</v>
      </c>
      <c r="J97" s="3" t="e">
        <f>VLOOKUP(B97,Enviroments!$A$3:$D$60,2,FALSE)</f>
        <v>#N/A</v>
      </c>
      <c r="K97" s="3" t="e">
        <f>VLOOKUP(B97,Enviroments!$A$3:$D$60,3,FALSE)</f>
        <v>#N/A</v>
      </c>
      <c r="L97" s="3" t="e">
        <f>VLOOKUP(B97,Enviroments!$A$3:$D$60,4,FALSE)</f>
        <v>#N/A</v>
      </c>
      <c r="M97" s="3" t="e">
        <f>VLOOKUP(D97,AzureRegions!$A$4:$B$1502,1,FALSE)</f>
        <v>#N/A</v>
      </c>
      <c r="N97" s="3" t="e">
        <f>VLOOKUP(D97,AzureRegions!$A$4:$B$1502,2,FALSE)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VLOOKUP($D$5,Casing!$A$4:$A$60,1,FALSE)</f>
        <v>Lower</v>
      </c>
      <c r="S97" s="21" t="str">
        <f t="shared" si="1"/>
        <v>001</v>
      </c>
    </row>
    <row r="98" spans="1:19" x14ac:dyDescent="0.45">
      <c r="A98" s="21" t="s">
        <v>610</v>
      </c>
      <c r="D98" s="8"/>
      <c r="E98" s="3"/>
      <c r="F98" s="3" t="str">
        <f>IF(ISNUMBER(SEARCH("-",Q98)),IFERROR(IF($D$5="Lower", LOWER(ComputeResourceName($D$4,$D$3,$D$2,C98,I98,J98,K98,L98,N98,O98,Q98,A98)), UPPER(ComputeResourceName($D$4,$D$3,$D$2,C98,I98,J98,K98,L98,N98,O98,Q98,A98))),""),SUBSTITUTE(IFERROR(IF($D$5="Lower",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VLOOKUP(B98,Enviroments!$A$3:$D$60,1,FALSE)</f>
        <v>#N/A</v>
      </c>
      <c r="J98" s="3" t="e">
        <f>VLOOKUP(B98,Enviroments!$A$3:$D$60,2,FALSE)</f>
        <v>#N/A</v>
      </c>
      <c r="K98" s="3" t="e">
        <f>VLOOKUP(B98,Enviroments!$A$3:$D$60,3,FALSE)</f>
        <v>#N/A</v>
      </c>
      <c r="L98" s="3" t="e">
        <f>VLOOKUP(B98,Enviroments!$A$3:$D$60,4,FALSE)</f>
        <v>#N/A</v>
      </c>
      <c r="M98" s="3" t="e">
        <f>VLOOKUP(D98,AzureRegions!$A$4:$B$1502,1,FALSE)</f>
        <v>#N/A</v>
      </c>
      <c r="N98" s="3" t="e">
        <f>VLOOKUP(D98,AzureRegions!$A$4:$B$1502,2,FALSE)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VLOOKUP($D$5,Casing!$A$4:$A$60,1,FALSE)</f>
        <v>Lower</v>
      </c>
      <c r="S98" s="21" t="str">
        <f t="shared" si="1"/>
        <v>001</v>
      </c>
    </row>
    <row r="99" spans="1:19" x14ac:dyDescent="0.45">
      <c r="A99" s="21" t="s">
        <v>610</v>
      </c>
      <c r="D99" s="8"/>
      <c r="E99" s="3"/>
      <c r="F99" s="3" t="str">
        <f>IF(ISNUMBER(SEARCH("-",Q99)),IFERROR(IF($D$5="Lower", LOWER(ComputeResourceName($D$4,$D$3,$D$2,C99,I99,J99,K99,L99,N99,O99,Q99,A99)), UPPER(ComputeResourceName($D$4,$D$3,$D$2,C99,I99,J99,K99,L99,N99,O99,Q99,A99))),""),SUBSTITUTE(IFERROR(IF($D$5="Lower",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VLOOKUP(B99,Enviroments!$A$3:$D$60,1,FALSE)</f>
        <v>#N/A</v>
      </c>
      <c r="J99" s="3" t="e">
        <f>VLOOKUP(B99,Enviroments!$A$3:$D$60,2,FALSE)</f>
        <v>#N/A</v>
      </c>
      <c r="K99" s="3" t="e">
        <f>VLOOKUP(B99,Enviroments!$A$3:$D$60,3,FALSE)</f>
        <v>#N/A</v>
      </c>
      <c r="L99" s="3" t="e">
        <f>VLOOKUP(B99,Enviroments!$A$3:$D$60,4,FALSE)</f>
        <v>#N/A</v>
      </c>
      <c r="M99" s="3" t="e">
        <f>VLOOKUP(D99,AzureRegions!$A$4:$B$1502,1,FALSE)</f>
        <v>#N/A</v>
      </c>
      <c r="N99" s="3" t="e">
        <f>VLOOKUP(D99,AzureRegions!$A$4:$B$1502,2,FALSE)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VLOOKUP($D$5,Casing!$A$4:$A$60,1,FALSE)</f>
        <v>Lower</v>
      </c>
      <c r="S99" s="21" t="str">
        <f t="shared" si="1"/>
        <v>001</v>
      </c>
    </row>
    <row r="100" spans="1:19" x14ac:dyDescent="0.45">
      <c r="A100" s="21" t="s">
        <v>610</v>
      </c>
      <c r="D100" s="8"/>
      <c r="E100" s="3"/>
      <c r="F100" s="3" t="str">
        <f>IF(ISNUMBER(SEARCH("-",Q100)),IFERROR(IF($D$5="Lower", LOWER(ComputeResourceName($D$4,$D$3,$D$2,C100,I100,J100,K100,L100,N100,O100,Q100,A100)), UPPER(ComputeResourceName($D$4,$D$3,$D$2,C100,I100,J100,K100,L100,N100,O100,Q100,A100))),""),SUBSTITUTE(IFERROR(IF($D$5="Lower",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VLOOKUP(B100,Enviroments!$A$3:$D$60,1,FALSE)</f>
        <v>#N/A</v>
      </c>
      <c r="J100" s="3" t="e">
        <f>VLOOKUP(B100,Enviroments!$A$3:$D$60,2,FALSE)</f>
        <v>#N/A</v>
      </c>
      <c r="K100" s="3" t="e">
        <f>VLOOKUP(B100,Enviroments!$A$3:$D$60,3,FALSE)</f>
        <v>#N/A</v>
      </c>
      <c r="L100" s="3" t="e">
        <f>VLOOKUP(B100,Enviroments!$A$3:$D$60,4,FALSE)</f>
        <v>#N/A</v>
      </c>
      <c r="M100" s="3" t="e">
        <f>VLOOKUP(D100,AzureRegions!$A$4:$B$1502,1,FALSE)</f>
        <v>#N/A</v>
      </c>
      <c r="N100" s="3" t="e">
        <f>VLOOKUP(D100,AzureRegions!$A$4:$B$1502,2,FALSE)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VLOOKUP($D$5,Casing!$A$4:$A$60,1,FALSE)</f>
        <v>Lower</v>
      </c>
      <c r="S100" s="21" t="str">
        <f t="shared" si="1"/>
        <v>001</v>
      </c>
    </row>
    <row r="101" spans="1:19" x14ac:dyDescent="0.45">
      <c r="A101" s="21" t="s">
        <v>610</v>
      </c>
      <c r="D101" s="8"/>
      <c r="E101" s="3"/>
      <c r="F101" s="3" t="str">
        <f>IF(ISNUMBER(SEARCH("-",Q101)),IFERROR(IF($D$5="Lower", LOWER(ComputeResourceName($D$4,$D$3,$D$2,C101,I101,J101,K101,L101,N101,O101,Q101,A101)), UPPER(ComputeResourceName($D$4,$D$3,$D$2,C101,I101,J101,K101,L101,N101,O101,Q101,A101))),""),SUBSTITUTE(IFERROR(IF($D$5="Lower",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VLOOKUP(B101,Enviroments!$A$3:$D$60,1,FALSE)</f>
        <v>#N/A</v>
      </c>
      <c r="J101" s="3" t="e">
        <f>VLOOKUP(B101,Enviroments!$A$3:$D$60,2,FALSE)</f>
        <v>#N/A</v>
      </c>
      <c r="K101" s="3" t="e">
        <f>VLOOKUP(B101,Enviroments!$A$3:$D$60,3,FALSE)</f>
        <v>#N/A</v>
      </c>
      <c r="L101" s="3" t="e">
        <f>VLOOKUP(B101,Enviroments!$A$3:$D$60,4,FALSE)</f>
        <v>#N/A</v>
      </c>
      <c r="M101" s="3" t="e">
        <f>VLOOKUP(D101,AzureRegions!$A$4:$B$1502,1,FALSE)</f>
        <v>#N/A</v>
      </c>
      <c r="N101" s="3" t="e">
        <f>VLOOKUP(D101,AzureRegions!$A$4:$B$1502,2,FALSE)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VLOOKUP($D$5,Casing!$A$4:$A$60,1,FALSE)</f>
        <v>Lower</v>
      </c>
      <c r="S101" s="21" t="str">
        <f t="shared" si="1"/>
        <v>001</v>
      </c>
    </row>
    <row r="102" spans="1:19" x14ac:dyDescent="0.45">
      <c r="A102" s="21" t="s">
        <v>610</v>
      </c>
      <c r="D102" s="8"/>
      <c r="E102" s="3"/>
      <c r="F102" s="3" t="str">
        <f>IF(ISNUMBER(SEARCH("-",Q102)),IFERROR(IF($D$5="Lower", LOWER(ComputeResourceName($D$4,$D$3,$D$2,C102,I102,J102,K102,L102,N102,O102,Q102,A102)), UPPER(ComputeResourceName($D$4,$D$3,$D$2,C102,I102,J102,K102,L102,N102,O102,Q102,A102))),""),SUBSTITUTE(IFERROR(IF($D$5="Lower",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VLOOKUP(B102,Enviroments!$A$3:$D$60,1,FALSE)</f>
        <v>#N/A</v>
      </c>
      <c r="J102" s="3" t="e">
        <f>VLOOKUP(B102,Enviroments!$A$3:$D$60,2,FALSE)</f>
        <v>#N/A</v>
      </c>
      <c r="K102" s="3" t="e">
        <f>VLOOKUP(B102,Enviroments!$A$3:$D$60,3,FALSE)</f>
        <v>#N/A</v>
      </c>
      <c r="L102" s="3" t="e">
        <f>VLOOKUP(B102,Enviroments!$A$3:$D$60,4,FALSE)</f>
        <v>#N/A</v>
      </c>
      <c r="M102" s="3" t="e">
        <f>VLOOKUP(D102,AzureRegions!$A$4:$B$1502,1,FALSE)</f>
        <v>#N/A</v>
      </c>
      <c r="N102" s="3" t="e">
        <f>VLOOKUP(D102,AzureRegions!$A$4:$B$1502,2,FALSE)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VLOOKUP($D$5,Casing!$A$4:$A$60,1,FALSE)</f>
        <v>Lower</v>
      </c>
      <c r="S102" s="21" t="str">
        <f t="shared" si="1"/>
        <v>001</v>
      </c>
    </row>
    <row r="103" spans="1:19" x14ac:dyDescent="0.45">
      <c r="A103" s="21" t="s">
        <v>610</v>
      </c>
      <c r="D103" s="8"/>
      <c r="E103" s="3"/>
      <c r="F103" s="3" t="str">
        <f>IF(ISNUMBER(SEARCH("-",Q103)),IFERROR(IF($D$5="Lower", LOWER(ComputeResourceName($D$4,$D$3,$D$2,C103,I103,J103,K103,L103,N103,O103,Q103,A103)), UPPER(ComputeResourceName($D$4,$D$3,$D$2,C103,I103,J103,K103,L103,N103,O103,Q103,A103))),""),SUBSTITUTE(IFERROR(IF($D$5="Lower",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VLOOKUP(B103,Enviroments!$A$3:$D$60,1,FALSE)</f>
        <v>#N/A</v>
      </c>
      <c r="J103" s="3" t="e">
        <f>VLOOKUP(B103,Enviroments!$A$3:$D$60,2,FALSE)</f>
        <v>#N/A</v>
      </c>
      <c r="K103" s="3" t="e">
        <f>VLOOKUP(B103,Enviroments!$A$3:$D$60,3,FALSE)</f>
        <v>#N/A</v>
      </c>
      <c r="L103" s="3" t="e">
        <f>VLOOKUP(B103,Enviroments!$A$3:$D$60,4,FALSE)</f>
        <v>#N/A</v>
      </c>
      <c r="M103" s="3" t="e">
        <f>VLOOKUP(D103,AzureRegions!$A$4:$B$1502,1,FALSE)</f>
        <v>#N/A</v>
      </c>
      <c r="N103" s="3" t="e">
        <f>VLOOKUP(D103,AzureRegions!$A$4:$B$1502,2,FALSE)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VLOOKUP($D$5,Casing!$A$4:$A$60,1,FALSE)</f>
        <v>Lower</v>
      </c>
      <c r="S103" s="21" t="str">
        <f t="shared" si="1"/>
        <v>001</v>
      </c>
    </row>
    <row r="104" spans="1:19" x14ac:dyDescent="0.45">
      <c r="A104" s="21" t="s">
        <v>610</v>
      </c>
      <c r="D104" s="8"/>
      <c r="E104" s="3"/>
      <c r="F104" s="3" t="str">
        <f>IF(ISNUMBER(SEARCH("-",Q104)),IFERROR(IF($D$5="Lower", LOWER(ComputeResourceName($D$4,$D$3,$D$2,C104,I104,J104,K104,L104,N104,O104,Q104,A104)), UPPER(ComputeResourceName($D$4,$D$3,$D$2,C104,I104,J104,K104,L104,N104,O104,Q104,A104))),""),SUBSTITUTE(IFERROR(IF($D$5="Lower",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VLOOKUP(B104,Enviroments!$A$3:$D$60,1,FALSE)</f>
        <v>#N/A</v>
      </c>
      <c r="J104" s="3" t="e">
        <f>VLOOKUP(B104,Enviroments!$A$3:$D$60,2,FALSE)</f>
        <v>#N/A</v>
      </c>
      <c r="K104" s="3" t="e">
        <f>VLOOKUP(B104,Enviroments!$A$3:$D$60,3,FALSE)</f>
        <v>#N/A</v>
      </c>
      <c r="L104" s="3" t="e">
        <f>VLOOKUP(B104,Enviroments!$A$3:$D$60,4,FALSE)</f>
        <v>#N/A</v>
      </c>
      <c r="M104" s="3" t="e">
        <f>VLOOKUP(D104,AzureRegions!$A$4:$B$1502,1,FALSE)</f>
        <v>#N/A</v>
      </c>
      <c r="N104" s="3" t="e">
        <f>VLOOKUP(D104,AzureRegions!$A$4:$B$1502,2,FALSE)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VLOOKUP($D$5,Casing!$A$4:$A$60,1,FALSE)</f>
        <v>Lower</v>
      </c>
      <c r="S104" s="21" t="str">
        <f t="shared" si="1"/>
        <v>001</v>
      </c>
    </row>
    <row r="105" spans="1:19" x14ac:dyDescent="0.45">
      <c r="A105" s="21" t="s">
        <v>610</v>
      </c>
      <c r="D105" s="8"/>
      <c r="E105" s="3"/>
      <c r="F105" s="3" t="str">
        <f>IF(ISNUMBER(SEARCH("-",Q105)),IFERROR(IF($D$5="Lower", LOWER(ComputeResourceName($D$4,$D$3,$D$2,C105,I105,J105,K105,L105,N105,O105,Q105,A105)), UPPER(ComputeResourceName($D$4,$D$3,$D$2,C105,I105,J105,K105,L105,N105,O105,Q105,A105))),""),SUBSTITUTE(IFERROR(IF($D$5="Lower",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VLOOKUP(B105,Enviroments!$A$3:$D$60,1,FALSE)</f>
        <v>#N/A</v>
      </c>
      <c r="J105" s="3" t="e">
        <f>VLOOKUP(B105,Enviroments!$A$3:$D$60,2,FALSE)</f>
        <v>#N/A</v>
      </c>
      <c r="K105" s="3" t="e">
        <f>VLOOKUP(B105,Enviroments!$A$3:$D$60,3,FALSE)</f>
        <v>#N/A</v>
      </c>
      <c r="L105" s="3" t="e">
        <f>VLOOKUP(B105,Enviroments!$A$3:$D$60,4,FALSE)</f>
        <v>#N/A</v>
      </c>
      <c r="M105" s="3" t="e">
        <f>VLOOKUP(D105,AzureRegions!$A$4:$B$1502,1,FALSE)</f>
        <v>#N/A</v>
      </c>
      <c r="N105" s="3" t="e">
        <f>VLOOKUP(D105,AzureRegions!$A$4:$B$1502,2,FALSE)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VLOOKUP($D$5,Casing!$A$4:$A$60,1,FALSE)</f>
        <v>Lower</v>
      </c>
      <c r="S105" s="21" t="str">
        <f t="shared" si="1"/>
        <v>001</v>
      </c>
    </row>
    <row r="106" spans="1:19" x14ac:dyDescent="0.45">
      <c r="A106" s="21" t="s">
        <v>610</v>
      </c>
      <c r="D106" s="8"/>
      <c r="E106" s="3"/>
      <c r="F106" s="3" t="str">
        <f>IF(ISNUMBER(SEARCH("-",Q106)),IFERROR(IF($D$5="Lower", LOWER(ComputeResourceName($D$4,$D$3,$D$2,C106,I106,J106,K106,L106,N106,O106,Q106,A106)), UPPER(ComputeResourceName($D$4,$D$3,$D$2,C106,I106,J106,K106,L106,N106,O106,Q106,A106))),""),SUBSTITUTE(IFERROR(IF($D$5="Lower",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VLOOKUP(B106,Enviroments!$A$3:$D$60,1,FALSE)</f>
        <v>#N/A</v>
      </c>
      <c r="J106" s="3" t="e">
        <f>VLOOKUP(B106,Enviroments!$A$3:$D$60,2,FALSE)</f>
        <v>#N/A</v>
      </c>
      <c r="K106" s="3" t="e">
        <f>VLOOKUP(B106,Enviroments!$A$3:$D$60,3,FALSE)</f>
        <v>#N/A</v>
      </c>
      <c r="L106" s="3" t="e">
        <f>VLOOKUP(B106,Enviroments!$A$3:$D$60,4,FALSE)</f>
        <v>#N/A</v>
      </c>
      <c r="M106" s="3" t="e">
        <f>VLOOKUP(D106,AzureRegions!$A$4:$B$1502,1,FALSE)</f>
        <v>#N/A</v>
      </c>
      <c r="N106" s="3" t="e">
        <f>VLOOKUP(D106,AzureRegions!$A$4:$B$1502,2,FALSE)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VLOOKUP($D$5,Casing!$A$4:$A$60,1,FALSE)</f>
        <v>Lower</v>
      </c>
      <c r="S106" s="21" t="str">
        <f t="shared" si="1"/>
        <v>001</v>
      </c>
    </row>
    <row r="107" spans="1:19" x14ac:dyDescent="0.45">
      <c r="A107" s="21" t="s">
        <v>610</v>
      </c>
      <c r="D107" s="8"/>
      <c r="E107" s="3"/>
      <c r="F107" s="3" t="str">
        <f>IF(ISNUMBER(SEARCH("-",Q107)),IFERROR(IF($D$5="Lower", LOWER(ComputeResourceName($D$4,$D$3,$D$2,C107,I107,J107,K107,L107,N107,O107,Q107,A107)), UPPER(ComputeResourceName($D$4,$D$3,$D$2,C107,I107,J107,K107,L107,N107,O107,Q107,A107))),""),SUBSTITUTE(IFERROR(IF($D$5="Lower",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VLOOKUP(B107,Enviroments!$A$3:$D$60,1,FALSE)</f>
        <v>#N/A</v>
      </c>
      <c r="J107" s="3" t="e">
        <f>VLOOKUP(B107,Enviroments!$A$3:$D$60,2,FALSE)</f>
        <v>#N/A</v>
      </c>
      <c r="K107" s="3" t="e">
        <f>VLOOKUP(B107,Enviroments!$A$3:$D$60,3,FALSE)</f>
        <v>#N/A</v>
      </c>
      <c r="L107" s="3" t="e">
        <f>VLOOKUP(B107,Enviroments!$A$3:$D$60,4,FALSE)</f>
        <v>#N/A</v>
      </c>
      <c r="M107" s="3" t="e">
        <f>VLOOKUP(D107,AzureRegions!$A$4:$B$1502,1,FALSE)</f>
        <v>#N/A</v>
      </c>
      <c r="N107" s="3" t="e">
        <f>VLOOKUP(D107,AzureRegions!$A$4:$B$1502,2,FALSE)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VLOOKUP($D$5,Casing!$A$4:$A$60,1,FALSE)</f>
        <v>Lower</v>
      </c>
      <c r="S107" s="21" t="str">
        <f t="shared" si="1"/>
        <v>001</v>
      </c>
    </row>
    <row r="108" spans="1:19" x14ac:dyDescent="0.45">
      <c r="A108" s="21" t="s">
        <v>610</v>
      </c>
      <c r="D108" s="8"/>
      <c r="E108" s="3"/>
      <c r="F108" s="3" t="str">
        <f>IF(ISNUMBER(SEARCH("-",Q108)),IFERROR(IF($D$5="Lower", LOWER(ComputeResourceName($D$4,$D$3,$D$2,C108,I108,J108,K108,L108,N108,O108,Q108,A108)), UPPER(ComputeResourceName($D$4,$D$3,$D$2,C108,I108,J108,K108,L108,N108,O108,Q108,A108))),""),SUBSTITUTE(IFERROR(IF($D$5="Lower",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VLOOKUP(B108,Enviroments!$A$3:$D$60,1,FALSE)</f>
        <v>#N/A</v>
      </c>
      <c r="J108" s="3" t="e">
        <f>VLOOKUP(B108,Enviroments!$A$3:$D$60,2,FALSE)</f>
        <v>#N/A</v>
      </c>
      <c r="K108" s="3" t="e">
        <f>VLOOKUP(B108,Enviroments!$A$3:$D$60,3,FALSE)</f>
        <v>#N/A</v>
      </c>
      <c r="L108" s="3" t="e">
        <f>VLOOKUP(B108,Enviroments!$A$3:$D$60,4,FALSE)</f>
        <v>#N/A</v>
      </c>
      <c r="M108" s="3" t="e">
        <f>VLOOKUP(D108,AzureRegions!$A$4:$B$1502,1,FALSE)</f>
        <v>#N/A</v>
      </c>
      <c r="N108" s="3" t="e">
        <f>VLOOKUP(D108,AzureRegions!$A$4:$B$1502,2,FALSE)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VLOOKUP($D$5,Casing!$A$4:$A$60,1,FALSE)</f>
        <v>Lower</v>
      </c>
      <c r="S108" s="21" t="str">
        <f t="shared" si="1"/>
        <v>001</v>
      </c>
    </row>
    <row r="109" spans="1:19" x14ac:dyDescent="0.45">
      <c r="A109" s="21" t="s">
        <v>610</v>
      </c>
      <c r="D109" s="8"/>
      <c r="E109" s="3"/>
      <c r="F109" s="3" t="str">
        <f>IF(ISNUMBER(SEARCH("-",Q109)),IFERROR(IF($D$5="Lower", LOWER(ComputeResourceName($D$4,$D$3,$D$2,C109,I109,J109,K109,L109,N109,O109,Q109,A109)), UPPER(ComputeResourceName($D$4,$D$3,$D$2,C109,I109,J109,K109,L109,N109,O109,Q109,A109))),""),SUBSTITUTE(IFERROR(IF($D$5="Lower",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VLOOKUP(B109,Enviroments!$A$3:$D$60,1,FALSE)</f>
        <v>#N/A</v>
      </c>
      <c r="J109" s="3" t="e">
        <f>VLOOKUP(B109,Enviroments!$A$3:$D$60,2,FALSE)</f>
        <v>#N/A</v>
      </c>
      <c r="K109" s="3" t="e">
        <f>VLOOKUP(B109,Enviroments!$A$3:$D$60,3,FALSE)</f>
        <v>#N/A</v>
      </c>
      <c r="L109" s="3" t="e">
        <f>VLOOKUP(B109,Enviroments!$A$3:$D$60,4,FALSE)</f>
        <v>#N/A</v>
      </c>
      <c r="M109" s="3" t="e">
        <f>VLOOKUP(D109,AzureRegions!$A$4:$B$1502,1,FALSE)</f>
        <v>#N/A</v>
      </c>
      <c r="N109" s="3" t="e">
        <f>VLOOKUP(D109,AzureRegions!$A$4:$B$1502,2,FALSE)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VLOOKUP($D$5,Casing!$A$4:$A$60,1,FALSE)</f>
        <v>Lower</v>
      </c>
      <c r="S109" s="21" t="str">
        <f t="shared" si="1"/>
        <v>001</v>
      </c>
    </row>
    <row r="110" spans="1:19" x14ac:dyDescent="0.45">
      <c r="A110" s="21" t="s">
        <v>610</v>
      </c>
      <c r="D110" s="8"/>
      <c r="E110" s="3"/>
      <c r="F110" s="3" t="str">
        <f>IF(ISNUMBER(SEARCH("-",Q110)),IFERROR(IF($D$5="Lower", LOWER(ComputeResourceName($D$4,$D$3,$D$2,C110,I110,J110,K110,L110,N110,O110,Q110,A110)), UPPER(ComputeResourceName($D$4,$D$3,$D$2,C110,I110,J110,K110,L110,N110,O110,Q110,A110))),""),SUBSTITUTE(IFERROR(IF($D$5="Lower",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VLOOKUP(B110,Enviroments!$A$3:$D$60,1,FALSE)</f>
        <v>#N/A</v>
      </c>
      <c r="J110" s="3" t="e">
        <f>VLOOKUP(B110,Enviroments!$A$3:$D$60,2,FALSE)</f>
        <v>#N/A</v>
      </c>
      <c r="K110" s="3" t="e">
        <f>VLOOKUP(B110,Enviroments!$A$3:$D$60,3,FALSE)</f>
        <v>#N/A</v>
      </c>
      <c r="L110" s="3" t="e">
        <f>VLOOKUP(B110,Enviroments!$A$3:$D$60,4,FALSE)</f>
        <v>#N/A</v>
      </c>
      <c r="M110" s="3" t="e">
        <f>VLOOKUP(D110,AzureRegions!$A$4:$B$1502,1,FALSE)</f>
        <v>#N/A</v>
      </c>
      <c r="N110" s="3" t="e">
        <f>VLOOKUP(D110,AzureRegions!$A$4:$B$1502,2,FALSE)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VLOOKUP($D$5,Casing!$A$4:$A$60,1,FALSE)</f>
        <v>Lower</v>
      </c>
      <c r="S110" s="21" t="str">
        <f t="shared" si="1"/>
        <v>001</v>
      </c>
    </row>
    <row r="111" spans="1:19" x14ac:dyDescent="0.45">
      <c r="A111" s="21" t="s">
        <v>610</v>
      </c>
      <c r="D111" s="8"/>
      <c r="E111" s="3"/>
      <c r="F111" s="3" t="str">
        <f>IF(ISNUMBER(SEARCH("-",Q111)),IFERROR(IF($D$5="Lower", LOWER(ComputeResourceName($D$4,$D$3,$D$2,C111,I111,J111,K111,L111,N111,O111,Q111,A111)), UPPER(ComputeResourceName($D$4,$D$3,$D$2,C111,I111,J111,K111,L111,N111,O111,Q111,A111))),""),SUBSTITUTE(IFERROR(IF($D$5="Lower",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VLOOKUP(B111,Enviroments!$A$3:$D$60,1,FALSE)</f>
        <v>#N/A</v>
      </c>
      <c r="J111" s="3" t="e">
        <f>VLOOKUP(B111,Enviroments!$A$3:$D$60,2,FALSE)</f>
        <v>#N/A</v>
      </c>
      <c r="K111" s="3" t="e">
        <f>VLOOKUP(B111,Enviroments!$A$3:$D$60,3,FALSE)</f>
        <v>#N/A</v>
      </c>
      <c r="L111" s="3" t="e">
        <f>VLOOKUP(B111,Enviroments!$A$3:$D$60,4,FALSE)</f>
        <v>#N/A</v>
      </c>
      <c r="M111" s="3" t="e">
        <f>VLOOKUP(D111,AzureRegions!$A$4:$B$1502,1,FALSE)</f>
        <v>#N/A</v>
      </c>
      <c r="N111" s="3" t="e">
        <f>VLOOKUP(D111,AzureRegions!$A$4:$B$1502,2,FALSE)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VLOOKUP($D$5,Casing!$A$4:$A$60,1,FALSE)</f>
        <v>Lower</v>
      </c>
      <c r="S111" s="21" t="str">
        <f t="shared" si="1"/>
        <v>001</v>
      </c>
    </row>
    <row r="112" spans="1:19" x14ac:dyDescent="0.45">
      <c r="A112" s="21" t="s">
        <v>610</v>
      </c>
      <c r="D112" s="8"/>
      <c r="E112" s="3"/>
      <c r="F112" s="3" t="str">
        <f>IF(ISNUMBER(SEARCH("-",Q112)),IFERROR(IF($D$5="Lower", LOWER(ComputeResourceName($D$4,$D$3,$D$2,C112,I112,J112,K112,L112,N112,O112,Q112,A112)), UPPER(ComputeResourceName($D$4,$D$3,$D$2,C112,I112,J112,K112,L112,N112,O112,Q112,A112))),""),SUBSTITUTE(IFERROR(IF($D$5="Lower",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VLOOKUP(B112,Enviroments!$A$3:$D$60,1,FALSE)</f>
        <v>#N/A</v>
      </c>
      <c r="J112" s="3" t="e">
        <f>VLOOKUP(B112,Enviroments!$A$3:$D$60,2,FALSE)</f>
        <v>#N/A</v>
      </c>
      <c r="K112" s="3" t="e">
        <f>VLOOKUP(B112,Enviroments!$A$3:$D$60,3,FALSE)</f>
        <v>#N/A</v>
      </c>
      <c r="L112" s="3" t="e">
        <f>VLOOKUP(B112,Enviroments!$A$3:$D$60,4,FALSE)</f>
        <v>#N/A</v>
      </c>
      <c r="M112" s="3" t="e">
        <f>VLOOKUP(D112,AzureRegions!$A$4:$B$1502,1,FALSE)</f>
        <v>#N/A</v>
      </c>
      <c r="N112" s="3" t="e">
        <f>VLOOKUP(D112,AzureRegions!$A$4:$B$1502,2,FALSE)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VLOOKUP($D$5,Casing!$A$4:$A$60,1,FALSE)</f>
        <v>Lower</v>
      </c>
      <c r="S112" s="21" t="str">
        <f t="shared" si="1"/>
        <v>001</v>
      </c>
    </row>
    <row r="113" spans="1:19" x14ac:dyDescent="0.45">
      <c r="A113" s="21" t="s">
        <v>610</v>
      </c>
      <c r="D113" s="8"/>
      <c r="E113" s="3"/>
      <c r="F113" s="3" t="str">
        <f>IF(ISNUMBER(SEARCH("-",Q113)),IFERROR(IF($D$5="Lower", LOWER(ComputeResourceName($D$4,$D$3,$D$2,C113,I113,J113,K113,L113,N113,O113,Q113,A113)), UPPER(ComputeResourceName($D$4,$D$3,$D$2,C113,I113,J113,K113,L113,N113,O113,Q113,A113))),""),SUBSTITUTE(IFERROR(IF($D$5="Lower",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VLOOKUP(B113,Enviroments!$A$3:$D$60,1,FALSE)</f>
        <v>#N/A</v>
      </c>
      <c r="J113" s="3" t="e">
        <f>VLOOKUP(B113,Enviroments!$A$3:$D$60,2,FALSE)</f>
        <v>#N/A</v>
      </c>
      <c r="K113" s="3" t="e">
        <f>VLOOKUP(B113,Enviroments!$A$3:$D$60,3,FALSE)</f>
        <v>#N/A</v>
      </c>
      <c r="L113" s="3" t="e">
        <f>VLOOKUP(B113,Enviroments!$A$3:$D$60,4,FALSE)</f>
        <v>#N/A</v>
      </c>
      <c r="M113" s="3" t="e">
        <f>VLOOKUP(D113,AzureRegions!$A$4:$B$1502,1,FALSE)</f>
        <v>#N/A</v>
      </c>
      <c r="N113" s="3" t="e">
        <f>VLOOKUP(D113,AzureRegions!$A$4:$B$1502,2,FALSE)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VLOOKUP($D$5,Casing!$A$4:$A$60,1,FALSE)</f>
        <v>Lower</v>
      </c>
      <c r="S113" s="21" t="str">
        <f t="shared" si="1"/>
        <v>001</v>
      </c>
    </row>
    <row r="114" spans="1:19" x14ac:dyDescent="0.45">
      <c r="A114" s="21" t="s">
        <v>610</v>
      </c>
      <c r="D114" s="8"/>
      <c r="E114" s="3"/>
      <c r="F114" s="3" t="str">
        <f>IF(ISNUMBER(SEARCH("-",Q114)),IFERROR(IF($D$5="Lower", LOWER(ComputeResourceName($D$4,$D$3,$D$2,C114,I114,J114,K114,L114,N114,O114,Q114,A114)), UPPER(ComputeResourceName($D$4,$D$3,$D$2,C114,I114,J114,K114,L114,N114,O114,Q114,A114))),""),SUBSTITUTE(IFERROR(IF($D$5="Lower",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VLOOKUP(B114,Enviroments!$A$3:$D$60,1,FALSE)</f>
        <v>#N/A</v>
      </c>
      <c r="J114" s="3" t="e">
        <f>VLOOKUP(B114,Enviroments!$A$3:$D$60,2,FALSE)</f>
        <v>#N/A</v>
      </c>
      <c r="K114" s="3" t="e">
        <f>VLOOKUP(B114,Enviroments!$A$3:$D$60,3,FALSE)</f>
        <v>#N/A</v>
      </c>
      <c r="L114" s="3" t="e">
        <f>VLOOKUP(B114,Enviroments!$A$3:$D$60,4,FALSE)</f>
        <v>#N/A</v>
      </c>
      <c r="M114" s="3" t="e">
        <f>VLOOKUP(D114,AzureRegions!$A$4:$B$1502,1,FALSE)</f>
        <v>#N/A</v>
      </c>
      <c r="N114" s="3" t="e">
        <f>VLOOKUP(D114,AzureRegions!$A$4:$B$1502,2,FALSE)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VLOOKUP($D$5,Casing!$A$4:$A$60,1,FALSE)</f>
        <v>Lower</v>
      </c>
      <c r="S114" s="21" t="str">
        <f t="shared" si="1"/>
        <v>001</v>
      </c>
    </row>
    <row r="115" spans="1:19" x14ac:dyDescent="0.45">
      <c r="A115" s="21" t="s">
        <v>610</v>
      </c>
      <c r="D115" s="8"/>
      <c r="E115" s="3"/>
      <c r="F115" s="3" t="str">
        <f>IF(ISNUMBER(SEARCH("-",Q115)),IFERROR(IF($D$5="Lower", LOWER(ComputeResourceName($D$4,$D$3,$D$2,C115,I115,J115,K115,L115,N115,O115,Q115,A115)), UPPER(ComputeResourceName($D$4,$D$3,$D$2,C115,I115,J115,K115,L115,N115,O115,Q115,A115))),""),SUBSTITUTE(IFERROR(IF($D$5="Lower",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VLOOKUP(B115,Enviroments!$A$3:$D$60,1,FALSE)</f>
        <v>#N/A</v>
      </c>
      <c r="J115" s="3" t="e">
        <f>VLOOKUP(B115,Enviroments!$A$3:$D$60,2,FALSE)</f>
        <v>#N/A</v>
      </c>
      <c r="K115" s="3" t="e">
        <f>VLOOKUP(B115,Enviroments!$A$3:$D$60,3,FALSE)</f>
        <v>#N/A</v>
      </c>
      <c r="L115" s="3" t="e">
        <f>VLOOKUP(B115,Enviroments!$A$3:$D$60,4,FALSE)</f>
        <v>#N/A</v>
      </c>
      <c r="M115" s="3" t="e">
        <f>VLOOKUP(D115,AzureRegions!$A$4:$B$1502,1,FALSE)</f>
        <v>#N/A</v>
      </c>
      <c r="N115" s="3" t="e">
        <f>VLOOKUP(D115,AzureRegions!$A$4:$B$1502,2,FALSE)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VLOOKUP($D$5,Casing!$A$4:$A$60,1,FALSE)</f>
        <v>Lower</v>
      </c>
      <c r="S115" s="21" t="str">
        <f t="shared" si="1"/>
        <v>001</v>
      </c>
    </row>
    <row r="116" spans="1:19" x14ac:dyDescent="0.45">
      <c r="A116" s="21" t="s">
        <v>610</v>
      </c>
      <c r="D116" s="8"/>
      <c r="E116" s="3"/>
      <c r="F116" s="3" t="str">
        <f>IF(ISNUMBER(SEARCH("-",Q116)),IFERROR(IF($D$5="Lower", LOWER(ComputeResourceName($D$4,$D$3,$D$2,C116,I116,J116,K116,L116,N116,O116,Q116,A116)), UPPER(ComputeResourceName($D$4,$D$3,$D$2,C116,I116,J116,K116,L116,N116,O116,Q116,A116))),""),SUBSTITUTE(IFERROR(IF($D$5="Lower",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VLOOKUP(B116,Enviroments!$A$3:$D$60,1,FALSE)</f>
        <v>#N/A</v>
      </c>
      <c r="J116" s="3" t="e">
        <f>VLOOKUP(B116,Enviroments!$A$3:$D$60,2,FALSE)</f>
        <v>#N/A</v>
      </c>
      <c r="K116" s="3" t="e">
        <f>VLOOKUP(B116,Enviroments!$A$3:$D$60,3,FALSE)</f>
        <v>#N/A</v>
      </c>
      <c r="L116" s="3" t="e">
        <f>VLOOKUP(B116,Enviroments!$A$3:$D$60,4,FALSE)</f>
        <v>#N/A</v>
      </c>
      <c r="M116" s="3" t="e">
        <f>VLOOKUP(D116,AzureRegions!$A$4:$B$1502,1,FALSE)</f>
        <v>#N/A</v>
      </c>
      <c r="N116" s="3" t="e">
        <f>VLOOKUP(D116,AzureRegions!$A$4:$B$1502,2,FALSE)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VLOOKUP($D$5,Casing!$A$4:$A$60,1,FALSE)</f>
        <v>Lower</v>
      </c>
      <c r="S116" s="21" t="str">
        <f t="shared" si="1"/>
        <v>001</v>
      </c>
    </row>
    <row r="117" spans="1:19" x14ac:dyDescent="0.45">
      <c r="A117" s="21" t="s">
        <v>610</v>
      </c>
      <c r="D117" s="8"/>
      <c r="E117" s="3"/>
      <c r="F117" s="3" t="str">
        <f>IF(ISNUMBER(SEARCH("-",Q117)),IFERROR(IF($D$5="Lower", LOWER(ComputeResourceName($D$4,$D$3,$D$2,C117,I117,J117,K117,L117,N117,O117,Q117,A117)), UPPER(ComputeResourceName($D$4,$D$3,$D$2,C117,I117,J117,K117,L117,N117,O117,Q117,A117))),""),SUBSTITUTE(IFERROR(IF($D$5="Lower",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VLOOKUP(B117,Enviroments!$A$3:$D$60,1,FALSE)</f>
        <v>#N/A</v>
      </c>
      <c r="J117" s="3" t="e">
        <f>VLOOKUP(B117,Enviroments!$A$3:$D$60,2,FALSE)</f>
        <v>#N/A</v>
      </c>
      <c r="K117" s="3" t="e">
        <f>VLOOKUP(B117,Enviroments!$A$3:$D$60,3,FALSE)</f>
        <v>#N/A</v>
      </c>
      <c r="L117" s="3" t="e">
        <f>VLOOKUP(B117,Enviroments!$A$3:$D$60,4,FALSE)</f>
        <v>#N/A</v>
      </c>
      <c r="M117" s="3" t="e">
        <f>VLOOKUP(D117,AzureRegions!$A$4:$B$1502,1,FALSE)</f>
        <v>#N/A</v>
      </c>
      <c r="N117" s="3" t="e">
        <f>VLOOKUP(D117,AzureRegions!$A$4:$B$1502,2,FALSE)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VLOOKUP($D$5,Casing!$A$4:$A$60,1,FALSE)</f>
        <v>Lower</v>
      </c>
      <c r="S117" s="21" t="str">
        <f t="shared" si="1"/>
        <v>001</v>
      </c>
    </row>
    <row r="118" spans="1:19" x14ac:dyDescent="0.45">
      <c r="A118" s="21" t="s">
        <v>610</v>
      </c>
      <c r="D118" s="8"/>
      <c r="E118" s="3"/>
      <c r="F118" s="3" t="str">
        <f>IF(ISNUMBER(SEARCH("-",Q118)),IFERROR(IF($D$5="Lower", LOWER(ComputeResourceName($D$4,$D$3,$D$2,C118,I118,J118,K118,L118,N118,O118,Q118,A118)), UPPER(ComputeResourceName($D$4,$D$3,$D$2,C118,I118,J118,K118,L118,N118,O118,Q118,A118))),""),SUBSTITUTE(IFERROR(IF($D$5="Lower",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VLOOKUP(B118,Enviroments!$A$3:$D$60,1,FALSE)</f>
        <v>#N/A</v>
      </c>
      <c r="J118" s="3" t="e">
        <f>VLOOKUP(B118,Enviroments!$A$3:$D$60,2,FALSE)</f>
        <v>#N/A</v>
      </c>
      <c r="K118" s="3" t="e">
        <f>VLOOKUP(B118,Enviroments!$A$3:$D$60,3,FALSE)</f>
        <v>#N/A</v>
      </c>
      <c r="L118" s="3" t="e">
        <f>VLOOKUP(B118,Enviroments!$A$3:$D$60,4,FALSE)</f>
        <v>#N/A</v>
      </c>
      <c r="M118" s="3" t="e">
        <f>VLOOKUP(D118,AzureRegions!$A$4:$B$1502,1,FALSE)</f>
        <v>#N/A</v>
      </c>
      <c r="N118" s="3" t="e">
        <f>VLOOKUP(D118,AzureRegions!$A$4:$B$1502,2,FALSE)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VLOOKUP($D$5,Casing!$A$4:$A$60,1,FALSE)</f>
        <v>Lower</v>
      </c>
      <c r="S118" s="21" t="str">
        <f t="shared" si="1"/>
        <v>001</v>
      </c>
    </row>
    <row r="119" spans="1:19" x14ac:dyDescent="0.45">
      <c r="A119" s="21" t="s">
        <v>610</v>
      </c>
      <c r="D119" s="8"/>
      <c r="E119" s="3"/>
      <c r="F119" s="3" t="str">
        <f>IF(ISNUMBER(SEARCH("-",Q119)),IFERROR(IF($D$5="Lower", LOWER(ComputeResourceName($D$4,$D$3,$D$2,C119,I119,J119,K119,L119,N119,O119,Q119,A119)), UPPER(ComputeResourceName($D$4,$D$3,$D$2,C119,I119,J119,K119,L119,N119,O119,Q119,A119))),""),SUBSTITUTE(IFERROR(IF($D$5="Lower",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VLOOKUP(B119,Enviroments!$A$3:$D$60,1,FALSE)</f>
        <v>#N/A</v>
      </c>
      <c r="J119" s="3" t="e">
        <f>VLOOKUP(B119,Enviroments!$A$3:$D$60,2,FALSE)</f>
        <v>#N/A</v>
      </c>
      <c r="K119" s="3" t="e">
        <f>VLOOKUP(B119,Enviroments!$A$3:$D$60,3,FALSE)</f>
        <v>#N/A</v>
      </c>
      <c r="L119" s="3" t="e">
        <f>VLOOKUP(B119,Enviroments!$A$3:$D$60,4,FALSE)</f>
        <v>#N/A</v>
      </c>
      <c r="M119" s="3" t="e">
        <f>VLOOKUP(D119,AzureRegions!$A$4:$B$1502,1,FALSE)</f>
        <v>#N/A</v>
      </c>
      <c r="N119" s="3" t="e">
        <f>VLOOKUP(D119,AzureRegions!$A$4:$B$1502,2,FALSE)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VLOOKUP($D$5,Casing!$A$4:$A$60,1,FALSE)</f>
        <v>Lower</v>
      </c>
      <c r="S119" s="21" t="str">
        <f t="shared" si="1"/>
        <v>001</v>
      </c>
    </row>
    <row r="120" spans="1:19" x14ac:dyDescent="0.45">
      <c r="A120" s="21" t="s">
        <v>610</v>
      </c>
      <c r="D120" s="8"/>
      <c r="E120" s="3"/>
      <c r="F120" s="3" t="str">
        <f>IF(ISNUMBER(SEARCH("-",Q120)),IFERROR(IF($D$5="Lower", LOWER(ComputeResourceName($D$4,$D$3,$D$2,C120,I120,J120,K120,L120,N120,O120,Q120,A120)), UPPER(ComputeResourceName($D$4,$D$3,$D$2,C120,I120,J120,K120,L120,N120,O120,Q120,A120))),""),SUBSTITUTE(IFERROR(IF($D$5="Lower",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VLOOKUP(B120,Enviroments!$A$3:$D$60,1,FALSE)</f>
        <v>#N/A</v>
      </c>
      <c r="J120" s="3" t="e">
        <f>VLOOKUP(B120,Enviroments!$A$3:$D$60,2,FALSE)</f>
        <v>#N/A</v>
      </c>
      <c r="K120" s="3" t="e">
        <f>VLOOKUP(B120,Enviroments!$A$3:$D$60,3,FALSE)</f>
        <v>#N/A</v>
      </c>
      <c r="L120" s="3" t="e">
        <f>VLOOKUP(B120,Enviroments!$A$3:$D$60,4,FALSE)</f>
        <v>#N/A</v>
      </c>
      <c r="M120" s="3" t="e">
        <f>VLOOKUP(D120,AzureRegions!$A$4:$B$1502,1,FALSE)</f>
        <v>#N/A</v>
      </c>
      <c r="N120" s="3" t="e">
        <f>VLOOKUP(D120,AzureRegions!$A$4:$B$1502,2,FALSE)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VLOOKUP($D$5,Casing!$A$4:$A$60,1,FALSE)</f>
        <v>Lower</v>
      </c>
      <c r="S120" s="21" t="str">
        <f t="shared" si="1"/>
        <v>001</v>
      </c>
    </row>
    <row r="121" spans="1:19" x14ac:dyDescent="0.45">
      <c r="A121" s="21" t="s">
        <v>610</v>
      </c>
      <c r="D121" s="8"/>
      <c r="E121" s="3"/>
      <c r="F121" s="3" t="str">
        <f>IF(ISNUMBER(SEARCH("-",Q121)),IFERROR(IF($D$5="Lower", LOWER(ComputeResourceName($D$4,$D$3,$D$2,C121,I121,J121,K121,L121,N121,O121,Q121,A121)), UPPER(ComputeResourceName($D$4,$D$3,$D$2,C121,I121,J121,K121,L121,N121,O121,Q121,A121))),""),SUBSTITUTE(IFERROR(IF($D$5="Lower",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VLOOKUP(B121,Enviroments!$A$3:$D$60,1,FALSE)</f>
        <v>#N/A</v>
      </c>
      <c r="J121" s="3" t="e">
        <f>VLOOKUP(B121,Enviroments!$A$3:$D$60,2,FALSE)</f>
        <v>#N/A</v>
      </c>
      <c r="K121" s="3" t="e">
        <f>VLOOKUP(B121,Enviroments!$A$3:$D$60,3,FALSE)</f>
        <v>#N/A</v>
      </c>
      <c r="L121" s="3" t="e">
        <f>VLOOKUP(B121,Enviroments!$A$3:$D$60,4,FALSE)</f>
        <v>#N/A</v>
      </c>
      <c r="M121" s="3" t="e">
        <f>VLOOKUP(D121,AzureRegions!$A$4:$B$1502,1,FALSE)</f>
        <v>#N/A</v>
      </c>
      <c r="N121" s="3" t="e">
        <f>VLOOKUP(D121,AzureRegions!$A$4:$B$1502,2,FALSE)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VLOOKUP($D$5,Casing!$A$4:$A$60,1,FALSE)</f>
        <v>Lower</v>
      </c>
      <c r="S121" s="21" t="str">
        <f t="shared" si="1"/>
        <v>001</v>
      </c>
    </row>
    <row r="122" spans="1:19" x14ac:dyDescent="0.45">
      <c r="A122" s="21" t="s">
        <v>610</v>
      </c>
      <c r="D122" s="8"/>
      <c r="E122" s="3"/>
      <c r="F122" s="3" t="str">
        <f>IF(ISNUMBER(SEARCH("-",Q122)),IFERROR(IF($D$5="Lower", LOWER(ComputeResourceName($D$4,$D$3,$D$2,C122,I122,J122,K122,L122,N122,O122,Q122,A122)), UPPER(ComputeResourceName($D$4,$D$3,$D$2,C122,I122,J122,K122,L122,N122,O122,Q122,A122))),""),SUBSTITUTE(IFERROR(IF($D$5="Lower",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VLOOKUP(B122,Enviroments!$A$3:$D$60,1,FALSE)</f>
        <v>#N/A</v>
      </c>
      <c r="J122" s="3" t="e">
        <f>VLOOKUP(B122,Enviroments!$A$3:$D$60,2,FALSE)</f>
        <v>#N/A</v>
      </c>
      <c r="K122" s="3" t="e">
        <f>VLOOKUP(B122,Enviroments!$A$3:$D$60,3,FALSE)</f>
        <v>#N/A</v>
      </c>
      <c r="L122" s="3" t="e">
        <f>VLOOKUP(B122,Enviroments!$A$3:$D$60,4,FALSE)</f>
        <v>#N/A</v>
      </c>
      <c r="M122" s="3" t="e">
        <f>VLOOKUP(D122,AzureRegions!$A$4:$B$1502,1,FALSE)</f>
        <v>#N/A</v>
      </c>
      <c r="N122" s="3" t="e">
        <f>VLOOKUP(D122,AzureRegions!$A$4:$B$1502,2,FALSE)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VLOOKUP($D$5,Casing!$A$4:$A$60,1,FALSE)</f>
        <v>Lower</v>
      </c>
      <c r="S122" s="21" t="str">
        <f t="shared" si="1"/>
        <v>001</v>
      </c>
    </row>
    <row r="123" spans="1:19" x14ac:dyDescent="0.45">
      <c r="A123" s="21" t="s">
        <v>610</v>
      </c>
      <c r="D123" s="8"/>
      <c r="E123" s="3"/>
      <c r="F123" s="3" t="str">
        <f>IF(ISNUMBER(SEARCH("-",Q123)),IFERROR(IF($D$5="Lower", LOWER(ComputeResourceName($D$4,$D$3,$D$2,C123,I123,J123,K123,L123,N123,O123,Q123,A123)), UPPER(ComputeResourceName($D$4,$D$3,$D$2,C123,I123,J123,K123,L123,N123,O123,Q123,A123))),""),SUBSTITUTE(IFERROR(IF($D$5="Lower",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VLOOKUP(B123,Enviroments!$A$3:$D$60,1,FALSE)</f>
        <v>#N/A</v>
      </c>
      <c r="J123" s="3" t="e">
        <f>VLOOKUP(B123,Enviroments!$A$3:$D$60,2,FALSE)</f>
        <v>#N/A</v>
      </c>
      <c r="K123" s="3" t="e">
        <f>VLOOKUP(B123,Enviroments!$A$3:$D$60,3,FALSE)</f>
        <v>#N/A</v>
      </c>
      <c r="L123" s="3" t="e">
        <f>VLOOKUP(B123,Enviroments!$A$3:$D$60,4,FALSE)</f>
        <v>#N/A</v>
      </c>
      <c r="M123" s="3" t="e">
        <f>VLOOKUP(D123,AzureRegions!$A$4:$B$1502,1,FALSE)</f>
        <v>#N/A</v>
      </c>
      <c r="N123" s="3" t="e">
        <f>VLOOKUP(D123,AzureRegions!$A$4:$B$1502,2,FALSE)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VLOOKUP($D$5,Casing!$A$4:$A$60,1,FALSE)</f>
        <v>Lower</v>
      </c>
      <c r="S123" s="21" t="str">
        <f t="shared" si="1"/>
        <v>001</v>
      </c>
    </row>
    <row r="124" spans="1:19" x14ac:dyDescent="0.45">
      <c r="A124" s="21" t="s">
        <v>610</v>
      </c>
      <c r="D124" s="8"/>
      <c r="E124" s="3"/>
      <c r="F124" s="3" t="str">
        <f>IF(ISNUMBER(SEARCH("-",Q124)),IFERROR(IF($D$5="Lower", LOWER(ComputeResourceName($D$4,$D$3,$D$2,C124,I124,J124,K124,L124,N124,O124,Q124,A124)), UPPER(ComputeResourceName($D$4,$D$3,$D$2,C124,I124,J124,K124,L124,N124,O124,Q124,A124))),""),SUBSTITUTE(IFERROR(IF($D$5="Lower",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VLOOKUP(B124,Enviroments!$A$3:$D$60,1,FALSE)</f>
        <v>#N/A</v>
      </c>
      <c r="J124" s="3" t="e">
        <f>VLOOKUP(B124,Enviroments!$A$3:$D$60,2,FALSE)</f>
        <v>#N/A</v>
      </c>
      <c r="K124" s="3" t="e">
        <f>VLOOKUP(B124,Enviroments!$A$3:$D$60,3,FALSE)</f>
        <v>#N/A</v>
      </c>
      <c r="L124" s="3" t="e">
        <f>VLOOKUP(B124,Enviroments!$A$3:$D$60,4,FALSE)</f>
        <v>#N/A</v>
      </c>
      <c r="M124" s="3" t="e">
        <f>VLOOKUP(D124,AzureRegions!$A$4:$B$1502,1,FALSE)</f>
        <v>#N/A</v>
      </c>
      <c r="N124" s="3" t="e">
        <f>VLOOKUP(D124,AzureRegions!$A$4:$B$1502,2,FALSE)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VLOOKUP($D$5,Casing!$A$4:$A$60,1,FALSE)</f>
        <v>Lower</v>
      </c>
      <c r="S124" s="21" t="str">
        <f t="shared" si="1"/>
        <v>001</v>
      </c>
    </row>
    <row r="125" spans="1:19" x14ac:dyDescent="0.45">
      <c r="A125" s="21" t="s">
        <v>610</v>
      </c>
      <c r="D125" s="8"/>
      <c r="E125" s="3"/>
      <c r="F125" s="3" t="str">
        <f>IF(ISNUMBER(SEARCH("-",Q125)),IFERROR(IF($D$5="Lower", LOWER(ComputeResourceName($D$4,$D$3,$D$2,C125,I125,J125,K125,L125,N125,O125,Q125,A125)), UPPER(ComputeResourceName($D$4,$D$3,$D$2,C125,I125,J125,K125,L125,N125,O125,Q125,A125))),""),SUBSTITUTE(IFERROR(IF($D$5="Lower",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VLOOKUP(B125,Enviroments!$A$3:$D$60,1,FALSE)</f>
        <v>#N/A</v>
      </c>
      <c r="J125" s="3" t="e">
        <f>VLOOKUP(B125,Enviroments!$A$3:$D$60,2,FALSE)</f>
        <v>#N/A</v>
      </c>
      <c r="K125" s="3" t="e">
        <f>VLOOKUP(B125,Enviroments!$A$3:$D$60,3,FALSE)</f>
        <v>#N/A</v>
      </c>
      <c r="L125" s="3" t="e">
        <f>VLOOKUP(B125,Enviroments!$A$3:$D$60,4,FALSE)</f>
        <v>#N/A</v>
      </c>
      <c r="M125" s="3" t="e">
        <f>VLOOKUP(D125,AzureRegions!$A$4:$B$1502,1,FALSE)</f>
        <v>#N/A</v>
      </c>
      <c r="N125" s="3" t="e">
        <f>VLOOKUP(D125,AzureRegions!$A$4:$B$1502,2,FALSE)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VLOOKUP($D$5,Casing!$A$4:$A$60,1,FALSE)</f>
        <v>Lower</v>
      </c>
      <c r="S125" s="21" t="str">
        <f t="shared" si="1"/>
        <v>001</v>
      </c>
    </row>
    <row r="126" spans="1:19" x14ac:dyDescent="0.45">
      <c r="A126" s="21" t="s">
        <v>610</v>
      </c>
      <c r="D126" s="8"/>
      <c r="E126" s="3"/>
      <c r="F126" s="3" t="str">
        <f>IF(ISNUMBER(SEARCH("-",Q126)),IFERROR(IF($D$5="Lower", LOWER(ComputeResourceName($D$4,$D$3,$D$2,C126,I126,J126,K126,L126,N126,O126,Q126,A126)), UPPER(ComputeResourceName($D$4,$D$3,$D$2,C126,I126,J126,K126,L126,N126,O126,Q126,A126))),""),SUBSTITUTE(IFERROR(IF($D$5="Lower",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VLOOKUP(B126,Enviroments!$A$3:$D$60,1,FALSE)</f>
        <v>#N/A</v>
      </c>
      <c r="J126" s="3" t="e">
        <f>VLOOKUP(B126,Enviroments!$A$3:$D$60,2,FALSE)</f>
        <v>#N/A</v>
      </c>
      <c r="K126" s="3" t="e">
        <f>VLOOKUP(B126,Enviroments!$A$3:$D$60,3,FALSE)</f>
        <v>#N/A</v>
      </c>
      <c r="L126" s="3" t="e">
        <f>VLOOKUP(B126,Enviroments!$A$3:$D$60,4,FALSE)</f>
        <v>#N/A</v>
      </c>
      <c r="M126" s="3" t="e">
        <f>VLOOKUP(D126,AzureRegions!$A$4:$B$1502,1,FALSE)</f>
        <v>#N/A</v>
      </c>
      <c r="N126" s="3" t="e">
        <f>VLOOKUP(D126,AzureRegions!$A$4:$B$1502,2,FALSE)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VLOOKUP($D$5,Casing!$A$4:$A$60,1,FALSE)</f>
        <v>Lower</v>
      </c>
      <c r="S126" s="21" t="str">
        <f t="shared" si="1"/>
        <v>001</v>
      </c>
    </row>
    <row r="127" spans="1:19" x14ac:dyDescent="0.45">
      <c r="A127" s="21" t="s">
        <v>610</v>
      </c>
      <c r="D127" s="8"/>
      <c r="E127" s="3"/>
      <c r="F127" s="3" t="str">
        <f>IF(ISNUMBER(SEARCH("-",Q127)),IFERROR(IF($D$5="Lower", LOWER(ComputeResourceName($D$4,$D$3,$D$2,C127,I127,J127,K127,L127,N127,O127,Q127,A127)), UPPER(ComputeResourceName($D$4,$D$3,$D$2,C127,I127,J127,K127,L127,N127,O127,Q127,A127))),""),SUBSTITUTE(IFERROR(IF($D$5="Lower",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VLOOKUP(B127,Enviroments!$A$3:$D$60,1,FALSE)</f>
        <v>#N/A</v>
      </c>
      <c r="J127" s="3" t="e">
        <f>VLOOKUP(B127,Enviroments!$A$3:$D$60,2,FALSE)</f>
        <v>#N/A</v>
      </c>
      <c r="K127" s="3" t="e">
        <f>VLOOKUP(B127,Enviroments!$A$3:$D$60,3,FALSE)</f>
        <v>#N/A</v>
      </c>
      <c r="L127" s="3" t="e">
        <f>VLOOKUP(B127,Enviroments!$A$3:$D$60,4,FALSE)</f>
        <v>#N/A</v>
      </c>
      <c r="M127" s="3" t="e">
        <f>VLOOKUP(D127,AzureRegions!$A$4:$B$1502,1,FALSE)</f>
        <v>#N/A</v>
      </c>
      <c r="N127" s="3" t="e">
        <f>VLOOKUP(D127,AzureRegions!$A$4:$B$1502,2,FALSE)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VLOOKUP($D$5,Casing!$A$4:$A$60,1,FALSE)</f>
        <v>Lower</v>
      </c>
      <c r="S127" s="21" t="str">
        <f t="shared" si="1"/>
        <v>001</v>
      </c>
    </row>
    <row r="128" spans="1:19" x14ac:dyDescent="0.45">
      <c r="A128" s="21" t="s">
        <v>610</v>
      </c>
      <c r="D128" s="8"/>
      <c r="E128" s="3"/>
      <c r="F128" s="3" t="str">
        <f>IF(ISNUMBER(SEARCH("-",Q128)),IFERROR(IF($D$5="Lower", LOWER(ComputeResourceName($D$4,$D$3,$D$2,C128,I128,J128,K128,L128,N128,O128,Q128,A128)), UPPER(ComputeResourceName($D$4,$D$3,$D$2,C128,I128,J128,K128,L128,N128,O128,Q128,A128))),""),SUBSTITUTE(IFERROR(IF($D$5="Lower",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VLOOKUP(B128,Enviroments!$A$3:$D$60,1,FALSE)</f>
        <v>#N/A</v>
      </c>
      <c r="J128" s="3" t="e">
        <f>VLOOKUP(B128,Enviroments!$A$3:$D$60,2,FALSE)</f>
        <v>#N/A</v>
      </c>
      <c r="K128" s="3" t="e">
        <f>VLOOKUP(B128,Enviroments!$A$3:$D$60,3,FALSE)</f>
        <v>#N/A</v>
      </c>
      <c r="L128" s="3" t="e">
        <f>VLOOKUP(B128,Enviroments!$A$3:$D$60,4,FALSE)</f>
        <v>#N/A</v>
      </c>
      <c r="M128" s="3" t="e">
        <f>VLOOKUP(D128,AzureRegions!$A$4:$B$1502,1,FALSE)</f>
        <v>#N/A</v>
      </c>
      <c r="N128" s="3" t="e">
        <f>VLOOKUP(D128,AzureRegions!$A$4:$B$1502,2,FALSE)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VLOOKUP($D$5,Casing!$A$4:$A$60,1,FALSE)</f>
        <v>Lower</v>
      </c>
      <c r="S128" s="21" t="str">
        <f t="shared" si="1"/>
        <v>001</v>
      </c>
    </row>
    <row r="129" spans="1:19" x14ac:dyDescent="0.45">
      <c r="A129" s="21" t="s">
        <v>610</v>
      </c>
      <c r="D129" s="8"/>
      <c r="E129" s="3"/>
      <c r="F129" s="3" t="str">
        <f>IF(ISNUMBER(SEARCH("-",Q129)),IFERROR(IF($D$5="Lower", LOWER(ComputeResourceName($D$4,$D$3,$D$2,C129,I129,J129,K129,L129,N129,O129,Q129,A129)), UPPER(ComputeResourceName($D$4,$D$3,$D$2,C129,I129,J129,K129,L129,N129,O129,Q129,A129))),""),SUBSTITUTE(IFERROR(IF($D$5="Lower",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VLOOKUP(B129,Enviroments!$A$3:$D$60,1,FALSE)</f>
        <v>#N/A</v>
      </c>
      <c r="J129" s="3" t="e">
        <f>VLOOKUP(B129,Enviroments!$A$3:$D$60,2,FALSE)</f>
        <v>#N/A</v>
      </c>
      <c r="K129" s="3" t="e">
        <f>VLOOKUP(B129,Enviroments!$A$3:$D$60,3,FALSE)</f>
        <v>#N/A</v>
      </c>
      <c r="L129" s="3" t="e">
        <f>VLOOKUP(B129,Enviroments!$A$3:$D$60,4,FALSE)</f>
        <v>#N/A</v>
      </c>
      <c r="M129" s="3" t="e">
        <f>VLOOKUP(D129,AzureRegions!$A$4:$B$1502,1,FALSE)</f>
        <v>#N/A</v>
      </c>
      <c r="N129" s="3" t="e">
        <f>VLOOKUP(D129,AzureRegions!$A$4:$B$1502,2,FALSE)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VLOOKUP($D$5,Casing!$A$4:$A$60,1,FALSE)</f>
        <v>Lower</v>
      </c>
      <c r="S129" s="21" t="str">
        <f t="shared" si="1"/>
        <v>001</v>
      </c>
    </row>
    <row r="130" spans="1:19" x14ac:dyDescent="0.45">
      <c r="A130" s="21" t="s">
        <v>610</v>
      </c>
      <c r="D130" s="8"/>
      <c r="E130" s="3"/>
      <c r="F130" s="3" t="str">
        <f>IF(ISNUMBER(SEARCH("-",Q130)),IFERROR(IF($D$5="Lower", LOWER(ComputeResourceName($D$4,$D$3,$D$2,C130,I130,J130,K130,L130,N130,O130,Q130,A130)), UPPER(ComputeResourceName($D$4,$D$3,$D$2,C130,I130,J130,K130,L130,N130,O130,Q130,A130))),""),SUBSTITUTE(IFERROR(IF($D$5="Lower",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VLOOKUP(B130,Enviroments!$A$3:$D$60,1,FALSE)</f>
        <v>#N/A</v>
      </c>
      <c r="J130" s="3" t="e">
        <f>VLOOKUP(B130,Enviroments!$A$3:$D$60,2,FALSE)</f>
        <v>#N/A</v>
      </c>
      <c r="K130" s="3" t="e">
        <f>VLOOKUP(B130,Enviroments!$A$3:$D$60,3,FALSE)</f>
        <v>#N/A</v>
      </c>
      <c r="L130" s="3" t="e">
        <f>VLOOKUP(B130,Enviroments!$A$3:$D$60,4,FALSE)</f>
        <v>#N/A</v>
      </c>
      <c r="M130" s="3" t="e">
        <f>VLOOKUP(D130,AzureRegions!$A$4:$B$1502,1,FALSE)</f>
        <v>#N/A</v>
      </c>
      <c r="N130" s="3" t="e">
        <f>VLOOKUP(D130,AzureRegions!$A$4:$B$1502,2,FALSE)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VLOOKUP($D$5,Casing!$A$4:$A$60,1,FALSE)</f>
        <v>Lower</v>
      </c>
      <c r="S130" s="21" t="str">
        <f t="shared" si="1"/>
        <v>001</v>
      </c>
    </row>
    <row r="131" spans="1:19" x14ac:dyDescent="0.45">
      <c r="A131" s="21" t="s">
        <v>610</v>
      </c>
      <c r="D131" s="8"/>
      <c r="E131" s="3"/>
      <c r="F131" s="3" t="str">
        <f>IF(ISNUMBER(SEARCH("-",Q131)),IFERROR(IF($D$5="Lower", LOWER(ComputeResourceName($D$4,$D$3,$D$2,C131,I131,J131,K131,L131,N131,O131,Q131,A131)), UPPER(ComputeResourceName($D$4,$D$3,$D$2,C131,I131,J131,K131,L131,N131,O131,Q131,A131))),""),SUBSTITUTE(IFERROR(IF($D$5="Lower",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VLOOKUP(B131,Enviroments!$A$3:$D$60,1,FALSE)</f>
        <v>#N/A</v>
      </c>
      <c r="J131" s="3" t="e">
        <f>VLOOKUP(B131,Enviroments!$A$3:$D$60,2,FALSE)</f>
        <v>#N/A</v>
      </c>
      <c r="K131" s="3" t="e">
        <f>VLOOKUP(B131,Enviroments!$A$3:$D$60,3,FALSE)</f>
        <v>#N/A</v>
      </c>
      <c r="L131" s="3" t="e">
        <f>VLOOKUP(B131,Enviroments!$A$3:$D$60,4,FALSE)</f>
        <v>#N/A</v>
      </c>
      <c r="M131" s="3" t="e">
        <f>VLOOKUP(D131,AzureRegions!$A$4:$B$1502,1,FALSE)</f>
        <v>#N/A</v>
      </c>
      <c r="N131" s="3" t="e">
        <f>VLOOKUP(D131,AzureRegions!$A$4:$B$1502,2,FALSE)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VLOOKUP($D$5,Casing!$A$4:$A$60,1,FALSE)</f>
        <v>Lower</v>
      </c>
      <c r="S131" s="21" t="str">
        <f t="shared" si="1"/>
        <v>001</v>
      </c>
    </row>
    <row r="132" spans="1:19" x14ac:dyDescent="0.45">
      <c r="A132" s="21" t="s">
        <v>610</v>
      </c>
      <c r="D132" s="8"/>
      <c r="E132" s="3"/>
      <c r="F132" s="3" t="str">
        <f>IF(ISNUMBER(SEARCH("-",Q132)),IFERROR(IF($D$5="Lower", LOWER(ComputeResourceName($D$4,$D$3,$D$2,C132,I132,J132,K132,L132,N132,O132,Q132,A132)), UPPER(ComputeResourceName($D$4,$D$3,$D$2,C132,I132,J132,K132,L132,N132,O132,Q132,A132))),""),SUBSTITUTE(IFERROR(IF($D$5="Lower",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VLOOKUP(B132,Enviroments!$A$3:$D$60,1,FALSE)</f>
        <v>#N/A</v>
      </c>
      <c r="J132" s="3" t="e">
        <f>VLOOKUP(B132,Enviroments!$A$3:$D$60,2,FALSE)</f>
        <v>#N/A</v>
      </c>
      <c r="K132" s="3" t="e">
        <f>VLOOKUP(B132,Enviroments!$A$3:$D$60,3,FALSE)</f>
        <v>#N/A</v>
      </c>
      <c r="L132" s="3" t="e">
        <f>VLOOKUP(B132,Enviroments!$A$3:$D$60,4,FALSE)</f>
        <v>#N/A</v>
      </c>
      <c r="M132" s="3" t="e">
        <f>VLOOKUP(D132,AzureRegions!$A$4:$B$1502,1,FALSE)</f>
        <v>#N/A</v>
      </c>
      <c r="N132" s="3" t="e">
        <f>VLOOKUP(D132,AzureRegions!$A$4:$B$1502,2,FALSE)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VLOOKUP($D$5,Casing!$A$4:$A$60,1,FALSE)</f>
        <v>Lower</v>
      </c>
      <c r="S132" s="21" t="str">
        <f t="shared" si="1"/>
        <v>001</v>
      </c>
    </row>
    <row r="133" spans="1:19" x14ac:dyDescent="0.45">
      <c r="A133" s="21" t="s">
        <v>610</v>
      </c>
      <c r="D133" s="8"/>
      <c r="E133" s="3"/>
      <c r="F133" s="3" t="str">
        <f>IF(ISNUMBER(SEARCH("-",Q133)),IFERROR(IF($D$5="Lower", LOWER(ComputeResourceName($D$4,$D$3,$D$2,C133,I133,J133,K133,L133,N133,O133,Q133,A133)), UPPER(ComputeResourceName($D$4,$D$3,$D$2,C133,I133,J133,K133,L133,N133,O133,Q133,A133))),""),SUBSTITUTE(IFERROR(IF($D$5="Lower",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VLOOKUP(B133,Enviroments!$A$3:$D$60,1,FALSE)</f>
        <v>#N/A</v>
      </c>
      <c r="J133" s="3" t="e">
        <f>VLOOKUP(B133,Enviroments!$A$3:$D$60,2,FALSE)</f>
        <v>#N/A</v>
      </c>
      <c r="K133" s="3" t="e">
        <f>VLOOKUP(B133,Enviroments!$A$3:$D$60,3,FALSE)</f>
        <v>#N/A</v>
      </c>
      <c r="L133" s="3" t="e">
        <f>VLOOKUP(B133,Enviroments!$A$3:$D$60,4,FALSE)</f>
        <v>#N/A</v>
      </c>
      <c r="M133" s="3" t="e">
        <f>VLOOKUP(D133,AzureRegions!$A$4:$B$1502,1,FALSE)</f>
        <v>#N/A</v>
      </c>
      <c r="N133" s="3" t="e">
        <f>VLOOKUP(D133,AzureRegions!$A$4:$B$1502,2,FALSE)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VLOOKUP($D$5,Casing!$A$4:$A$60,1,FALSE)</f>
        <v>Lower</v>
      </c>
      <c r="S133" s="21" t="str">
        <f t="shared" si="1"/>
        <v>001</v>
      </c>
    </row>
    <row r="134" spans="1:19" x14ac:dyDescent="0.45">
      <c r="A134" s="21" t="s">
        <v>610</v>
      </c>
      <c r="D134" s="8"/>
      <c r="E134" s="3"/>
      <c r="F134" s="3" t="str">
        <f>IF(ISNUMBER(SEARCH("-",Q134)),IFERROR(IF($D$5="Lower", LOWER(ComputeResourceName($D$4,$D$3,$D$2,C134,I134,J134,K134,L134,N134,O134,Q134,A134)), UPPER(ComputeResourceName($D$4,$D$3,$D$2,C134,I134,J134,K134,L134,N134,O134,Q134,A134))),""),SUBSTITUTE(IFERROR(IF($D$5="Lower",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VLOOKUP(B134,Enviroments!$A$3:$D$60,1,FALSE)</f>
        <v>#N/A</v>
      </c>
      <c r="J134" s="3" t="e">
        <f>VLOOKUP(B134,Enviroments!$A$3:$D$60,2,FALSE)</f>
        <v>#N/A</v>
      </c>
      <c r="K134" s="3" t="e">
        <f>VLOOKUP(B134,Enviroments!$A$3:$D$60,3,FALSE)</f>
        <v>#N/A</v>
      </c>
      <c r="L134" s="3" t="e">
        <f>VLOOKUP(B134,Enviroments!$A$3:$D$60,4,FALSE)</f>
        <v>#N/A</v>
      </c>
      <c r="M134" s="3" t="e">
        <f>VLOOKUP(D134,AzureRegions!$A$4:$B$1502,1,FALSE)</f>
        <v>#N/A</v>
      </c>
      <c r="N134" s="3" t="e">
        <f>VLOOKUP(D134,AzureRegions!$A$4:$B$1502,2,FALSE)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VLOOKUP($D$5,Casing!$A$4:$A$60,1,FALSE)</f>
        <v>Lower</v>
      </c>
      <c r="S134" s="21" t="str">
        <f t="shared" si="1"/>
        <v>001</v>
      </c>
    </row>
    <row r="135" spans="1:19" x14ac:dyDescent="0.45">
      <c r="A135" s="21" t="s">
        <v>610</v>
      </c>
      <c r="D135" s="8"/>
      <c r="E135" s="3"/>
      <c r="F135" s="3" t="str">
        <f>IF(ISNUMBER(SEARCH("-",Q135)),IFERROR(IF($D$5="Lower", LOWER(ComputeResourceName($D$4,$D$3,$D$2,C135,I135,J135,K135,L135,N135,O135,Q135,A135)), UPPER(ComputeResourceName($D$4,$D$3,$D$2,C135,I135,J135,K135,L135,N135,O135,Q135,A135))),""),SUBSTITUTE(IFERROR(IF($D$5="Lower",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VLOOKUP(B135,Enviroments!$A$3:$D$60,1,FALSE)</f>
        <v>#N/A</v>
      </c>
      <c r="J135" s="3" t="e">
        <f>VLOOKUP(B135,Enviroments!$A$3:$D$60,2,FALSE)</f>
        <v>#N/A</v>
      </c>
      <c r="K135" s="3" t="e">
        <f>VLOOKUP(B135,Enviroments!$A$3:$D$60,3,FALSE)</f>
        <v>#N/A</v>
      </c>
      <c r="L135" s="3" t="e">
        <f>VLOOKUP(B135,Enviroments!$A$3:$D$60,4,FALSE)</f>
        <v>#N/A</v>
      </c>
      <c r="M135" s="3" t="e">
        <f>VLOOKUP(D135,AzureRegions!$A$4:$B$1502,1,FALSE)</f>
        <v>#N/A</v>
      </c>
      <c r="N135" s="3" t="e">
        <f>VLOOKUP(D135,AzureRegions!$A$4:$B$1502,2,FALSE)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VLOOKUP($D$5,Casing!$A$4:$A$60,1,FALSE)</f>
        <v>Lower</v>
      </c>
      <c r="S135" s="21" t="str">
        <f t="shared" si="1"/>
        <v>001</v>
      </c>
    </row>
    <row r="136" spans="1:19" x14ac:dyDescent="0.45">
      <c r="A136" s="21" t="s">
        <v>610</v>
      </c>
      <c r="D136" s="8"/>
      <c r="E136" s="3"/>
      <c r="F136" s="3" t="str">
        <f>IF(ISNUMBER(SEARCH("-",Q136)),IFERROR(IF($D$5="Lower", LOWER(ComputeResourceName($D$4,$D$3,$D$2,C136,I136,J136,K136,L136,N136,O136,Q136,A136)), UPPER(ComputeResourceName($D$4,$D$3,$D$2,C136,I136,J136,K136,L136,N136,O136,Q136,A136))),""),SUBSTITUTE(IFERROR(IF($D$5="Lower",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VLOOKUP(B136,Enviroments!$A$3:$D$60,1,FALSE)</f>
        <v>#N/A</v>
      </c>
      <c r="J136" s="3" t="e">
        <f>VLOOKUP(B136,Enviroments!$A$3:$D$60,2,FALSE)</f>
        <v>#N/A</v>
      </c>
      <c r="K136" s="3" t="e">
        <f>VLOOKUP(B136,Enviroments!$A$3:$D$60,3,FALSE)</f>
        <v>#N/A</v>
      </c>
      <c r="L136" s="3" t="e">
        <f>VLOOKUP(B136,Enviroments!$A$3:$D$60,4,FALSE)</f>
        <v>#N/A</v>
      </c>
      <c r="M136" s="3" t="e">
        <f>VLOOKUP(D136,AzureRegions!$A$4:$B$1502,1,FALSE)</f>
        <v>#N/A</v>
      </c>
      <c r="N136" s="3" t="e">
        <f>VLOOKUP(D136,AzureRegions!$A$4:$B$1502,2,FALSE)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VLOOKUP($D$5,Casing!$A$4:$A$60,1,FALSE)</f>
        <v>Lower</v>
      </c>
      <c r="S136" s="21" t="str">
        <f t="shared" si="1"/>
        <v>001</v>
      </c>
    </row>
    <row r="137" spans="1:19" x14ac:dyDescent="0.45">
      <c r="A137" s="21" t="s">
        <v>610</v>
      </c>
      <c r="D137" s="8"/>
      <c r="E137" s="3"/>
      <c r="F137" s="3" t="str">
        <f>IF(ISNUMBER(SEARCH("-",Q137)),IFERROR(IF($D$5="Lower", LOWER(ComputeResourceName($D$4,$D$3,$D$2,C137,I137,J137,K137,L137,N137,O137,Q137,A137)), UPPER(ComputeResourceName($D$4,$D$3,$D$2,C137,I137,J137,K137,L137,N137,O137,Q137,A137))),""),SUBSTITUTE(IFERROR(IF($D$5="Lower",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VLOOKUP(B137,Enviroments!$A$3:$D$60,1,FALSE)</f>
        <v>#N/A</v>
      </c>
      <c r="J137" s="3" t="e">
        <f>VLOOKUP(B137,Enviroments!$A$3:$D$60,2,FALSE)</f>
        <v>#N/A</v>
      </c>
      <c r="K137" s="3" t="e">
        <f>VLOOKUP(B137,Enviroments!$A$3:$D$60,3,FALSE)</f>
        <v>#N/A</v>
      </c>
      <c r="L137" s="3" t="e">
        <f>VLOOKUP(B137,Enviroments!$A$3:$D$60,4,FALSE)</f>
        <v>#N/A</v>
      </c>
      <c r="M137" s="3" t="e">
        <f>VLOOKUP(D137,AzureRegions!$A$4:$B$1502,1,FALSE)</f>
        <v>#N/A</v>
      </c>
      <c r="N137" s="3" t="e">
        <f>VLOOKUP(D137,AzureRegions!$A$4:$B$1502,2,FALSE)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VLOOKUP($D$5,Casing!$A$4:$A$60,1,FALSE)</f>
        <v>Lower</v>
      </c>
      <c r="S137" s="21" t="str">
        <f t="shared" ref="S137:S200" si="2">A137</f>
        <v>001</v>
      </c>
    </row>
    <row r="138" spans="1:19" x14ac:dyDescent="0.45">
      <c r="A138" s="21" t="s">
        <v>610</v>
      </c>
      <c r="D138" s="8"/>
      <c r="E138" s="3"/>
      <c r="F138" s="3" t="str">
        <f>IF(ISNUMBER(SEARCH("-",Q138)),IFERROR(IF($D$5="Lower", LOWER(ComputeResourceName($D$4,$D$3,$D$2,C138,I138,J138,K138,L138,N138,O138,Q138,A138)), UPPER(ComputeResourceName($D$4,$D$3,$D$2,C138,I138,J138,K138,L138,N138,O138,Q138,A138))),""),SUBSTITUTE(IFERROR(IF($D$5="Lower",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VLOOKUP(B138,Enviroments!$A$3:$D$60,1,FALSE)</f>
        <v>#N/A</v>
      </c>
      <c r="J138" s="3" t="e">
        <f>VLOOKUP(B138,Enviroments!$A$3:$D$60,2,FALSE)</f>
        <v>#N/A</v>
      </c>
      <c r="K138" s="3" t="e">
        <f>VLOOKUP(B138,Enviroments!$A$3:$D$60,3,FALSE)</f>
        <v>#N/A</v>
      </c>
      <c r="L138" s="3" t="e">
        <f>VLOOKUP(B138,Enviroments!$A$3:$D$60,4,FALSE)</f>
        <v>#N/A</v>
      </c>
      <c r="M138" s="3" t="e">
        <f>VLOOKUP(D138,AzureRegions!$A$4:$B$1502,1,FALSE)</f>
        <v>#N/A</v>
      </c>
      <c r="N138" s="3" t="e">
        <f>VLOOKUP(D138,AzureRegions!$A$4:$B$1502,2,FALSE)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VLOOKUP($D$5,Casing!$A$4:$A$60,1,FALSE)</f>
        <v>Lower</v>
      </c>
      <c r="S138" s="21" t="str">
        <f t="shared" si="2"/>
        <v>001</v>
      </c>
    </row>
    <row r="139" spans="1:19" x14ac:dyDescent="0.45">
      <c r="A139" s="21" t="s">
        <v>610</v>
      </c>
      <c r="D139" s="8"/>
      <c r="E139" s="3"/>
      <c r="F139" s="3" t="str">
        <f>IF(ISNUMBER(SEARCH("-",Q139)),IFERROR(IF($D$5="Lower", LOWER(ComputeResourceName($D$4,$D$3,$D$2,C139,I139,J139,K139,L139,N139,O139,Q139,A139)), UPPER(ComputeResourceName($D$4,$D$3,$D$2,C139,I139,J139,K139,L139,N139,O139,Q139,A139))),""),SUBSTITUTE(IFERROR(IF($D$5="Lower",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VLOOKUP(B139,Enviroments!$A$3:$D$60,1,FALSE)</f>
        <v>#N/A</v>
      </c>
      <c r="J139" s="3" t="e">
        <f>VLOOKUP(B139,Enviroments!$A$3:$D$60,2,FALSE)</f>
        <v>#N/A</v>
      </c>
      <c r="K139" s="3" t="e">
        <f>VLOOKUP(B139,Enviroments!$A$3:$D$60,3,FALSE)</f>
        <v>#N/A</v>
      </c>
      <c r="L139" s="3" t="e">
        <f>VLOOKUP(B139,Enviroments!$A$3:$D$60,4,FALSE)</f>
        <v>#N/A</v>
      </c>
      <c r="M139" s="3" t="e">
        <f>VLOOKUP(D139,AzureRegions!$A$4:$B$1502,1,FALSE)</f>
        <v>#N/A</v>
      </c>
      <c r="N139" s="3" t="e">
        <f>VLOOKUP(D139,AzureRegions!$A$4:$B$1502,2,FALSE)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VLOOKUP($D$5,Casing!$A$4:$A$60,1,FALSE)</f>
        <v>Lower</v>
      </c>
      <c r="S139" s="21" t="str">
        <f t="shared" si="2"/>
        <v>001</v>
      </c>
    </row>
    <row r="140" spans="1:19" x14ac:dyDescent="0.45">
      <c r="A140" s="21" t="s">
        <v>610</v>
      </c>
      <c r="D140" s="8"/>
      <c r="E140" s="3"/>
      <c r="F140" s="3" t="str">
        <f>IF(ISNUMBER(SEARCH("-",Q140)),IFERROR(IF($D$5="Lower", LOWER(ComputeResourceName($D$4,$D$3,$D$2,C140,I140,J140,K140,L140,N140,O140,Q140,A140)), UPPER(ComputeResourceName($D$4,$D$3,$D$2,C140,I140,J140,K140,L140,N140,O140,Q140,A140))),""),SUBSTITUTE(IFERROR(IF($D$5="Lower",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VLOOKUP(B140,Enviroments!$A$3:$D$60,1,FALSE)</f>
        <v>#N/A</v>
      </c>
      <c r="J140" s="3" t="e">
        <f>VLOOKUP(B140,Enviroments!$A$3:$D$60,2,FALSE)</f>
        <v>#N/A</v>
      </c>
      <c r="K140" s="3" t="e">
        <f>VLOOKUP(B140,Enviroments!$A$3:$D$60,3,FALSE)</f>
        <v>#N/A</v>
      </c>
      <c r="L140" s="3" t="e">
        <f>VLOOKUP(B140,Enviroments!$A$3:$D$60,4,FALSE)</f>
        <v>#N/A</v>
      </c>
      <c r="M140" s="3" t="e">
        <f>VLOOKUP(D140,AzureRegions!$A$4:$B$1502,1,FALSE)</f>
        <v>#N/A</v>
      </c>
      <c r="N140" s="3" t="e">
        <f>VLOOKUP(D140,AzureRegions!$A$4:$B$1502,2,FALSE)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VLOOKUP($D$5,Casing!$A$4:$A$60,1,FALSE)</f>
        <v>Lower</v>
      </c>
      <c r="S140" s="21" t="str">
        <f t="shared" si="2"/>
        <v>001</v>
      </c>
    </row>
    <row r="141" spans="1:19" x14ac:dyDescent="0.45">
      <c r="A141" s="21" t="s">
        <v>610</v>
      </c>
      <c r="D141" s="8"/>
      <c r="E141" s="3"/>
      <c r="F141" s="3" t="str">
        <f>IF(ISNUMBER(SEARCH("-",Q141)),IFERROR(IF($D$5="Lower", LOWER(ComputeResourceName($D$4,$D$3,$D$2,C141,I141,J141,K141,L141,N141,O141,Q141,A141)), UPPER(ComputeResourceName($D$4,$D$3,$D$2,C141,I141,J141,K141,L141,N141,O141,Q141,A141))),""),SUBSTITUTE(IFERROR(IF($D$5="Lower",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VLOOKUP(B141,Enviroments!$A$3:$D$60,1,FALSE)</f>
        <v>#N/A</v>
      </c>
      <c r="J141" s="3" t="e">
        <f>VLOOKUP(B141,Enviroments!$A$3:$D$60,2,FALSE)</f>
        <v>#N/A</v>
      </c>
      <c r="K141" s="3" t="e">
        <f>VLOOKUP(B141,Enviroments!$A$3:$D$60,3,FALSE)</f>
        <v>#N/A</v>
      </c>
      <c r="L141" s="3" t="e">
        <f>VLOOKUP(B141,Enviroments!$A$3:$D$60,4,FALSE)</f>
        <v>#N/A</v>
      </c>
      <c r="M141" s="3" t="e">
        <f>VLOOKUP(D141,AzureRegions!$A$4:$B$1502,1,FALSE)</f>
        <v>#N/A</v>
      </c>
      <c r="N141" s="3" t="e">
        <f>VLOOKUP(D141,AzureRegions!$A$4:$B$1502,2,FALSE)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VLOOKUP($D$5,Casing!$A$4:$A$60,1,FALSE)</f>
        <v>Lower</v>
      </c>
      <c r="S141" s="21" t="str">
        <f t="shared" si="2"/>
        <v>001</v>
      </c>
    </row>
    <row r="142" spans="1:19" x14ac:dyDescent="0.45">
      <c r="A142" s="21" t="s">
        <v>610</v>
      </c>
      <c r="D142" s="8"/>
      <c r="E142" s="3"/>
      <c r="F142" s="3" t="str">
        <f>IF(ISNUMBER(SEARCH("-",Q142)),IFERROR(IF($D$5="Lower", LOWER(ComputeResourceName($D$4,$D$3,$D$2,C142,I142,J142,K142,L142,N142,O142,Q142,A142)), UPPER(ComputeResourceName($D$4,$D$3,$D$2,C142,I142,J142,K142,L142,N142,O142,Q142,A142))),""),SUBSTITUTE(IFERROR(IF($D$5="Lower",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VLOOKUP(B142,Enviroments!$A$3:$D$60,1,FALSE)</f>
        <v>#N/A</v>
      </c>
      <c r="J142" s="3" t="e">
        <f>VLOOKUP(B142,Enviroments!$A$3:$D$60,2,FALSE)</f>
        <v>#N/A</v>
      </c>
      <c r="K142" s="3" t="e">
        <f>VLOOKUP(B142,Enviroments!$A$3:$D$60,3,FALSE)</f>
        <v>#N/A</v>
      </c>
      <c r="L142" s="3" t="e">
        <f>VLOOKUP(B142,Enviroments!$A$3:$D$60,4,FALSE)</f>
        <v>#N/A</v>
      </c>
      <c r="M142" s="3" t="e">
        <f>VLOOKUP(D142,AzureRegions!$A$4:$B$1502,1,FALSE)</f>
        <v>#N/A</v>
      </c>
      <c r="N142" s="3" t="e">
        <f>VLOOKUP(D142,AzureRegions!$A$4:$B$1502,2,FALSE)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VLOOKUP($D$5,Casing!$A$4:$A$60,1,FALSE)</f>
        <v>Lower</v>
      </c>
      <c r="S142" s="21" t="str">
        <f t="shared" si="2"/>
        <v>001</v>
      </c>
    </row>
    <row r="143" spans="1:19" x14ac:dyDescent="0.45">
      <c r="A143" s="21" t="s">
        <v>610</v>
      </c>
      <c r="D143" s="8"/>
      <c r="E143" s="3"/>
      <c r="F143" s="3" t="str">
        <f>IF(ISNUMBER(SEARCH("-",Q143)),IFERROR(IF($D$5="Lower", LOWER(ComputeResourceName($D$4,$D$3,$D$2,C143,I143,J143,K143,L143,N143,O143,Q143,A143)), UPPER(ComputeResourceName($D$4,$D$3,$D$2,C143,I143,J143,K143,L143,N143,O143,Q143,A143))),""),SUBSTITUTE(IFERROR(IF($D$5="Lower",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VLOOKUP(B143,Enviroments!$A$3:$D$60,1,FALSE)</f>
        <v>#N/A</v>
      </c>
      <c r="J143" s="3" t="e">
        <f>VLOOKUP(B143,Enviroments!$A$3:$D$60,2,FALSE)</f>
        <v>#N/A</v>
      </c>
      <c r="K143" s="3" t="e">
        <f>VLOOKUP(B143,Enviroments!$A$3:$D$60,3,FALSE)</f>
        <v>#N/A</v>
      </c>
      <c r="L143" s="3" t="e">
        <f>VLOOKUP(B143,Enviroments!$A$3:$D$60,4,FALSE)</f>
        <v>#N/A</v>
      </c>
      <c r="M143" s="3" t="e">
        <f>VLOOKUP(D143,AzureRegions!$A$4:$B$1502,1,FALSE)</f>
        <v>#N/A</v>
      </c>
      <c r="N143" s="3" t="e">
        <f>VLOOKUP(D143,AzureRegions!$A$4:$B$1502,2,FALSE)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VLOOKUP($D$5,Casing!$A$4:$A$60,1,FALSE)</f>
        <v>Lower</v>
      </c>
      <c r="S143" s="21" t="str">
        <f t="shared" si="2"/>
        <v>001</v>
      </c>
    </row>
    <row r="144" spans="1:19" x14ac:dyDescent="0.45">
      <c r="A144" s="21" t="s">
        <v>610</v>
      </c>
      <c r="D144" s="8"/>
      <c r="E144" s="3"/>
      <c r="F144" s="3" t="str">
        <f>IF(ISNUMBER(SEARCH("-",Q144)),IFERROR(IF($D$5="Lower", LOWER(ComputeResourceName($D$4,$D$3,$D$2,C144,I144,J144,K144,L144,N144,O144,Q144,A144)), UPPER(ComputeResourceName($D$4,$D$3,$D$2,C144,I144,J144,K144,L144,N144,O144,Q144,A144))),""),SUBSTITUTE(IFERROR(IF($D$5="Lower",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VLOOKUP(B144,Enviroments!$A$3:$D$60,1,FALSE)</f>
        <v>#N/A</v>
      </c>
      <c r="J144" s="3" t="e">
        <f>VLOOKUP(B144,Enviroments!$A$3:$D$60,2,FALSE)</f>
        <v>#N/A</v>
      </c>
      <c r="K144" s="3" t="e">
        <f>VLOOKUP(B144,Enviroments!$A$3:$D$60,3,FALSE)</f>
        <v>#N/A</v>
      </c>
      <c r="L144" s="3" t="e">
        <f>VLOOKUP(B144,Enviroments!$A$3:$D$60,4,FALSE)</f>
        <v>#N/A</v>
      </c>
      <c r="M144" s="3" t="e">
        <f>VLOOKUP(D144,AzureRegions!$A$4:$B$1502,1,FALSE)</f>
        <v>#N/A</v>
      </c>
      <c r="N144" s="3" t="e">
        <f>VLOOKUP(D144,AzureRegions!$A$4:$B$1502,2,FALSE)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VLOOKUP($D$5,Casing!$A$4:$A$60,1,FALSE)</f>
        <v>Lower</v>
      </c>
      <c r="S144" s="21" t="str">
        <f t="shared" si="2"/>
        <v>001</v>
      </c>
    </row>
    <row r="145" spans="1:19" x14ac:dyDescent="0.45">
      <c r="A145" s="21" t="s">
        <v>610</v>
      </c>
      <c r="D145" s="8"/>
      <c r="E145" s="3"/>
      <c r="F145" s="3" t="str">
        <f>IF(ISNUMBER(SEARCH("-",Q145)),IFERROR(IF($D$5="Lower", LOWER(ComputeResourceName($D$4,$D$3,$D$2,C145,I145,J145,K145,L145,N145,O145,Q145,A145)), UPPER(ComputeResourceName($D$4,$D$3,$D$2,C145,I145,J145,K145,L145,N145,O145,Q145,A145))),""),SUBSTITUTE(IFERROR(IF($D$5="Lower",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VLOOKUP(B145,Enviroments!$A$3:$D$60,1,FALSE)</f>
        <v>#N/A</v>
      </c>
      <c r="J145" s="3" t="e">
        <f>VLOOKUP(B145,Enviroments!$A$3:$D$60,2,FALSE)</f>
        <v>#N/A</v>
      </c>
      <c r="K145" s="3" t="e">
        <f>VLOOKUP(B145,Enviroments!$A$3:$D$60,3,FALSE)</f>
        <v>#N/A</v>
      </c>
      <c r="L145" s="3" t="e">
        <f>VLOOKUP(B145,Enviroments!$A$3:$D$60,4,FALSE)</f>
        <v>#N/A</v>
      </c>
      <c r="M145" s="3" t="e">
        <f>VLOOKUP(D145,AzureRegions!$A$4:$B$1502,1,FALSE)</f>
        <v>#N/A</v>
      </c>
      <c r="N145" s="3" t="e">
        <f>VLOOKUP(D145,AzureRegions!$A$4:$B$1502,2,FALSE)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VLOOKUP($D$5,Casing!$A$4:$A$60,1,FALSE)</f>
        <v>Lower</v>
      </c>
      <c r="S145" s="21" t="str">
        <f t="shared" si="2"/>
        <v>001</v>
      </c>
    </row>
    <row r="146" spans="1:19" x14ac:dyDescent="0.45">
      <c r="A146" s="21" t="s">
        <v>610</v>
      </c>
      <c r="D146" s="8"/>
      <c r="E146" s="3"/>
      <c r="F146" s="3" t="str">
        <f>IF(ISNUMBER(SEARCH("-",Q146)),IFERROR(IF($D$5="Lower", LOWER(ComputeResourceName($D$4,$D$3,$D$2,C146,I146,J146,K146,L146,N146,O146,Q146,A146)), UPPER(ComputeResourceName($D$4,$D$3,$D$2,C146,I146,J146,K146,L146,N146,O146,Q146,A146))),""),SUBSTITUTE(IFERROR(IF($D$5="Lower",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VLOOKUP(B146,Enviroments!$A$3:$D$60,1,FALSE)</f>
        <v>#N/A</v>
      </c>
      <c r="J146" s="3" t="e">
        <f>VLOOKUP(B146,Enviroments!$A$3:$D$60,2,FALSE)</f>
        <v>#N/A</v>
      </c>
      <c r="K146" s="3" t="e">
        <f>VLOOKUP(B146,Enviroments!$A$3:$D$60,3,FALSE)</f>
        <v>#N/A</v>
      </c>
      <c r="L146" s="3" t="e">
        <f>VLOOKUP(B146,Enviroments!$A$3:$D$60,4,FALSE)</f>
        <v>#N/A</v>
      </c>
      <c r="M146" s="3" t="e">
        <f>VLOOKUP(D146,AzureRegions!$A$4:$B$1502,1,FALSE)</f>
        <v>#N/A</v>
      </c>
      <c r="N146" s="3" t="e">
        <f>VLOOKUP(D146,AzureRegions!$A$4:$B$1502,2,FALSE)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VLOOKUP($D$5,Casing!$A$4:$A$60,1,FALSE)</f>
        <v>Lower</v>
      </c>
      <c r="S146" s="21" t="str">
        <f t="shared" si="2"/>
        <v>001</v>
      </c>
    </row>
    <row r="147" spans="1:19" x14ac:dyDescent="0.45">
      <c r="A147" s="21" t="s">
        <v>610</v>
      </c>
      <c r="D147" s="8"/>
      <c r="E147" s="3"/>
      <c r="F147" s="3" t="str">
        <f>IF(ISNUMBER(SEARCH("-",Q147)),IFERROR(IF($D$5="Lower", LOWER(ComputeResourceName($D$4,$D$3,$D$2,C147,I147,J147,K147,L147,N147,O147,Q147,A147)), UPPER(ComputeResourceName($D$4,$D$3,$D$2,C147,I147,J147,K147,L147,N147,O147,Q147,A147))),""),SUBSTITUTE(IFERROR(IF($D$5="Lower",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VLOOKUP(B147,Enviroments!$A$3:$D$60,1,FALSE)</f>
        <v>#N/A</v>
      </c>
      <c r="J147" s="3" t="e">
        <f>VLOOKUP(B147,Enviroments!$A$3:$D$60,2,FALSE)</f>
        <v>#N/A</v>
      </c>
      <c r="K147" s="3" t="e">
        <f>VLOOKUP(B147,Enviroments!$A$3:$D$60,3,FALSE)</f>
        <v>#N/A</v>
      </c>
      <c r="L147" s="3" t="e">
        <f>VLOOKUP(B147,Enviroments!$A$3:$D$60,4,FALSE)</f>
        <v>#N/A</v>
      </c>
      <c r="M147" s="3" t="e">
        <f>VLOOKUP(D147,AzureRegions!$A$4:$B$1502,1,FALSE)</f>
        <v>#N/A</v>
      </c>
      <c r="N147" s="3" t="e">
        <f>VLOOKUP(D147,AzureRegions!$A$4:$B$1502,2,FALSE)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VLOOKUP($D$5,Casing!$A$4:$A$60,1,FALSE)</f>
        <v>Lower</v>
      </c>
      <c r="S147" s="21" t="str">
        <f t="shared" si="2"/>
        <v>001</v>
      </c>
    </row>
    <row r="148" spans="1:19" x14ac:dyDescent="0.45">
      <c r="A148" s="21" t="s">
        <v>610</v>
      </c>
      <c r="D148" s="8"/>
      <c r="E148" s="3"/>
      <c r="F148" s="3" t="str">
        <f>IF(ISNUMBER(SEARCH("-",Q148)),IFERROR(IF($D$5="Lower", LOWER(ComputeResourceName($D$4,$D$3,$D$2,C148,I148,J148,K148,L148,N148,O148,Q148,A148)), UPPER(ComputeResourceName($D$4,$D$3,$D$2,C148,I148,J148,K148,L148,N148,O148,Q148,A148))),""),SUBSTITUTE(IFERROR(IF($D$5="Lower",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VLOOKUP(B148,Enviroments!$A$3:$D$60,1,FALSE)</f>
        <v>#N/A</v>
      </c>
      <c r="J148" s="3" t="e">
        <f>VLOOKUP(B148,Enviroments!$A$3:$D$60,2,FALSE)</f>
        <v>#N/A</v>
      </c>
      <c r="K148" s="3" t="e">
        <f>VLOOKUP(B148,Enviroments!$A$3:$D$60,3,FALSE)</f>
        <v>#N/A</v>
      </c>
      <c r="L148" s="3" t="e">
        <f>VLOOKUP(B148,Enviroments!$A$3:$D$60,4,FALSE)</f>
        <v>#N/A</v>
      </c>
      <c r="M148" s="3" t="e">
        <f>VLOOKUP(D148,AzureRegions!$A$4:$B$1502,1,FALSE)</f>
        <v>#N/A</v>
      </c>
      <c r="N148" s="3" t="e">
        <f>VLOOKUP(D148,AzureRegions!$A$4:$B$1502,2,FALSE)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VLOOKUP($D$5,Casing!$A$4:$A$60,1,FALSE)</f>
        <v>Lower</v>
      </c>
      <c r="S148" s="21" t="str">
        <f t="shared" si="2"/>
        <v>001</v>
      </c>
    </row>
    <row r="149" spans="1:19" x14ac:dyDescent="0.45">
      <c r="A149" s="21" t="s">
        <v>610</v>
      </c>
      <c r="D149" s="8"/>
      <c r="E149" s="3"/>
      <c r="F149" s="3" t="str">
        <f>IF(ISNUMBER(SEARCH("-",Q149)),IFERROR(IF($D$5="Lower", LOWER(ComputeResourceName($D$4,$D$3,$D$2,C149,I149,J149,K149,L149,N149,O149,Q149,A149)), UPPER(ComputeResourceName($D$4,$D$3,$D$2,C149,I149,J149,K149,L149,N149,O149,Q149,A149))),""),SUBSTITUTE(IFERROR(IF($D$5="Lower",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VLOOKUP(B149,Enviroments!$A$3:$D$60,1,FALSE)</f>
        <v>#N/A</v>
      </c>
      <c r="J149" s="3" t="e">
        <f>VLOOKUP(B149,Enviroments!$A$3:$D$60,2,FALSE)</f>
        <v>#N/A</v>
      </c>
      <c r="K149" s="3" t="e">
        <f>VLOOKUP(B149,Enviroments!$A$3:$D$60,3,FALSE)</f>
        <v>#N/A</v>
      </c>
      <c r="L149" s="3" t="e">
        <f>VLOOKUP(B149,Enviroments!$A$3:$D$60,4,FALSE)</f>
        <v>#N/A</v>
      </c>
      <c r="M149" s="3" t="e">
        <f>VLOOKUP(D149,AzureRegions!$A$4:$B$1502,1,FALSE)</f>
        <v>#N/A</v>
      </c>
      <c r="N149" s="3" t="e">
        <f>VLOOKUP(D149,AzureRegions!$A$4:$B$1502,2,FALSE)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VLOOKUP($D$5,Casing!$A$4:$A$60,1,FALSE)</f>
        <v>Lower</v>
      </c>
      <c r="S149" s="21" t="str">
        <f t="shared" si="2"/>
        <v>001</v>
      </c>
    </row>
    <row r="150" spans="1:19" x14ac:dyDescent="0.45">
      <c r="A150" s="21" t="s">
        <v>610</v>
      </c>
      <c r="D150" s="8"/>
      <c r="E150" s="3"/>
      <c r="F150" s="3" t="str">
        <f>IF(ISNUMBER(SEARCH("-",Q150)),IFERROR(IF($D$5="Lower", LOWER(ComputeResourceName($D$4,$D$3,$D$2,C150,I150,J150,K150,L150,N150,O150,Q150,A150)), UPPER(ComputeResourceName($D$4,$D$3,$D$2,C150,I150,J150,K150,L150,N150,O150,Q150,A150))),""),SUBSTITUTE(IFERROR(IF($D$5="Lower",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VLOOKUP(B150,Enviroments!$A$3:$D$60,1,FALSE)</f>
        <v>#N/A</v>
      </c>
      <c r="J150" s="3" t="e">
        <f>VLOOKUP(B150,Enviroments!$A$3:$D$60,2,FALSE)</f>
        <v>#N/A</v>
      </c>
      <c r="K150" s="3" t="e">
        <f>VLOOKUP(B150,Enviroments!$A$3:$D$60,3,FALSE)</f>
        <v>#N/A</v>
      </c>
      <c r="L150" s="3" t="e">
        <f>VLOOKUP(B150,Enviroments!$A$3:$D$60,4,FALSE)</f>
        <v>#N/A</v>
      </c>
      <c r="M150" s="3" t="e">
        <f>VLOOKUP(D150,AzureRegions!$A$4:$B$1502,1,FALSE)</f>
        <v>#N/A</v>
      </c>
      <c r="N150" s="3" t="e">
        <f>VLOOKUP(D150,AzureRegions!$A$4:$B$1502,2,FALSE)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VLOOKUP($D$5,Casing!$A$4:$A$60,1,FALSE)</f>
        <v>Lower</v>
      </c>
      <c r="S150" s="21" t="str">
        <f t="shared" si="2"/>
        <v>001</v>
      </c>
    </row>
    <row r="151" spans="1:19" x14ac:dyDescent="0.45">
      <c r="A151" s="21" t="s">
        <v>610</v>
      </c>
      <c r="D151" s="8"/>
      <c r="E151" s="3"/>
      <c r="F151" s="3" t="str">
        <f>IF(ISNUMBER(SEARCH("-",Q151)),IFERROR(IF($D$5="Lower", LOWER(ComputeResourceName($D$4,$D$3,$D$2,C151,I151,J151,K151,L151,N151,O151,Q151,A151)), UPPER(ComputeResourceName($D$4,$D$3,$D$2,C151,I151,J151,K151,L151,N151,O151,Q151,A151))),""),SUBSTITUTE(IFERROR(IF($D$5="Lower",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VLOOKUP(B151,Enviroments!$A$3:$D$60,1,FALSE)</f>
        <v>#N/A</v>
      </c>
      <c r="J151" s="3" t="e">
        <f>VLOOKUP(B151,Enviroments!$A$3:$D$60,2,FALSE)</f>
        <v>#N/A</v>
      </c>
      <c r="K151" s="3" t="e">
        <f>VLOOKUP(B151,Enviroments!$A$3:$D$60,3,FALSE)</f>
        <v>#N/A</v>
      </c>
      <c r="L151" s="3" t="e">
        <f>VLOOKUP(B151,Enviroments!$A$3:$D$60,4,FALSE)</f>
        <v>#N/A</v>
      </c>
      <c r="M151" s="3" t="e">
        <f>VLOOKUP(D151,AzureRegions!$A$4:$B$1502,1,FALSE)</f>
        <v>#N/A</v>
      </c>
      <c r="N151" s="3" t="e">
        <f>VLOOKUP(D151,AzureRegions!$A$4:$B$1502,2,FALSE)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VLOOKUP($D$5,Casing!$A$4:$A$60,1,FALSE)</f>
        <v>Lower</v>
      </c>
      <c r="S151" s="21" t="str">
        <f t="shared" si="2"/>
        <v>001</v>
      </c>
    </row>
    <row r="152" spans="1:19" x14ac:dyDescent="0.45">
      <c r="A152" s="21" t="s">
        <v>610</v>
      </c>
      <c r="D152" s="8"/>
      <c r="E152" s="3"/>
      <c r="F152" s="3" t="str">
        <f>IF(ISNUMBER(SEARCH("-",Q152)),IFERROR(IF($D$5="Lower", LOWER(ComputeResourceName($D$4,$D$3,$D$2,C152,I152,J152,K152,L152,N152,O152,Q152,A152)), UPPER(ComputeResourceName($D$4,$D$3,$D$2,C152,I152,J152,K152,L152,N152,O152,Q152,A152))),""),SUBSTITUTE(IFERROR(IF($D$5="Lower",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VLOOKUP(B152,Enviroments!$A$3:$D$60,1,FALSE)</f>
        <v>#N/A</v>
      </c>
      <c r="J152" s="3" t="e">
        <f>VLOOKUP(B152,Enviroments!$A$3:$D$60,2,FALSE)</f>
        <v>#N/A</v>
      </c>
      <c r="K152" s="3" t="e">
        <f>VLOOKUP(B152,Enviroments!$A$3:$D$60,3,FALSE)</f>
        <v>#N/A</v>
      </c>
      <c r="L152" s="3" t="e">
        <f>VLOOKUP(B152,Enviroments!$A$3:$D$60,4,FALSE)</f>
        <v>#N/A</v>
      </c>
      <c r="M152" s="3" t="e">
        <f>VLOOKUP(D152,AzureRegions!$A$4:$B$1502,1,FALSE)</f>
        <v>#N/A</v>
      </c>
      <c r="N152" s="3" t="e">
        <f>VLOOKUP(D152,AzureRegions!$A$4:$B$1502,2,FALSE)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VLOOKUP($D$5,Casing!$A$4:$A$60,1,FALSE)</f>
        <v>Lower</v>
      </c>
      <c r="S152" s="21" t="str">
        <f t="shared" si="2"/>
        <v>001</v>
      </c>
    </row>
    <row r="153" spans="1:19" x14ac:dyDescent="0.45">
      <c r="A153" s="21" t="s">
        <v>610</v>
      </c>
      <c r="D153" s="8"/>
      <c r="E153" s="3"/>
      <c r="F153" s="3" t="str">
        <f>IF(ISNUMBER(SEARCH("-",Q153)),IFERROR(IF($D$5="Lower", LOWER(ComputeResourceName($D$4,$D$3,$D$2,C153,I153,J153,K153,L153,N153,O153,Q153,A153)), UPPER(ComputeResourceName($D$4,$D$3,$D$2,C153,I153,J153,K153,L153,N153,O153,Q153,A153))),""),SUBSTITUTE(IFERROR(IF($D$5="Lower",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VLOOKUP(B153,Enviroments!$A$3:$D$60,1,FALSE)</f>
        <v>#N/A</v>
      </c>
      <c r="J153" s="3" t="e">
        <f>VLOOKUP(B153,Enviroments!$A$3:$D$60,2,FALSE)</f>
        <v>#N/A</v>
      </c>
      <c r="K153" s="3" t="e">
        <f>VLOOKUP(B153,Enviroments!$A$3:$D$60,3,FALSE)</f>
        <v>#N/A</v>
      </c>
      <c r="L153" s="3" t="e">
        <f>VLOOKUP(B153,Enviroments!$A$3:$D$60,4,FALSE)</f>
        <v>#N/A</v>
      </c>
      <c r="M153" s="3" t="e">
        <f>VLOOKUP(D153,AzureRegions!$A$4:$B$1502,1,FALSE)</f>
        <v>#N/A</v>
      </c>
      <c r="N153" s="3" t="e">
        <f>VLOOKUP(D153,AzureRegions!$A$4:$B$1502,2,FALSE)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VLOOKUP($D$5,Casing!$A$4:$A$60,1,FALSE)</f>
        <v>Lower</v>
      </c>
      <c r="S153" s="21" t="str">
        <f t="shared" si="2"/>
        <v>001</v>
      </c>
    </row>
    <row r="154" spans="1:19" x14ac:dyDescent="0.45">
      <c r="A154" s="21" t="s">
        <v>610</v>
      </c>
      <c r="D154" s="8"/>
      <c r="E154" s="3"/>
      <c r="F154" s="3" t="str">
        <f>IF(ISNUMBER(SEARCH("-",Q154)),IFERROR(IF($D$5="Lower", LOWER(ComputeResourceName($D$4,$D$3,$D$2,C154,I154,J154,K154,L154,N154,O154,Q154,A154)), UPPER(ComputeResourceName($D$4,$D$3,$D$2,C154,I154,J154,K154,L154,N154,O154,Q154,A154))),""),SUBSTITUTE(IFERROR(IF($D$5="Lower",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VLOOKUP(B154,Enviroments!$A$3:$D$60,1,FALSE)</f>
        <v>#N/A</v>
      </c>
      <c r="J154" s="3" t="e">
        <f>VLOOKUP(B154,Enviroments!$A$3:$D$60,2,FALSE)</f>
        <v>#N/A</v>
      </c>
      <c r="K154" s="3" t="e">
        <f>VLOOKUP(B154,Enviroments!$A$3:$D$60,3,FALSE)</f>
        <v>#N/A</v>
      </c>
      <c r="L154" s="3" t="e">
        <f>VLOOKUP(B154,Enviroments!$A$3:$D$60,4,FALSE)</f>
        <v>#N/A</v>
      </c>
      <c r="M154" s="3" t="e">
        <f>VLOOKUP(D154,AzureRegions!$A$4:$B$1502,1,FALSE)</f>
        <v>#N/A</v>
      </c>
      <c r="N154" s="3" t="e">
        <f>VLOOKUP(D154,AzureRegions!$A$4:$B$1502,2,FALSE)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VLOOKUP($D$5,Casing!$A$4:$A$60,1,FALSE)</f>
        <v>Lower</v>
      </c>
      <c r="S154" s="21" t="str">
        <f t="shared" si="2"/>
        <v>001</v>
      </c>
    </row>
    <row r="155" spans="1:19" x14ac:dyDescent="0.45">
      <c r="A155" s="21" t="s">
        <v>610</v>
      </c>
      <c r="D155" s="8"/>
      <c r="E155" s="3"/>
      <c r="F155" s="3" t="str">
        <f>IF(ISNUMBER(SEARCH("-",Q155)),IFERROR(IF($D$5="Lower", LOWER(ComputeResourceName($D$4,$D$3,$D$2,C155,I155,J155,K155,L155,N155,O155,Q155,A155)), UPPER(ComputeResourceName($D$4,$D$3,$D$2,C155,I155,J155,K155,L155,N155,O155,Q155,A155))),""),SUBSTITUTE(IFERROR(IF($D$5="Lower",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VLOOKUP(B155,Enviroments!$A$3:$D$60,1,FALSE)</f>
        <v>#N/A</v>
      </c>
      <c r="J155" s="3" t="e">
        <f>VLOOKUP(B155,Enviroments!$A$3:$D$60,2,FALSE)</f>
        <v>#N/A</v>
      </c>
      <c r="K155" s="3" t="e">
        <f>VLOOKUP(B155,Enviroments!$A$3:$D$60,3,FALSE)</f>
        <v>#N/A</v>
      </c>
      <c r="L155" s="3" t="e">
        <f>VLOOKUP(B155,Enviroments!$A$3:$D$60,4,FALSE)</f>
        <v>#N/A</v>
      </c>
      <c r="M155" s="3" t="e">
        <f>VLOOKUP(D155,AzureRegions!$A$4:$B$1502,1,FALSE)</f>
        <v>#N/A</v>
      </c>
      <c r="N155" s="3" t="e">
        <f>VLOOKUP(D155,AzureRegions!$A$4:$B$1502,2,FALSE)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VLOOKUP($D$5,Casing!$A$4:$A$60,1,FALSE)</f>
        <v>Lower</v>
      </c>
      <c r="S155" s="21" t="str">
        <f t="shared" si="2"/>
        <v>001</v>
      </c>
    </row>
    <row r="156" spans="1:19" x14ac:dyDescent="0.45">
      <c r="A156" s="21" t="s">
        <v>610</v>
      </c>
      <c r="D156" s="8"/>
      <c r="E156" s="3"/>
      <c r="F156" s="3" t="str">
        <f>IF(ISNUMBER(SEARCH("-",Q156)),IFERROR(IF($D$5="Lower", LOWER(ComputeResourceName($D$4,$D$3,$D$2,C156,I156,J156,K156,L156,N156,O156,Q156,A156)), UPPER(ComputeResourceName($D$4,$D$3,$D$2,C156,I156,J156,K156,L156,N156,O156,Q156,A156))),""),SUBSTITUTE(IFERROR(IF($D$5="Lower",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VLOOKUP(B156,Enviroments!$A$3:$D$60,1,FALSE)</f>
        <v>#N/A</v>
      </c>
      <c r="J156" s="3" t="e">
        <f>VLOOKUP(B156,Enviroments!$A$3:$D$60,2,FALSE)</f>
        <v>#N/A</v>
      </c>
      <c r="K156" s="3" t="e">
        <f>VLOOKUP(B156,Enviroments!$A$3:$D$60,3,FALSE)</f>
        <v>#N/A</v>
      </c>
      <c r="L156" s="3" t="e">
        <f>VLOOKUP(B156,Enviroments!$A$3:$D$60,4,FALSE)</f>
        <v>#N/A</v>
      </c>
      <c r="M156" s="3" t="e">
        <f>VLOOKUP(D156,AzureRegions!$A$4:$B$1502,1,FALSE)</f>
        <v>#N/A</v>
      </c>
      <c r="N156" s="3" t="e">
        <f>VLOOKUP(D156,AzureRegions!$A$4:$B$1502,2,FALSE)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VLOOKUP($D$5,Casing!$A$4:$A$60,1,FALSE)</f>
        <v>Lower</v>
      </c>
      <c r="S156" s="21" t="str">
        <f t="shared" si="2"/>
        <v>001</v>
      </c>
    </row>
    <row r="157" spans="1:19" x14ac:dyDescent="0.45">
      <c r="A157" s="21" t="s">
        <v>610</v>
      </c>
      <c r="D157" s="8"/>
      <c r="E157" s="3"/>
      <c r="F157" s="3" t="str">
        <f>IF(ISNUMBER(SEARCH("-",Q157)),IFERROR(IF($D$5="Lower", LOWER(ComputeResourceName($D$4,$D$3,$D$2,C157,I157,J157,K157,L157,N157,O157,Q157,A157)), UPPER(ComputeResourceName($D$4,$D$3,$D$2,C157,I157,J157,K157,L157,N157,O157,Q157,A157))),""),SUBSTITUTE(IFERROR(IF($D$5="Lower",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VLOOKUP(B157,Enviroments!$A$3:$D$60,1,FALSE)</f>
        <v>#N/A</v>
      </c>
      <c r="J157" s="3" t="e">
        <f>VLOOKUP(B157,Enviroments!$A$3:$D$60,2,FALSE)</f>
        <v>#N/A</v>
      </c>
      <c r="K157" s="3" t="e">
        <f>VLOOKUP(B157,Enviroments!$A$3:$D$60,3,FALSE)</f>
        <v>#N/A</v>
      </c>
      <c r="L157" s="3" t="e">
        <f>VLOOKUP(B157,Enviroments!$A$3:$D$60,4,FALSE)</f>
        <v>#N/A</v>
      </c>
      <c r="M157" s="3" t="e">
        <f>VLOOKUP(D157,AzureRegions!$A$4:$B$1502,1,FALSE)</f>
        <v>#N/A</v>
      </c>
      <c r="N157" s="3" t="e">
        <f>VLOOKUP(D157,AzureRegions!$A$4:$B$1502,2,FALSE)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VLOOKUP($D$5,Casing!$A$4:$A$60,1,FALSE)</f>
        <v>Lower</v>
      </c>
      <c r="S157" s="21" t="str">
        <f t="shared" si="2"/>
        <v>001</v>
      </c>
    </row>
    <row r="158" spans="1:19" x14ac:dyDescent="0.45">
      <c r="A158" s="21" t="s">
        <v>610</v>
      </c>
      <c r="D158" s="8"/>
      <c r="E158" s="3"/>
      <c r="F158" s="3" t="str">
        <f>IF(ISNUMBER(SEARCH("-",Q158)),IFERROR(IF($D$5="Lower", LOWER(ComputeResourceName($D$4,$D$3,$D$2,C158,I158,J158,K158,L158,N158,O158,Q158,A158)), UPPER(ComputeResourceName($D$4,$D$3,$D$2,C158,I158,J158,K158,L158,N158,O158,Q158,A158))),""),SUBSTITUTE(IFERROR(IF($D$5="Lower",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VLOOKUP(B158,Enviroments!$A$3:$D$60,1,FALSE)</f>
        <v>#N/A</v>
      </c>
      <c r="J158" s="3" t="e">
        <f>VLOOKUP(B158,Enviroments!$A$3:$D$60,2,FALSE)</f>
        <v>#N/A</v>
      </c>
      <c r="K158" s="3" t="e">
        <f>VLOOKUP(B158,Enviroments!$A$3:$D$60,3,FALSE)</f>
        <v>#N/A</v>
      </c>
      <c r="L158" s="3" t="e">
        <f>VLOOKUP(B158,Enviroments!$A$3:$D$60,4,FALSE)</f>
        <v>#N/A</v>
      </c>
      <c r="M158" s="3" t="e">
        <f>VLOOKUP(D158,AzureRegions!$A$4:$B$1502,1,FALSE)</f>
        <v>#N/A</v>
      </c>
      <c r="N158" s="3" t="e">
        <f>VLOOKUP(D158,AzureRegions!$A$4:$B$1502,2,FALSE)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VLOOKUP($D$5,Casing!$A$4:$A$60,1,FALSE)</f>
        <v>Lower</v>
      </c>
      <c r="S158" s="21" t="str">
        <f t="shared" si="2"/>
        <v>001</v>
      </c>
    </row>
    <row r="159" spans="1:19" x14ac:dyDescent="0.45">
      <c r="A159" s="21" t="s">
        <v>610</v>
      </c>
      <c r="D159" s="8"/>
      <c r="E159" s="3"/>
      <c r="F159" s="3" t="str">
        <f>IF(ISNUMBER(SEARCH("-",Q159)),IFERROR(IF($D$5="Lower", LOWER(ComputeResourceName($D$4,$D$3,$D$2,C159,I159,J159,K159,L159,N159,O159,Q159,A159)), UPPER(ComputeResourceName($D$4,$D$3,$D$2,C159,I159,J159,K159,L159,N159,O159,Q159,A159))),""),SUBSTITUTE(IFERROR(IF($D$5="Lower",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VLOOKUP(B159,Enviroments!$A$3:$D$60,1,FALSE)</f>
        <v>#N/A</v>
      </c>
      <c r="J159" s="3" t="e">
        <f>VLOOKUP(B159,Enviroments!$A$3:$D$60,2,FALSE)</f>
        <v>#N/A</v>
      </c>
      <c r="K159" s="3" t="e">
        <f>VLOOKUP(B159,Enviroments!$A$3:$D$60,3,FALSE)</f>
        <v>#N/A</v>
      </c>
      <c r="L159" s="3" t="e">
        <f>VLOOKUP(B159,Enviroments!$A$3:$D$60,4,FALSE)</f>
        <v>#N/A</v>
      </c>
      <c r="M159" s="3" t="e">
        <f>VLOOKUP(D159,AzureRegions!$A$4:$B$1502,1,FALSE)</f>
        <v>#N/A</v>
      </c>
      <c r="N159" s="3" t="e">
        <f>VLOOKUP(D159,AzureRegions!$A$4:$B$1502,2,FALSE)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VLOOKUP($D$5,Casing!$A$4:$A$60,1,FALSE)</f>
        <v>Lower</v>
      </c>
      <c r="S159" s="21" t="str">
        <f t="shared" si="2"/>
        <v>001</v>
      </c>
    </row>
    <row r="160" spans="1:19" x14ac:dyDescent="0.45">
      <c r="A160" s="21" t="s">
        <v>610</v>
      </c>
      <c r="D160" s="8"/>
      <c r="E160" s="3"/>
      <c r="F160" s="3" t="str">
        <f>IF(ISNUMBER(SEARCH("-",Q160)),IFERROR(IF($D$5="Lower", LOWER(ComputeResourceName($D$4,$D$3,$D$2,C160,I160,J160,K160,L160,N160,O160,Q160,A160)), UPPER(ComputeResourceName($D$4,$D$3,$D$2,C160,I160,J160,K160,L160,N160,O160,Q160,A160))),""),SUBSTITUTE(IFERROR(IF($D$5="Lower",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VLOOKUP(B160,Enviroments!$A$3:$D$60,1,FALSE)</f>
        <v>#N/A</v>
      </c>
      <c r="J160" s="3" t="e">
        <f>VLOOKUP(B160,Enviroments!$A$3:$D$60,2,FALSE)</f>
        <v>#N/A</v>
      </c>
      <c r="K160" s="3" t="e">
        <f>VLOOKUP(B160,Enviroments!$A$3:$D$60,3,FALSE)</f>
        <v>#N/A</v>
      </c>
      <c r="L160" s="3" t="e">
        <f>VLOOKUP(B160,Enviroments!$A$3:$D$60,4,FALSE)</f>
        <v>#N/A</v>
      </c>
      <c r="M160" s="3" t="e">
        <f>VLOOKUP(D160,AzureRegions!$A$4:$B$1502,1,FALSE)</f>
        <v>#N/A</v>
      </c>
      <c r="N160" s="3" t="e">
        <f>VLOOKUP(D160,AzureRegions!$A$4:$B$1502,2,FALSE)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VLOOKUP($D$5,Casing!$A$4:$A$60,1,FALSE)</f>
        <v>Lower</v>
      </c>
      <c r="S160" s="21" t="str">
        <f t="shared" si="2"/>
        <v>001</v>
      </c>
    </row>
    <row r="161" spans="1:19" x14ac:dyDescent="0.45">
      <c r="A161" s="21" t="s">
        <v>610</v>
      </c>
      <c r="D161" s="8"/>
      <c r="E161" s="3"/>
      <c r="F161" s="3" t="str">
        <f>IF(ISNUMBER(SEARCH("-",Q161)),IFERROR(IF($D$5="Lower", LOWER(ComputeResourceName($D$4,$D$3,$D$2,C161,I161,J161,K161,L161,N161,O161,Q161,A161)), UPPER(ComputeResourceName($D$4,$D$3,$D$2,C161,I161,J161,K161,L161,N161,O161,Q161,A161))),""),SUBSTITUTE(IFERROR(IF($D$5="Lower",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VLOOKUP(B161,Enviroments!$A$3:$D$60,1,FALSE)</f>
        <v>#N/A</v>
      </c>
      <c r="J161" s="3" t="e">
        <f>VLOOKUP(B161,Enviroments!$A$3:$D$60,2,FALSE)</f>
        <v>#N/A</v>
      </c>
      <c r="K161" s="3" t="e">
        <f>VLOOKUP(B161,Enviroments!$A$3:$D$60,3,FALSE)</f>
        <v>#N/A</v>
      </c>
      <c r="L161" s="3" t="e">
        <f>VLOOKUP(B161,Enviroments!$A$3:$D$60,4,FALSE)</f>
        <v>#N/A</v>
      </c>
      <c r="M161" s="3" t="e">
        <f>VLOOKUP(D161,AzureRegions!$A$4:$B$1502,1,FALSE)</f>
        <v>#N/A</v>
      </c>
      <c r="N161" s="3" t="e">
        <f>VLOOKUP(D161,AzureRegions!$A$4:$B$1502,2,FALSE)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VLOOKUP($D$5,Casing!$A$4:$A$60,1,FALSE)</f>
        <v>Lower</v>
      </c>
      <c r="S161" s="21" t="str">
        <f t="shared" si="2"/>
        <v>001</v>
      </c>
    </row>
    <row r="162" spans="1:19" x14ac:dyDescent="0.45">
      <c r="A162" s="21" t="s">
        <v>610</v>
      </c>
      <c r="D162" s="8"/>
      <c r="E162" s="3"/>
      <c r="F162" s="3" t="str">
        <f>IF(ISNUMBER(SEARCH("-",Q162)),IFERROR(IF($D$5="Lower", LOWER(ComputeResourceName($D$4,$D$3,$D$2,C162,I162,J162,K162,L162,N162,O162,Q162,A162)), UPPER(ComputeResourceName($D$4,$D$3,$D$2,C162,I162,J162,K162,L162,N162,O162,Q162,A162))),""),SUBSTITUTE(IFERROR(IF($D$5="Lower",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VLOOKUP(B162,Enviroments!$A$3:$D$60,1,FALSE)</f>
        <v>#N/A</v>
      </c>
      <c r="J162" s="3" t="e">
        <f>VLOOKUP(B162,Enviroments!$A$3:$D$60,2,FALSE)</f>
        <v>#N/A</v>
      </c>
      <c r="K162" s="3" t="e">
        <f>VLOOKUP(B162,Enviroments!$A$3:$D$60,3,FALSE)</f>
        <v>#N/A</v>
      </c>
      <c r="L162" s="3" t="e">
        <f>VLOOKUP(B162,Enviroments!$A$3:$D$60,4,FALSE)</f>
        <v>#N/A</v>
      </c>
      <c r="M162" s="3" t="e">
        <f>VLOOKUP(D162,AzureRegions!$A$4:$B$1502,1,FALSE)</f>
        <v>#N/A</v>
      </c>
      <c r="N162" s="3" t="e">
        <f>VLOOKUP(D162,AzureRegions!$A$4:$B$1502,2,FALSE)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VLOOKUP($D$5,Casing!$A$4:$A$60,1,FALSE)</f>
        <v>Lower</v>
      </c>
      <c r="S162" s="21" t="str">
        <f t="shared" si="2"/>
        <v>001</v>
      </c>
    </row>
    <row r="163" spans="1:19" x14ac:dyDescent="0.45">
      <c r="A163" s="21" t="s">
        <v>610</v>
      </c>
      <c r="D163" s="8"/>
      <c r="E163" s="3"/>
      <c r="F163" s="3" t="str">
        <f>IF(ISNUMBER(SEARCH("-",Q163)),IFERROR(IF($D$5="Lower", LOWER(ComputeResourceName($D$4,$D$3,$D$2,C163,I163,J163,K163,L163,N163,O163,Q163,A163)), UPPER(ComputeResourceName($D$4,$D$3,$D$2,C163,I163,J163,K163,L163,N163,O163,Q163,A163))),""),SUBSTITUTE(IFERROR(IF($D$5="Lower",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VLOOKUP(B163,Enviroments!$A$3:$D$60,1,FALSE)</f>
        <v>#N/A</v>
      </c>
      <c r="J163" s="3" t="e">
        <f>VLOOKUP(B163,Enviroments!$A$3:$D$60,2,FALSE)</f>
        <v>#N/A</v>
      </c>
      <c r="K163" s="3" t="e">
        <f>VLOOKUP(B163,Enviroments!$A$3:$D$60,3,FALSE)</f>
        <v>#N/A</v>
      </c>
      <c r="L163" s="3" t="e">
        <f>VLOOKUP(B163,Enviroments!$A$3:$D$60,4,FALSE)</f>
        <v>#N/A</v>
      </c>
      <c r="M163" s="3" t="e">
        <f>VLOOKUP(D163,AzureRegions!$A$4:$B$1502,1,FALSE)</f>
        <v>#N/A</v>
      </c>
      <c r="N163" s="3" t="e">
        <f>VLOOKUP(D163,AzureRegions!$A$4:$B$1502,2,FALSE)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VLOOKUP($D$5,Casing!$A$4:$A$60,1,FALSE)</f>
        <v>Lower</v>
      </c>
      <c r="S163" s="21" t="str">
        <f t="shared" si="2"/>
        <v>001</v>
      </c>
    </row>
    <row r="164" spans="1:19" x14ac:dyDescent="0.45">
      <c r="A164" s="21" t="s">
        <v>610</v>
      </c>
      <c r="D164" s="8"/>
      <c r="E164" s="3"/>
      <c r="F164" s="3" t="str">
        <f>IF(ISNUMBER(SEARCH("-",Q164)),IFERROR(IF($D$5="Lower", LOWER(ComputeResourceName($D$4,$D$3,$D$2,C164,I164,J164,K164,L164,N164,O164,Q164,A164)), UPPER(ComputeResourceName($D$4,$D$3,$D$2,C164,I164,J164,K164,L164,N164,O164,Q164,A164))),""),SUBSTITUTE(IFERROR(IF($D$5="Lower",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VLOOKUP(B164,Enviroments!$A$3:$D$60,1,FALSE)</f>
        <v>#N/A</v>
      </c>
      <c r="J164" s="3" t="e">
        <f>VLOOKUP(B164,Enviroments!$A$3:$D$60,2,FALSE)</f>
        <v>#N/A</v>
      </c>
      <c r="K164" s="3" t="e">
        <f>VLOOKUP(B164,Enviroments!$A$3:$D$60,3,FALSE)</f>
        <v>#N/A</v>
      </c>
      <c r="L164" s="3" t="e">
        <f>VLOOKUP(B164,Enviroments!$A$3:$D$60,4,FALSE)</f>
        <v>#N/A</v>
      </c>
      <c r="M164" s="3" t="e">
        <f>VLOOKUP(D164,AzureRegions!$A$4:$B$1502,1,FALSE)</f>
        <v>#N/A</v>
      </c>
      <c r="N164" s="3" t="e">
        <f>VLOOKUP(D164,AzureRegions!$A$4:$B$1502,2,FALSE)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VLOOKUP($D$5,Casing!$A$4:$A$60,1,FALSE)</f>
        <v>Lower</v>
      </c>
      <c r="S164" s="21" t="str">
        <f t="shared" si="2"/>
        <v>001</v>
      </c>
    </row>
    <row r="165" spans="1:19" x14ac:dyDescent="0.45">
      <c r="A165" s="21" t="s">
        <v>610</v>
      </c>
      <c r="D165" s="8"/>
      <c r="E165" s="3"/>
      <c r="F165" s="3" t="str">
        <f>IF(ISNUMBER(SEARCH("-",Q165)),IFERROR(IF($D$5="Lower", LOWER(ComputeResourceName($D$4,$D$3,$D$2,C165,I165,J165,K165,L165,N165,O165,Q165,A165)), UPPER(ComputeResourceName($D$4,$D$3,$D$2,C165,I165,J165,K165,L165,N165,O165,Q165,A165))),""),SUBSTITUTE(IFERROR(IF($D$5="Lower",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VLOOKUP(B165,Enviroments!$A$3:$D$60,1,FALSE)</f>
        <v>#N/A</v>
      </c>
      <c r="J165" s="3" t="e">
        <f>VLOOKUP(B165,Enviroments!$A$3:$D$60,2,FALSE)</f>
        <v>#N/A</v>
      </c>
      <c r="K165" s="3" t="e">
        <f>VLOOKUP(B165,Enviroments!$A$3:$D$60,3,FALSE)</f>
        <v>#N/A</v>
      </c>
      <c r="L165" s="3" t="e">
        <f>VLOOKUP(B165,Enviroments!$A$3:$D$60,4,FALSE)</f>
        <v>#N/A</v>
      </c>
      <c r="M165" s="3" t="e">
        <f>VLOOKUP(D165,AzureRegions!$A$4:$B$1502,1,FALSE)</f>
        <v>#N/A</v>
      </c>
      <c r="N165" s="3" t="e">
        <f>VLOOKUP(D165,AzureRegions!$A$4:$B$1502,2,FALSE)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VLOOKUP($D$5,Casing!$A$4:$A$60,1,FALSE)</f>
        <v>Lower</v>
      </c>
      <c r="S165" s="21" t="str">
        <f t="shared" si="2"/>
        <v>001</v>
      </c>
    </row>
    <row r="166" spans="1:19" x14ac:dyDescent="0.45">
      <c r="A166" s="21" t="s">
        <v>610</v>
      </c>
      <c r="D166" s="8"/>
      <c r="E166" s="3"/>
      <c r="F166" s="3" t="str">
        <f>IF(ISNUMBER(SEARCH("-",Q166)),IFERROR(IF($D$5="Lower", LOWER(ComputeResourceName($D$4,$D$3,$D$2,C166,I166,J166,K166,L166,N166,O166,Q166,A166)), UPPER(ComputeResourceName($D$4,$D$3,$D$2,C166,I166,J166,K166,L166,N166,O166,Q166,A166))),""),SUBSTITUTE(IFERROR(IF($D$5="Lower",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VLOOKUP(B166,Enviroments!$A$3:$D$60,1,FALSE)</f>
        <v>#N/A</v>
      </c>
      <c r="J166" s="3" t="e">
        <f>VLOOKUP(B166,Enviroments!$A$3:$D$60,2,FALSE)</f>
        <v>#N/A</v>
      </c>
      <c r="K166" s="3" t="e">
        <f>VLOOKUP(B166,Enviroments!$A$3:$D$60,3,FALSE)</f>
        <v>#N/A</v>
      </c>
      <c r="L166" s="3" t="e">
        <f>VLOOKUP(B166,Enviroments!$A$3:$D$60,4,FALSE)</f>
        <v>#N/A</v>
      </c>
      <c r="M166" s="3" t="e">
        <f>VLOOKUP(D166,AzureRegions!$A$4:$B$1502,1,FALSE)</f>
        <v>#N/A</v>
      </c>
      <c r="N166" s="3" t="e">
        <f>VLOOKUP(D166,AzureRegions!$A$4:$B$1502,2,FALSE)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VLOOKUP($D$5,Casing!$A$4:$A$60,1,FALSE)</f>
        <v>Lower</v>
      </c>
      <c r="S166" s="21" t="str">
        <f t="shared" si="2"/>
        <v>001</v>
      </c>
    </row>
    <row r="167" spans="1:19" x14ac:dyDescent="0.45">
      <c r="A167" s="21" t="s">
        <v>610</v>
      </c>
      <c r="D167" s="8"/>
      <c r="E167" s="3"/>
      <c r="F167" s="3" t="str">
        <f>IF(ISNUMBER(SEARCH("-",Q167)),IFERROR(IF($D$5="Lower", LOWER(ComputeResourceName($D$4,$D$3,$D$2,C167,I167,J167,K167,L167,N167,O167,Q167,A167)), UPPER(ComputeResourceName($D$4,$D$3,$D$2,C167,I167,J167,K167,L167,N167,O167,Q167,A167))),""),SUBSTITUTE(IFERROR(IF($D$5="Lower",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VLOOKUP(B167,Enviroments!$A$3:$D$60,1,FALSE)</f>
        <v>#N/A</v>
      </c>
      <c r="J167" s="3" t="e">
        <f>VLOOKUP(B167,Enviroments!$A$3:$D$60,2,FALSE)</f>
        <v>#N/A</v>
      </c>
      <c r="K167" s="3" t="e">
        <f>VLOOKUP(B167,Enviroments!$A$3:$D$60,3,FALSE)</f>
        <v>#N/A</v>
      </c>
      <c r="L167" s="3" t="e">
        <f>VLOOKUP(B167,Enviroments!$A$3:$D$60,4,FALSE)</f>
        <v>#N/A</v>
      </c>
      <c r="M167" s="3" t="e">
        <f>VLOOKUP(D167,AzureRegions!$A$4:$B$1502,1,FALSE)</f>
        <v>#N/A</v>
      </c>
      <c r="N167" s="3" t="e">
        <f>VLOOKUP(D167,AzureRegions!$A$4:$B$1502,2,FALSE)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VLOOKUP($D$5,Casing!$A$4:$A$60,1,FALSE)</f>
        <v>Lower</v>
      </c>
      <c r="S167" s="21" t="str">
        <f t="shared" si="2"/>
        <v>001</v>
      </c>
    </row>
    <row r="168" spans="1:19" x14ac:dyDescent="0.45">
      <c r="A168" s="21" t="s">
        <v>610</v>
      </c>
      <c r="D168" s="8"/>
      <c r="E168" s="3"/>
      <c r="F168" s="3" t="str">
        <f>IF(ISNUMBER(SEARCH("-",Q168)),IFERROR(IF($D$5="Lower", LOWER(ComputeResourceName($D$4,$D$3,$D$2,C168,I168,J168,K168,L168,N168,O168,Q168,A168)), UPPER(ComputeResourceName($D$4,$D$3,$D$2,C168,I168,J168,K168,L168,N168,O168,Q168,A168))),""),SUBSTITUTE(IFERROR(IF($D$5="Lower",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VLOOKUP(B168,Enviroments!$A$3:$D$60,1,FALSE)</f>
        <v>#N/A</v>
      </c>
      <c r="J168" s="3" t="e">
        <f>VLOOKUP(B168,Enviroments!$A$3:$D$60,2,FALSE)</f>
        <v>#N/A</v>
      </c>
      <c r="K168" s="3" t="e">
        <f>VLOOKUP(B168,Enviroments!$A$3:$D$60,3,FALSE)</f>
        <v>#N/A</v>
      </c>
      <c r="L168" s="3" t="e">
        <f>VLOOKUP(B168,Enviroments!$A$3:$D$60,4,FALSE)</f>
        <v>#N/A</v>
      </c>
      <c r="M168" s="3" t="e">
        <f>VLOOKUP(D168,AzureRegions!$A$4:$B$1502,1,FALSE)</f>
        <v>#N/A</v>
      </c>
      <c r="N168" s="3" t="e">
        <f>VLOOKUP(D168,AzureRegions!$A$4:$B$1502,2,FALSE)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VLOOKUP($D$5,Casing!$A$4:$A$60,1,FALSE)</f>
        <v>Lower</v>
      </c>
      <c r="S168" s="21" t="str">
        <f t="shared" si="2"/>
        <v>001</v>
      </c>
    </row>
    <row r="169" spans="1:19" x14ac:dyDescent="0.45">
      <c r="A169" s="21" t="s">
        <v>610</v>
      </c>
      <c r="D169" s="8"/>
      <c r="E169" s="3"/>
      <c r="F169" s="3" t="str">
        <f>IF(ISNUMBER(SEARCH("-",Q169)),IFERROR(IF($D$5="Lower", LOWER(ComputeResourceName($D$4,$D$3,$D$2,C169,I169,J169,K169,L169,N169,O169,Q169,A169)), UPPER(ComputeResourceName($D$4,$D$3,$D$2,C169,I169,J169,K169,L169,N169,O169,Q169,A169))),""),SUBSTITUTE(IFERROR(IF($D$5="Lower",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VLOOKUP(B169,Enviroments!$A$3:$D$60,1,FALSE)</f>
        <v>#N/A</v>
      </c>
      <c r="J169" s="3" t="e">
        <f>VLOOKUP(B169,Enviroments!$A$3:$D$60,2,FALSE)</f>
        <v>#N/A</v>
      </c>
      <c r="K169" s="3" t="e">
        <f>VLOOKUP(B169,Enviroments!$A$3:$D$60,3,FALSE)</f>
        <v>#N/A</v>
      </c>
      <c r="L169" s="3" t="e">
        <f>VLOOKUP(B169,Enviroments!$A$3:$D$60,4,FALSE)</f>
        <v>#N/A</v>
      </c>
      <c r="M169" s="3" t="e">
        <f>VLOOKUP(D169,AzureRegions!$A$4:$B$1502,1,FALSE)</f>
        <v>#N/A</v>
      </c>
      <c r="N169" s="3" t="e">
        <f>VLOOKUP(D169,AzureRegions!$A$4:$B$1502,2,FALSE)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VLOOKUP($D$5,Casing!$A$4:$A$60,1,FALSE)</f>
        <v>Lower</v>
      </c>
      <c r="S169" s="21" t="str">
        <f t="shared" si="2"/>
        <v>001</v>
      </c>
    </row>
    <row r="170" spans="1:19" x14ac:dyDescent="0.45">
      <c r="A170" s="21" t="s">
        <v>610</v>
      </c>
      <c r="D170" s="8"/>
      <c r="E170" s="3"/>
      <c r="F170" s="3" t="str">
        <f>IF(ISNUMBER(SEARCH("-",Q170)),IFERROR(IF($D$5="Lower", LOWER(ComputeResourceName($D$4,$D$3,$D$2,C170,I170,J170,K170,L170,N170,O170,Q170,A170)), UPPER(ComputeResourceName($D$4,$D$3,$D$2,C170,I170,J170,K170,L170,N170,O170,Q170,A170))),""),SUBSTITUTE(IFERROR(IF($D$5="Lower",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VLOOKUP(B170,Enviroments!$A$3:$D$60,1,FALSE)</f>
        <v>#N/A</v>
      </c>
      <c r="J170" s="3" t="e">
        <f>VLOOKUP(B170,Enviroments!$A$3:$D$60,2,FALSE)</f>
        <v>#N/A</v>
      </c>
      <c r="K170" s="3" t="e">
        <f>VLOOKUP(B170,Enviroments!$A$3:$D$60,3,FALSE)</f>
        <v>#N/A</v>
      </c>
      <c r="L170" s="3" t="e">
        <f>VLOOKUP(B170,Enviroments!$A$3:$D$60,4,FALSE)</f>
        <v>#N/A</v>
      </c>
      <c r="M170" s="3" t="e">
        <f>VLOOKUP(D170,AzureRegions!$A$4:$B$1502,1,FALSE)</f>
        <v>#N/A</v>
      </c>
      <c r="N170" s="3" t="e">
        <f>VLOOKUP(D170,AzureRegions!$A$4:$B$1502,2,FALSE)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VLOOKUP($D$5,Casing!$A$4:$A$60,1,FALSE)</f>
        <v>Lower</v>
      </c>
      <c r="S170" s="21" t="str">
        <f t="shared" si="2"/>
        <v>001</v>
      </c>
    </row>
    <row r="171" spans="1:19" x14ac:dyDescent="0.45">
      <c r="A171" s="21" t="s">
        <v>610</v>
      </c>
      <c r="D171" s="8"/>
      <c r="E171" s="3"/>
      <c r="F171" s="3" t="str">
        <f>IF(ISNUMBER(SEARCH("-",Q171)),IFERROR(IF($D$5="Lower", LOWER(ComputeResourceName($D$4,$D$3,$D$2,C171,I171,J171,K171,L171,N171,O171,Q171,A171)), UPPER(ComputeResourceName($D$4,$D$3,$D$2,C171,I171,J171,K171,L171,N171,O171,Q171,A171))),""),SUBSTITUTE(IFERROR(IF($D$5="Lower",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VLOOKUP(B171,Enviroments!$A$3:$D$60,1,FALSE)</f>
        <v>#N/A</v>
      </c>
      <c r="J171" s="3" t="e">
        <f>VLOOKUP(B171,Enviroments!$A$3:$D$60,2,FALSE)</f>
        <v>#N/A</v>
      </c>
      <c r="K171" s="3" t="e">
        <f>VLOOKUP(B171,Enviroments!$A$3:$D$60,3,FALSE)</f>
        <v>#N/A</v>
      </c>
      <c r="L171" s="3" t="e">
        <f>VLOOKUP(B171,Enviroments!$A$3:$D$60,4,FALSE)</f>
        <v>#N/A</v>
      </c>
      <c r="M171" s="3" t="e">
        <f>VLOOKUP(D171,AzureRegions!$A$4:$B$1502,1,FALSE)</f>
        <v>#N/A</v>
      </c>
      <c r="N171" s="3" t="e">
        <f>VLOOKUP(D171,AzureRegions!$A$4:$B$1502,2,FALSE)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VLOOKUP($D$5,Casing!$A$4:$A$60,1,FALSE)</f>
        <v>Lower</v>
      </c>
      <c r="S171" s="21" t="str">
        <f t="shared" si="2"/>
        <v>001</v>
      </c>
    </row>
    <row r="172" spans="1:19" x14ac:dyDescent="0.45">
      <c r="A172" s="21" t="s">
        <v>610</v>
      </c>
      <c r="D172" s="8"/>
      <c r="E172" s="3"/>
      <c r="F172" s="3" t="str">
        <f>IF(ISNUMBER(SEARCH("-",Q172)),IFERROR(IF($D$5="Lower", LOWER(ComputeResourceName($D$4,$D$3,$D$2,C172,I172,J172,K172,L172,N172,O172,Q172,A172)), UPPER(ComputeResourceName($D$4,$D$3,$D$2,C172,I172,J172,K172,L172,N172,O172,Q172,A172))),""),SUBSTITUTE(IFERROR(IF($D$5="Lower",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VLOOKUP(B172,Enviroments!$A$3:$D$60,1,FALSE)</f>
        <v>#N/A</v>
      </c>
      <c r="J172" s="3" t="e">
        <f>VLOOKUP(B172,Enviroments!$A$3:$D$60,2,FALSE)</f>
        <v>#N/A</v>
      </c>
      <c r="K172" s="3" t="e">
        <f>VLOOKUP(B172,Enviroments!$A$3:$D$60,3,FALSE)</f>
        <v>#N/A</v>
      </c>
      <c r="L172" s="3" t="e">
        <f>VLOOKUP(B172,Enviroments!$A$3:$D$60,4,FALSE)</f>
        <v>#N/A</v>
      </c>
      <c r="M172" s="3" t="e">
        <f>VLOOKUP(D172,AzureRegions!$A$4:$B$1502,1,FALSE)</f>
        <v>#N/A</v>
      </c>
      <c r="N172" s="3" t="e">
        <f>VLOOKUP(D172,AzureRegions!$A$4:$B$1502,2,FALSE)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VLOOKUP($D$5,Casing!$A$4:$A$60,1,FALSE)</f>
        <v>Lower</v>
      </c>
      <c r="S172" s="21" t="str">
        <f t="shared" si="2"/>
        <v>001</v>
      </c>
    </row>
    <row r="173" spans="1:19" x14ac:dyDescent="0.45">
      <c r="A173" s="21" t="s">
        <v>610</v>
      </c>
      <c r="D173" s="8"/>
      <c r="E173" s="3"/>
      <c r="F173" s="3" t="str">
        <f>IF(ISNUMBER(SEARCH("-",Q173)),IFERROR(IF($D$5="Lower", LOWER(ComputeResourceName($D$4,$D$3,$D$2,C173,I173,J173,K173,L173,N173,O173,Q173,A173)), UPPER(ComputeResourceName($D$4,$D$3,$D$2,C173,I173,J173,K173,L173,N173,O173,Q173,A173))),""),SUBSTITUTE(IFERROR(IF($D$5="Lower",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VLOOKUP(B173,Enviroments!$A$3:$D$60,1,FALSE)</f>
        <v>#N/A</v>
      </c>
      <c r="J173" s="3" t="e">
        <f>VLOOKUP(B173,Enviroments!$A$3:$D$60,2,FALSE)</f>
        <v>#N/A</v>
      </c>
      <c r="K173" s="3" t="e">
        <f>VLOOKUP(B173,Enviroments!$A$3:$D$60,3,FALSE)</f>
        <v>#N/A</v>
      </c>
      <c r="L173" s="3" t="e">
        <f>VLOOKUP(B173,Enviroments!$A$3:$D$60,4,FALSE)</f>
        <v>#N/A</v>
      </c>
      <c r="M173" s="3" t="e">
        <f>VLOOKUP(D173,AzureRegions!$A$4:$B$1502,1,FALSE)</f>
        <v>#N/A</v>
      </c>
      <c r="N173" s="3" t="e">
        <f>VLOOKUP(D173,AzureRegions!$A$4:$B$1502,2,FALSE)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VLOOKUP($D$5,Casing!$A$4:$A$60,1,FALSE)</f>
        <v>Lower</v>
      </c>
      <c r="S173" s="21" t="str">
        <f t="shared" si="2"/>
        <v>001</v>
      </c>
    </row>
    <row r="174" spans="1:19" x14ac:dyDescent="0.45">
      <c r="A174" s="21" t="s">
        <v>610</v>
      </c>
      <c r="D174" s="8"/>
      <c r="E174" s="3"/>
      <c r="F174" s="3" t="str">
        <f>IF(ISNUMBER(SEARCH("-",Q174)),IFERROR(IF($D$5="Lower", LOWER(ComputeResourceName($D$4,$D$3,$D$2,C174,I174,J174,K174,L174,N174,O174,Q174,A174)), UPPER(ComputeResourceName($D$4,$D$3,$D$2,C174,I174,J174,K174,L174,N174,O174,Q174,A174))),""),SUBSTITUTE(IFERROR(IF($D$5="Lower",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VLOOKUP(B174,Enviroments!$A$3:$D$60,1,FALSE)</f>
        <v>#N/A</v>
      </c>
      <c r="J174" s="3" t="e">
        <f>VLOOKUP(B174,Enviroments!$A$3:$D$60,2,FALSE)</f>
        <v>#N/A</v>
      </c>
      <c r="K174" s="3" t="e">
        <f>VLOOKUP(B174,Enviroments!$A$3:$D$60,3,FALSE)</f>
        <v>#N/A</v>
      </c>
      <c r="L174" s="3" t="e">
        <f>VLOOKUP(B174,Enviroments!$A$3:$D$60,4,FALSE)</f>
        <v>#N/A</v>
      </c>
      <c r="M174" s="3" t="e">
        <f>VLOOKUP(D174,AzureRegions!$A$4:$B$1502,1,FALSE)</f>
        <v>#N/A</v>
      </c>
      <c r="N174" s="3" t="e">
        <f>VLOOKUP(D174,AzureRegions!$A$4:$B$1502,2,FALSE)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VLOOKUP($D$5,Casing!$A$4:$A$60,1,FALSE)</f>
        <v>Lower</v>
      </c>
      <c r="S174" s="21" t="str">
        <f t="shared" si="2"/>
        <v>001</v>
      </c>
    </row>
    <row r="175" spans="1:19" x14ac:dyDescent="0.45">
      <c r="A175" s="21" t="s">
        <v>610</v>
      </c>
      <c r="D175" s="8"/>
      <c r="E175" s="3"/>
      <c r="F175" s="3" t="str">
        <f>IF(ISNUMBER(SEARCH("-",Q175)),IFERROR(IF($D$5="Lower", LOWER(ComputeResourceName($D$4,$D$3,$D$2,C175,I175,J175,K175,L175,N175,O175,Q175,A175)), UPPER(ComputeResourceName($D$4,$D$3,$D$2,C175,I175,J175,K175,L175,N175,O175,Q175,A175))),""),SUBSTITUTE(IFERROR(IF($D$5="Lower",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VLOOKUP(B175,Enviroments!$A$3:$D$60,1,FALSE)</f>
        <v>#N/A</v>
      </c>
      <c r="J175" s="3" t="e">
        <f>VLOOKUP(B175,Enviroments!$A$3:$D$60,2,FALSE)</f>
        <v>#N/A</v>
      </c>
      <c r="K175" s="3" t="e">
        <f>VLOOKUP(B175,Enviroments!$A$3:$D$60,3,FALSE)</f>
        <v>#N/A</v>
      </c>
      <c r="L175" s="3" t="e">
        <f>VLOOKUP(B175,Enviroments!$A$3:$D$60,4,FALSE)</f>
        <v>#N/A</v>
      </c>
      <c r="M175" s="3" t="e">
        <f>VLOOKUP(D175,AzureRegions!$A$4:$B$1502,1,FALSE)</f>
        <v>#N/A</v>
      </c>
      <c r="N175" s="3" t="e">
        <f>VLOOKUP(D175,AzureRegions!$A$4:$B$1502,2,FALSE)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VLOOKUP($D$5,Casing!$A$4:$A$60,1,FALSE)</f>
        <v>Lower</v>
      </c>
      <c r="S175" s="21" t="str">
        <f t="shared" si="2"/>
        <v>001</v>
      </c>
    </row>
    <row r="176" spans="1:19" x14ac:dyDescent="0.45">
      <c r="A176" s="21" t="s">
        <v>610</v>
      </c>
      <c r="D176" s="8"/>
      <c r="E176" s="3"/>
      <c r="F176" s="3" t="str">
        <f>IF(ISNUMBER(SEARCH("-",Q176)),IFERROR(IF($D$5="Lower", LOWER(ComputeResourceName($D$4,$D$3,$D$2,C176,I176,J176,K176,L176,N176,O176,Q176,A176)), UPPER(ComputeResourceName($D$4,$D$3,$D$2,C176,I176,J176,K176,L176,N176,O176,Q176,A176))),""),SUBSTITUTE(IFERROR(IF($D$5="Lower",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VLOOKUP(B176,Enviroments!$A$3:$D$60,1,FALSE)</f>
        <v>#N/A</v>
      </c>
      <c r="J176" s="3" t="e">
        <f>VLOOKUP(B176,Enviroments!$A$3:$D$60,2,FALSE)</f>
        <v>#N/A</v>
      </c>
      <c r="K176" s="3" t="e">
        <f>VLOOKUP(B176,Enviroments!$A$3:$D$60,3,FALSE)</f>
        <v>#N/A</v>
      </c>
      <c r="L176" s="3" t="e">
        <f>VLOOKUP(B176,Enviroments!$A$3:$D$60,4,FALSE)</f>
        <v>#N/A</v>
      </c>
      <c r="M176" s="3" t="e">
        <f>VLOOKUP(D176,AzureRegions!$A$4:$B$1502,1,FALSE)</f>
        <v>#N/A</v>
      </c>
      <c r="N176" s="3" t="e">
        <f>VLOOKUP(D176,AzureRegions!$A$4:$B$1502,2,FALSE)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VLOOKUP($D$5,Casing!$A$4:$A$60,1,FALSE)</f>
        <v>Lower</v>
      </c>
      <c r="S176" s="21" t="str">
        <f t="shared" si="2"/>
        <v>001</v>
      </c>
    </row>
    <row r="177" spans="1:19" x14ac:dyDescent="0.45">
      <c r="A177" s="21" t="s">
        <v>610</v>
      </c>
      <c r="D177" s="8"/>
      <c r="E177" s="3"/>
      <c r="F177" s="3" t="str">
        <f>IF(ISNUMBER(SEARCH("-",Q177)),IFERROR(IF($D$5="Lower", LOWER(ComputeResourceName($D$4,$D$3,$D$2,C177,I177,J177,K177,L177,N177,O177,Q177,A177)), UPPER(ComputeResourceName($D$4,$D$3,$D$2,C177,I177,J177,K177,L177,N177,O177,Q177,A177))),""),SUBSTITUTE(IFERROR(IF($D$5="Lower",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VLOOKUP(B177,Enviroments!$A$3:$D$60,1,FALSE)</f>
        <v>#N/A</v>
      </c>
      <c r="J177" s="3" t="e">
        <f>VLOOKUP(B177,Enviroments!$A$3:$D$60,2,FALSE)</f>
        <v>#N/A</v>
      </c>
      <c r="K177" s="3" t="e">
        <f>VLOOKUP(B177,Enviroments!$A$3:$D$60,3,FALSE)</f>
        <v>#N/A</v>
      </c>
      <c r="L177" s="3" t="e">
        <f>VLOOKUP(B177,Enviroments!$A$3:$D$60,4,FALSE)</f>
        <v>#N/A</v>
      </c>
      <c r="M177" s="3" t="e">
        <f>VLOOKUP(D177,AzureRegions!$A$4:$B$1502,1,FALSE)</f>
        <v>#N/A</v>
      </c>
      <c r="N177" s="3" t="e">
        <f>VLOOKUP(D177,AzureRegions!$A$4:$B$1502,2,FALSE)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VLOOKUP($D$5,Casing!$A$4:$A$60,1,FALSE)</f>
        <v>Lower</v>
      </c>
      <c r="S177" s="21" t="str">
        <f t="shared" si="2"/>
        <v>001</v>
      </c>
    </row>
    <row r="178" spans="1:19" x14ac:dyDescent="0.45">
      <c r="A178" s="21" t="s">
        <v>610</v>
      </c>
      <c r="D178" s="8"/>
      <c r="E178" s="3"/>
      <c r="F178" s="3" t="str">
        <f>IF(ISNUMBER(SEARCH("-",Q178)),IFERROR(IF($D$5="Lower", LOWER(ComputeResourceName($D$4,$D$3,$D$2,C178,I178,J178,K178,L178,N178,O178,Q178,A178)), UPPER(ComputeResourceName($D$4,$D$3,$D$2,C178,I178,J178,K178,L178,N178,O178,Q178,A178))),""),SUBSTITUTE(IFERROR(IF($D$5="Lower",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VLOOKUP(B178,Enviroments!$A$3:$D$60,1,FALSE)</f>
        <v>#N/A</v>
      </c>
      <c r="J178" s="3" t="e">
        <f>VLOOKUP(B178,Enviroments!$A$3:$D$60,2,FALSE)</f>
        <v>#N/A</v>
      </c>
      <c r="K178" s="3" t="e">
        <f>VLOOKUP(B178,Enviroments!$A$3:$D$60,3,FALSE)</f>
        <v>#N/A</v>
      </c>
      <c r="L178" s="3" t="e">
        <f>VLOOKUP(B178,Enviroments!$A$3:$D$60,4,FALSE)</f>
        <v>#N/A</v>
      </c>
      <c r="M178" s="3" t="e">
        <f>VLOOKUP(D178,AzureRegions!$A$4:$B$1502,1,FALSE)</f>
        <v>#N/A</v>
      </c>
      <c r="N178" s="3" t="e">
        <f>VLOOKUP(D178,AzureRegions!$A$4:$B$1502,2,FALSE)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VLOOKUP($D$5,Casing!$A$4:$A$60,1,FALSE)</f>
        <v>Lower</v>
      </c>
      <c r="S178" s="21" t="str">
        <f t="shared" si="2"/>
        <v>001</v>
      </c>
    </row>
    <row r="179" spans="1:19" x14ac:dyDescent="0.45">
      <c r="A179" s="21" t="s">
        <v>610</v>
      </c>
      <c r="D179" s="8"/>
      <c r="E179" s="3"/>
      <c r="F179" s="3" t="str">
        <f>IF(ISNUMBER(SEARCH("-",Q179)),IFERROR(IF($D$5="Lower", LOWER(ComputeResourceName($D$4,$D$3,$D$2,C179,I179,J179,K179,L179,N179,O179,Q179,A179)), UPPER(ComputeResourceName($D$4,$D$3,$D$2,C179,I179,J179,K179,L179,N179,O179,Q179,A179))),""),SUBSTITUTE(IFERROR(IF($D$5="Lower",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VLOOKUP(B179,Enviroments!$A$3:$D$60,1,FALSE)</f>
        <v>#N/A</v>
      </c>
      <c r="J179" s="3" t="e">
        <f>VLOOKUP(B179,Enviroments!$A$3:$D$60,2,FALSE)</f>
        <v>#N/A</v>
      </c>
      <c r="K179" s="3" t="e">
        <f>VLOOKUP(B179,Enviroments!$A$3:$D$60,3,FALSE)</f>
        <v>#N/A</v>
      </c>
      <c r="L179" s="3" t="e">
        <f>VLOOKUP(B179,Enviroments!$A$3:$D$60,4,FALSE)</f>
        <v>#N/A</v>
      </c>
      <c r="M179" s="3" t="e">
        <f>VLOOKUP(D179,AzureRegions!$A$4:$B$1502,1,FALSE)</f>
        <v>#N/A</v>
      </c>
      <c r="N179" s="3" t="e">
        <f>VLOOKUP(D179,AzureRegions!$A$4:$B$1502,2,FALSE)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VLOOKUP($D$5,Casing!$A$4:$A$60,1,FALSE)</f>
        <v>Lower</v>
      </c>
      <c r="S179" s="21" t="str">
        <f t="shared" si="2"/>
        <v>001</v>
      </c>
    </row>
    <row r="180" spans="1:19" x14ac:dyDescent="0.45">
      <c r="A180" s="21" t="s">
        <v>610</v>
      </c>
      <c r="D180" s="8"/>
      <c r="E180" s="3"/>
      <c r="F180" s="3" t="str">
        <f>IF(ISNUMBER(SEARCH("-",Q180)),IFERROR(IF($D$5="Lower", LOWER(ComputeResourceName($D$4,$D$3,$D$2,C180,I180,J180,K180,L180,N180,O180,Q180,A180)), UPPER(ComputeResourceName($D$4,$D$3,$D$2,C180,I180,J180,K180,L180,N180,O180,Q180,A180))),""),SUBSTITUTE(IFERROR(IF($D$5="Lower",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VLOOKUP(B180,Enviroments!$A$3:$D$60,1,FALSE)</f>
        <v>#N/A</v>
      </c>
      <c r="J180" s="3" t="e">
        <f>VLOOKUP(B180,Enviroments!$A$3:$D$60,2,FALSE)</f>
        <v>#N/A</v>
      </c>
      <c r="K180" s="3" t="e">
        <f>VLOOKUP(B180,Enviroments!$A$3:$D$60,3,FALSE)</f>
        <v>#N/A</v>
      </c>
      <c r="L180" s="3" t="e">
        <f>VLOOKUP(B180,Enviroments!$A$3:$D$60,4,FALSE)</f>
        <v>#N/A</v>
      </c>
      <c r="M180" s="3" t="e">
        <f>VLOOKUP(D180,AzureRegions!$A$4:$B$1502,1,FALSE)</f>
        <v>#N/A</v>
      </c>
      <c r="N180" s="3" t="e">
        <f>VLOOKUP(D180,AzureRegions!$A$4:$B$1502,2,FALSE)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VLOOKUP($D$5,Casing!$A$4:$A$60,1,FALSE)</f>
        <v>Lower</v>
      </c>
      <c r="S180" s="21" t="str">
        <f t="shared" si="2"/>
        <v>001</v>
      </c>
    </row>
    <row r="181" spans="1:19" x14ac:dyDescent="0.45">
      <c r="A181" s="21" t="s">
        <v>610</v>
      </c>
      <c r="D181" s="8"/>
      <c r="E181" s="3"/>
      <c r="F181" s="3" t="str">
        <f>IF(ISNUMBER(SEARCH("-",Q181)),IFERROR(IF($D$5="Lower", LOWER(ComputeResourceName($D$4,$D$3,$D$2,C181,I181,J181,K181,L181,N181,O181,Q181,A181)), UPPER(ComputeResourceName($D$4,$D$3,$D$2,C181,I181,J181,K181,L181,N181,O181,Q181,A181))),""),SUBSTITUTE(IFERROR(IF($D$5="Lower",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VLOOKUP(B181,Enviroments!$A$3:$D$60,1,FALSE)</f>
        <v>#N/A</v>
      </c>
      <c r="J181" s="3" t="e">
        <f>VLOOKUP(B181,Enviroments!$A$3:$D$60,2,FALSE)</f>
        <v>#N/A</v>
      </c>
      <c r="K181" s="3" t="e">
        <f>VLOOKUP(B181,Enviroments!$A$3:$D$60,3,FALSE)</f>
        <v>#N/A</v>
      </c>
      <c r="L181" s="3" t="e">
        <f>VLOOKUP(B181,Enviroments!$A$3:$D$60,4,FALSE)</f>
        <v>#N/A</v>
      </c>
      <c r="M181" s="3" t="e">
        <f>VLOOKUP(D181,AzureRegions!$A$4:$B$1502,1,FALSE)</f>
        <v>#N/A</v>
      </c>
      <c r="N181" s="3" t="e">
        <f>VLOOKUP(D181,AzureRegions!$A$4:$B$1502,2,FALSE)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VLOOKUP($D$5,Casing!$A$4:$A$60,1,FALSE)</f>
        <v>Lower</v>
      </c>
      <c r="S181" s="21" t="str">
        <f t="shared" si="2"/>
        <v>001</v>
      </c>
    </row>
    <row r="182" spans="1:19" x14ac:dyDescent="0.45">
      <c r="A182" s="21" t="s">
        <v>610</v>
      </c>
      <c r="D182" s="8"/>
      <c r="E182" s="3"/>
      <c r="F182" s="3" t="str">
        <f>IF(ISNUMBER(SEARCH("-",Q182)),IFERROR(IF($D$5="Lower", LOWER(ComputeResourceName($D$4,$D$3,$D$2,C182,I182,J182,K182,L182,N182,O182,Q182,A182)), UPPER(ComputeResourceName($D$4,$D$3,$D$2,C182,I182,J182,K182,L182,N182,O182,Q182,A182))),""),SUBSTITUTE(IFERROR(IF($D$5="Lower",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VLOOKUP(B182,Enviroments!$A$3:$D$60,1,FALSE)</f>
        <v>#N/A</v>
      </c>
      <c r="J182" s="3" t="e">
        <f>VLOOKUP(B182,Enviroments!$A$3:$D$60,2,FALSE)</f>
        <v>#N/A</v>
      </c>
      <c r="K182" s="3" t="e">
        <f>VLOOKUP(B182,Enviroments!$A$3:$D$60,3,FALSE)</f>
        <v>#N/A</v>
      </c>
      <c r="L182" s="3" t="e">
        <f>VLOOKUP(B182,Enviroments!$A$3:$D$60,4,FALSE)</f>
        <v>#N/A</v>
      </c>
      <c r="M182" s="3" t="e">
        <f>VLOOKUP(D182,AzureRegions!$A$4:$B$1502,1,FALSE)</f>
        <v>#N/A</v>
      </c>
      <c r="N182" s="3" t="e">
        <f>VLOOKUP(D182,AzureRegions!$A$4:$B$1502,2,FALSE)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VLOOKUP($D$5,Casing!$A$4:$A$60,1,FALSE)</f>
        <v>Lower</v>
      </c>
      <c r="S182" s="21" t="str">
        <f t="shared" si="2"/>
        <v>001</v>
      </c>
    </row>
    <row r="183" spans="1:19" x14ac:dyDescent="0.45">
      <c r="A183" s="21" t="s">
        <v>610</v>
      </c>
      <c r="D183" s="8"/>
      <c r="E183" s="3"/>
      <c r="F183" s="3" t="str">
        <f>IF(ISNUMBER(SEARCH("-",Q183)),IFERROR(IF($D$5="Lower", LOWER(ComputeResourceName($D$4,$D$3,$D$2,C183,I183,J183,K183,L183,N183,O183,Q183,A183)), UPPER(ComputeResourceName($D$4,$D$3,$D$2,C183,I183,J183,K183,L183,N183,O183,Q183,A183))),""),SUBSTITUTE(IFERROR(IF($D$5="Lower",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VLOOKUP(B183,Enviroments!$A$3:$D$60,1,FALSE)</f>
        <v>#N/A</v>
      </c>
      <c r="J183" s="3" t="e">
        <f>VLOOKUP(B183,Enviroments!$A$3:$D$60,2,FALSE)</f>
        <v>#N/A</v>
      </c>
      <c r="K183" s="3" t="e">
        <f>VLOOKUP(B183,Enviroments!$A$3:$D$60,3,FALSE)</f>
        <v>#N/A</v>
      </c>
      <c r="L183" s="3" t="e">
        <f>VLOOKUP(B183,Enviroments!$A$3:$D$60,4,FALSE)</f>
        <v>#N/A</v>
      </c>
      <c r="M183" s="3" t="e">
        <f>VLOOKUP(D183,AzureRegions!$A$4:$B$1502,1,FALSE)</f>
        <v>#N/A</v>
      </c>
      <c r="N183" s="3" t="e">
        <f>VLOOKUP(D183,AzureRegions!$A$4:$B$1502,2,FALSE)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VLOOKUP($D$5,Casing!$A$4:$A$60,1,FALSE)</f>
        <v>Lower</v>
      </c>
      <c r="S183" s="21" t="str">
        <f t="shared" si="2"/>
        <v>001</v>
      </c>
    </row>
    <row r="184" spans="1:19" x14ac:dyDescent="0.45">
      <c r="A184" s="21" t="s">
        <v>610</v>
      </c>
      <c r="D184" s="8"/>
      <c r="E184" s="3"/>
      <c r="F184" s="3" t="str">
        <f>IF(ISNUMBER(SEARCH("-",Q184)),IFERROR(IF($D$5="Lower", LOWER(ComputeResourceName($D$4,$D$3,$D$2,C184,I184,J184,K184,L184,N184,O184,Q184,A184)), UPPER(ComputeResourceName($D$4,$D$3,$D$2,C184,I184,J184,K184,L184,N184,O184,Q184,A184))),""),SUBSTITUTE(IFERROR(IF($D$5="Lower",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VLOOKUP(B184,Enviroments!$A$3:$D$60,1,FALSE)</f>
        <v>#N/A</v>
      </c>
      <c r="J184" s="3" t="e">
        <f>VLOOKUP(B184,Enviroments!$A$3:$D$60,2,FALSE)</f>
        <v>#N/A</v>
      </c>
      <c r="K184" s="3" t="e">
        <f>VLOOKUP(B184,Enviroments!$A$3:$D$60,3,FALSE)</f>
        <v>#N/A</v>
      </c>
      <c r="L184" s="3" t="e">
        <f>VLOOKUP(B184,Enviroments!$A$3:$D$60,4,FALSE)</f>
        <v>#N/A</v>
      </c>
      <c r="M184" s="3" t="e">
        <f>VLOOKUP(D184,AzureRegions!$A$4:$B$1502,1,FALSE)</f>
        <v>#N/A</v>
      </c>
      <c r="N184" s="3" t="e">
        <f>VLOOKUP(D184,AzureRegions!$A$4:$B$1502,2,FALSE)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VLOOKUP($D$5,Casing!$A$4:$A$60,1,FALSE)</f>
        <v>Lower</v>
      </c>
      <c r="S184" s="21" t="str">
        <f t="shared" si="2"/>
        <v>001</v>
      </c>
    </row>
    <row r="185" spans="1:19" x14ac:dyDescent="0.45">
      <c r="A185" s="21" t="s">
        <v>610</v>
      </c>
      <c r="D185" s="8"/>
      <c r="E185" s="3"/>
      <c r="F185" s="3" t="str">
        <f>IF(ISNUMBER(SEARCH("-",Q185)),IFERROR(IF($D$5="Lower", LOWER(ComputeResourceName($D$4,$D$3,$D$2,C185,I185,J185,K185,L185,N185,O185,Q185,A185)), UPPER(ComputeResourceName($D$4,$D$3,$D$2,C185,I185,J185,K185,L185,N185,O185,Q185,A185))),""),SUBSTITUTE(IFERROR(IF($D$5="Lower",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VLOOKUP(B185,Enviroments!$A$3:$D$60,1,FALSE)</f>
        <v>#N/A</v>
      </c>
      <c r="J185" s="3" t="e">
        <f>VLOOKUP(B185,Enviroments!$A$3:$D$60,2,FALSE)</f>
        <v>#N/A</v>
      </c>
      <c r="K185" s="3" t="e">
        <f>VLOOKUP(B185,Enviroments!$A$3:$D$60,3,FALSE)</f>
        <v>#N/A</v>
      </c>
      <c r="L185" s="3" t="e">
        <f>VLOOKUP(B185,Enviroments!$A$3:$D$60,4,FALSE)</f>
        <v>#N/A</v>
      </c>
      <c r="M185" s="3" t="e">
        <f>VLOOKUP(D185,AzureRegions!$A$4:$B$1502,1,FALSE)</f>
        <v>#N/A</v>
      </c>
      <c r="N185" s="3" t="e">
        <f>VLOOKUP(D185,AzureRegions!$A$4:$B$1502,2,FALSE)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VLOOKUP($D$5,Casing!$A$4:$A$60,1,FALSE)</f>
        <v>Lower</v>
      </c>
      <c r="S185" s="21" t="str">
        <f t="shared" si="2"/>
        <v>001</v>
      </c>
    </row>
    <row r="186" spans="1:19" x14ac:dyDescent="0.45">
      <c r="A186" s="21" t="s">
        <v>610</v>
      </c>
      <c r="D186" s="8"/>
      <c r="E186" s="3"/>
      <c r="F186" s="3" t="str">
        <f>IF(ISNUMBER(SEARCH("-",Q186)),IFERROR(IF($D$5="Lower", LOWER(ComputeResourceName($D$4,$D$3,$D$2,C186,I186,J186,K186,L186,N186,O186,Q186,A186)), UPPER(ComputeResourceName($D$4,$D$3,$D$2,C186,I186,J186,K186,L186,N186,O186,Q186,A186))),""),SUBSTITUTE(IFERROR(IF($D$5="Lower",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VLOOKUP(B186,Enviroments!$A$3:$D$60,1,FALSE)</f>
        <v>#N/A</v>
      </c>
      <c r="J186" s="3" t="e">
        <f>VLOOKUP(B186,Enviroments!$A$3:$D$60,2,FALSE)</f>
        <v>#N/A</v>
      </c>
      <c r="K186" s="3" t="e">
        <f>VLOOKUP(B186,Enviroments!$A$3:$D$60,3,FALSE)</f>
        <v>#N/A</v>
      </c>
      <c r="L186" s="3" t="e">
        <f>VLOOKUP(B186,Enviroments!$A$3:$D$60,4,FALSE)</f>
        <v>#N/A</v>
      </c>
      <c r="M186" s="3" t="e">
        <f>VLOOKUP(D186,AzureRegions!$A$4:$B$1502,1,FALSE)</f>
        <v>#N/A</v>
      </c>
      <c r="N186" s="3" t="e">
        <f>VLOOKUP(D186,AzureRegions!$A$4:$B$1502,2,FALSE)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VLOOKUP($D$5,Casing!$A$4:$A$60,1,FALSE)</f>
        <v>Lower</v>
      </c>
      <c r="S186" s="21" t="str">
        <f t="shared" si="2"/>
        <v>001</v>
      </c>
    </row>
    <row r="187" spans="1:19" x14ac:dyDescent="0.45">
      <c r="A187" s="21" t="s">
        <v>610</v>
      </c>
      <c r="D187" s="8"/>
      <c r="E187" s="3"/>
      <c r="F187" s="3" t="str">
        <f>IF(ISNUMBER(SEARCH("-",Q187)),IFERROR(IF($D$5="Lower", LOWER(ComputeResourceName($D$4,$D$3,$D$2,C187,I187,J187,K187,L187,N187,O187,Q187,A187)), UPPER(ComputeResourceName($D$4,$D$3,$D$2,C187,I187,J187,K187,L187,N187,O187,Q187,A187))),""),SUBSTITUTE(IFERROR(IF($D$5="Lower",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VLOOKUP(B187,Enviroments!$A$3:$D$60,1,FALSE)</f>
        <v>#N/A</v>
      </c>
      <c r="J187" s="3" t="e">
        <f>VLOOKUP(B187,Enviroments!$A$3:$D$60,2,FALSE)</f>
        <v>#N/A</v>
      </c>
      <c r="K187" s="3" t="e">
        <f>VLOOKUP(B187,Enviroments!$A$3:$D$60,3,FALSE)</f>
        <v>#N/A</v>
      </c>
      <c r="L187" s="3" t="e">
        <f>VLOOKUP(B187,Enviroments!$A$3:$D$60,4,FALSE)</f>
        <v>#N/A</v>
      </c>
      <c r="M187" s="3" t="e">
        <f>VLOOKUP(D187,AzureRegions!$A$4:$B$1502,1,FALSE)</f>
        <v>#N/A</v>
      </c>
      <c r="N187" s="3" t="e">
        <f>VLOOKUP(D187,AzureRegions!$A$4:$B$1502,2,FALSE)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VLOOKUP($D$5,Casing!$A$4:$A$60,1,FALSE)</f>
        <v>Lower</v>
      </c>
      <c r="S187" s="21" t="str">
        <f t="shared" si="2"/>
        <v>001</v>
      </c>
    </row>
    <row r="188" spans="1:19" x14ac:dyDescent="0.45">
      <c r="A188" s="21" t="s">
        <v>610</v>
      </c>
      <c r="D188" s="8"/>
      <c r="E188" s="3"/>
      <c r="F188" s="3" t="str">
        <f>IF(ISNUMBER(SEARCH("-",Q188)),IFERROR(IF($D$5="Lower", LOWER(ComputeResourceName($D$4,$D$3,$D$2,C188,I188,J188,K188,L188,N188,O188,Q188,A188)), UPPER(ComputeResourceName($D$4,$D$3,$D$2,C188,I188,J188,K188,L188,N188,O188,Q188,A188))),""),SUBSTITUTE(IFERROR(IF($D$5="Lower",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VLOOKUP(B188,Enviroments!$A$3:$D$60,1,FALSE)</f>
        <v>#N/A</v>
      </c>
      <c r="J188" s="3" t="e">
        <f>VLOOKUP(B188,Enviroments!$A$3:$D$60,2,FALSE)</f>
        <v>#N/A</v>
      </c>
      <c r="K188" s="3" t="e">
        <f>VLOOKUP(B188,Enviroments!$A$3:$D$60,3,FALSE)</f>
        <v>#N/A</v>
      </c>
      <c r="L188" s="3" t="e">
        <f>VLOOKUP(B188,Enviroments!$A$3:$D$60,4,FALSE)</f>
        <v>#N/A</v>
      </c>
      <c r="M188" s="3" t="e">
        <f>VLOOKUP(D188,AzureRegions!$A$4:$B$1502,1,FALSE)</f>
        <v>#N/A</v>
      </c>
      <c r="N188" s="3" t="e">
        <f>VLOOKUP(D188,AzureRegions!$A$4:$B$1502,2,FALSE)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VLOOKUP($D$5,Casing!$A$4:$A$60,1,FALSE)</f>
        <v>Lower</v>
      </c>
      <c r="S188" s="21" t="str">
        <f t="shared" si="2"/>
        <v>001</v>
      </c>
    </row>
    <row r="189" spans="1:19" x14ac:dyDescent="0.45">
      <c r="A189" s="21" t="s">
        <v>610</v>
      </c>
      <c r="D189" s="8"/>
      <c r="E189" s="3"/>
      <c r="F189" s="3" t="str">
        <f>IF(ISNUMBER(SEARCH("-",Q189)),IFERROR(IF($D$5="Lower", LOWER(ComputeResourceName($D$4,$D$3,$D$2,C189,I189,J189,K189,L189,N189,O189,Q189,A189)), UPPER(ComputeResourceName($D$4,$D$3,$D$2,C189,I189,J189,K189,L189,N189,O189,Q189,A189))),""),SUBSTITUTE(IFERROR(IF($D$5="Lower",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VLOOKUP(B189,Enviroments!$A$3:$D$60,1,FALSE)</f>
        <v>#N/A</v>
      </c>
      <c r="J189" s="3" t="e">
        <f>VLOOKUP(B189,Enviroments!$A$3:$D$60,2,FALSE)</f>
        <v>#N/A</v>
      </c>
      <c r="K189" s="3" t="e">
        <f>VLOOKUP(B189,Enviroments!$A$3:$D$60,3,FALSE)</f>
        <v>#N/A</v>
      </c>
      <c r="L189" s="3" t="e">
        <f>VLOOKUP(B189,Enviroments!$A$3:$D$60,4,FALSE)</f>
        <v>#N/A</v>
      </c>
      <c r="M189" s="3" t="e">
        <f>VLOOKUP(D189,AzureRegions!$A$4:$B$1502,1,FALSE)</f>
        <v>#N/A</v>
      </c>
      <c r="N189" s="3" t="e">
        <f>VLOOKUP(D189,AzureRegions!$A$4:$B$1502,2,FALSE)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VLOOKUP($D$5,Casing!$A$4:$A$60,1,FALSE)</f>
        <v>Lower</v>
      </c>
      <c r="S189" s="21" t="str">
        <f t="shared" si="2"/>
        <v>001</v>
      </c>
    </row>
    <row r="190" spans="1:19" x14ac:dyDescent="0.45">
      <c r="A190" s="21" t="s">
        <v>610</v>
      </c>
      <c r="D190" s="8"/>
      <c r="E190" s="3"/>
      <c r="F190" s="3" t="str">
        <f>IF(ISNUMBER(SEARCH("-",Q190)),IFERROR(IF($D$5="Lower", LOWER(ComputeResourceName($D$4,$D$3,$D$2,C190,I190,J190,K190,L190,N190,O190,Q190,A190)), UPPER(ComputeResourceName($D$4,$D$3,$D$2,C190,I190,J190,K190,L190,N190,O190,Q190,A190))),""),SUBSTITUTE(IFERROR(IF($D$5="Lower",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VLOOKUP(B190,Enviroments!$A$3:$D$60,1,FALSE)</f>
        <v>#N/A</v>
      </c>
      <c r="J190" s="3" t="e">
        <f>VLOOKUP(B190,Enviroments!$A$3:$D$60,2,FALSE)</f>
        <v>#N/A</v>
      </c>
      <c r="K190" s="3" t="e">
        <f>VLOOKUP(B190,Enviroments!$A$3:$D$60,3,FALSE)</f>
        <v>#N/A</v>
      </c>
      <c r="L190" s="3" t="e">
        <f>VLOOKUP(B190,Enviroments!$A$3:$D$60,4,FALSE)</f>
        <v>#N/A</v>
      </c>
      <c r="M190" s="3" t="e">
        <f>VLOOKUP(D190,AzureRegions!$A$4:$B$1502,1,FALSE)</f>
        <v>#N/A</v>
      </c>
      <c r="N190" s="3" t="e">
        <f>VLOOKUP(D190,AzureRegions!$A$4:$B$1502,2,FALSE)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VLOOKUP($D$5,Casing!$A$4:$A$60,1,FALSE)</f>
        <v>Lower</v>
      </c>
      <c r="S190" s="21" t="str">
        <f t="shared" si="2"/>
        <v>001</v>
      </c>
    </row>
    <row r="191" spans="1:19" x14ac:dyDescent="0.45">
      <c r="A191" s="21" t="s">
        <v>610</v>
      </c>
      <c r="D191" s="8"/>
      <c r="E191" s="3"/>
      <c r="F191" s="3" t="str">
        <f>IF(ISNUMBER(SEARCH("-",Q191)),IFERROR(IF($D$5="Lower", LOWER(ComputeResourceName($D$4,$D$3,$D$2,C191,I191,J191,K191,L191,N191,O191,Q191,A191)), UPPER(ComputeResourceName($D$4,$D$3,$D$2,C191,I191,J191,K191,L191,N191,O191,Q191,A191))),""),SUBSTITUTE(IFERROR(IF($D$5="Lower",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VLOOKUP(B191,Enviroments!$A$3:$D$60,1,FALSE)</f>
        <v>#N/A</v>
      </c>
      <c r="J191" s="3" t="e">
        <f>VLOOKUP(B191,Enviroments!$A$3:$D$60,2,FALSE)</f>
        <v>#N/A</v>
      </c>
      <c r="K191" s="3" t="e">
        <f>VLOOKUP(B191,Enviroments!$A$3:$D$60,3,FALSE)</f>
        <v>#N/A</v>
      </c>
      <c r="L191" s="3" t="e">
        <f>VLOOKUP(B191,Enviroments!$A$3:$D$60,4,FALSE)</f>
        <v>#N/A</v>
      </c>
      <c r="M191" s="3" t="e">
        <f>VLOOKUP(D191,AzureRegions!$A$4:$B$1502,1,FALSE)</f>
        <v>#N/A</v>
      </c>
      <c r="N191" s="3" t="e">
        <f>VLOOKUP(D191,AzureRegions!$A$4:$B$1502,2,FALSE)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VLOOKUP($D$5,Casing!$A$4:$A$60,1,FALSE)</f>
        <v>Lower</v>
      </c>
      <c r="S191" s="21" t="str">
        <f t="shared" si="2"/>
        <v>001</v>
      </c>
    </row>
    <row r="192" spans="1:19" x14ac:dyDescent="0.45">
      <c r="A192" s="21" t="s">
        <v>610</v>
      </c>
      <c r="D192" s="8"/>
      <c r="E192" s="3"/>
      <c r="F192" s="3" t="str">
        <f>IF(ISNUMBER(SEARCH("-",Q192)),IFERROR(IF($D$5="Lower", LOWER(ComputeResourceName($D$4,$D$3,$D$2,C192,I192,J192,K192,L192,N192,O192,Q192,A192)), UPPER(ComputeResourceName($D$4,$D$3,$D$2,C192,I192,J192,K192,L192,N192,O192,Q192,A192))),""),SUBSTITUTE(IFERROR(IF($D$5="Lower",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VLOOKUP(B192,Enviroments!$A$3:$D$60,1,FALSE)</f>
        <v>#N/A</v>
      </c>
      <c r="J192" s="3" t="e">
        <f>VLOOKUP(B192,Enviroments!$A$3:$D$60,2,FALSE)</f>
        <v>#N/A</v>
      </c>
      <c r="K192" s="3" t="e">
        <f>VLOOKUP(B192,Enviroments!$A$3:$D$60,3,FALSE)</f>
        <v>#N/A</v>
      </c>
      <c r="L192" s="3" t="e">
        <f>VLOOKUP(B192,Enviroments!$A$3:$D$60,4,FALSE)</f>
        <v>#N/A</v>
      </c>
      <c r="M192" s="3" t="e">
        <f>VLOOKUP(D192,AzureRegions!$A$4:$B$1502,1,FALSE)</f>
        <v>#N/A</v>
      </c>
      <c r="N192" s="3" t="e">
        <f>VLOOKUP(D192,AzureRegions!$A$4:$B$1502,2,FALSE)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VLOOKUP($D$5,Casing!$A$4:$A$60,1,FALSE)</f>
        <v>Lower</v>
      </c>
      <c r="S192" s="21" t="str">
        <f t="shared" si="2"/>
        <v>001</v>
      </c>
    </row>
    <row r="193" spans="1:19" x14ac:dyDescent="0.45">
      <c r="A193" s="21" t="s">
        <v>610</v>
      </c>
      <c r="D193" s="8"/>
      <c r="E193" s="3"/>
      <c r="F193" s="3" t="str">
        <f>IF(ISNUMBER(SEARCH("-",Q193)),IFERROR(IF($D$5="Lower", LOWER(ComputeResourceName($D$4,$D$3,$D$2,C193,I193,J193,K193,L193,N193,O193,Q193,A193)), UPPER(ComputeResourceName($D$4,$D$3,$D$2,C193,I193,J193,K193,L193,N193,O193,Q193,A193))),""),SUBSTITUTE(IFERROR(IF($D$5="Lower",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VLOOKUP(B193,Enviroments!$A$3:$D$60,1,FALSE)</f>
        <v>#N/A</v>
      </c>
      <c r="J193" s="3" t="e">
        <f>VLOOKUP(B193,Enviroments!$A$3:$D$60,2,FALSE)</f>
        <v>#N/A</v>
      </c>
      <c r="K193" s="3" t="e">
        <f>VLOOKUP(B193,Enviroments!$A$3:$D$60,3,FALSE)</f>
        <v>#N/A</v>
      </c>
      <c r="L193" s="3" t="e">
        <f>VLOOKUP(B193,Enviroments!$A$3:$D$60,4,FALSE)</f>
        <v>#N/A</v>
      </c>
      <c r="M193" s="3" t="e">
        <f>VLOOKUP(D193,AzureRegions!$A$4:$B$1502,1,FALSE)</f>
        <v>#N/A</v>
      </c>
      <c r="N193" s="3" t="e">
        <f>VLOOKUP(D193,AzureRegions!$A$4:$B$1502,2,FALSE)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VLOOKUP($D$5,Casing!$A$4:$A$60,1,FALSE)</f>
        <v>Lower</v>
      </c>
      <c r="S193" s="21" t="str">
        <f t="shared" si="2"/>
        <v>001</v>
      </c>
    </row>
    <row r="194" spans="1:19" x14ac:dyDescent="0.45">
      <c r="A194" s="21" t="s">
        <v>610</v>
      </c>
      <c r="D194" s="8"/>
      <c r="E194" s="3"/>
      <c r="F194" s="3" t="str">
        <f>IF(ISNUMBER(SEARCH("-",Q194)),IFERROR(IF($D$5="Lower", LOWER(ComputeResourceName($D$4,$D$3,$D$2,C194,I194,J194,K194,L194,N194,O194,Q194,A194)), UPPER(ComputeResourceName($D$4,$D$3,$D$2,C194,I194,J194,K194,L194,N194,O194,Q194,A194))),""),SUBSTITUTE(IFERROR(IF($D$5="Lower", LOWER(ComputeResourceName($D$4,$D$3,$D$2,C194,I194,J194,K194,L194,N194,O194,Q194,A194)), UPPER(ComputeResourceName($D$4,$D$3,$D$2,C194,I194,J194,K194,L194,N194,O194,Q194,A194))),""), "-",""))</f>
        <v/>
      </c>
      <c r="G194" s="3" t="str">
        <f xml:space="preserve"> IF(F194="","",  IFERROR(VLOOKUP(E194,Resources!$A$3:$F$1500,5,FALSE)-LEN(F194),0))</f>
        <v/>
      </c>
      <c r="H194" s="3" t="str">
        <f>IF(F194="","",IFERROR(matches(F194,VLOOKUP(E194,Resources!$A$3:$F$1500,6,FALSE)),FALSE))</f>
        <v/>
      </c>
      <c r="I194" s="3" t="e">
        <f>VLOOKUP(B194,Enviroments!$A$3:$D$60,1,FALSE)</f>
        <v>#N/A</v>
      </c>
      <c r="J194" s="3" t="e">
        <f>VLOOKUP(B194,Enviroments!$A$3:$D$60,2,FALSE)</f>
        <v>#N/A</v>
      </c>
      <c r="K194" s="3" t="e">
        <f>VLOOKUP(B194,Enviroments!$A$3:$D$60,3,FALSE)</f>
        <v>#N/A</v>
      </c>
      <c r="L194" s="3" t="e">
        <f>VLOOKUP(B194,Enviroments!$A$3:$D$60,4,FALSE)</f>
        <v>#N/A</v>
      </c>
      <c r="M194" s="3" t="e">
        <f>VLOOKUP(D194,AzureRegions!$A$4:$B$1502,1,FALSE)</f>
        <v>#N/A</v>
      </c>
      <c r="N194" s="3" t="e">
        <f>VLOOKUP(D194,AzureRegions!$A$4:$B$1502,2,FALSE)</f>
        <v>#N/A</v>
      </c>
      <c r="P194" s="3" t="e">
        <f>VLOOKUP(E194,Resources!$A$4:$F$1500,1,FALSE)</f>
        <v>#N/A</v>
      </c>
      <c r="Q194" s="3" t="e">
        <f>VLOOKUP(E194,Resources!$A$4:$F$1500,3,FALSE)</f>
        <v>#N/A</v>
      </c>
      <c r="R194" s="3" t="str">
        <f>VLOOKUP($D$5,Casing!$A$4:$A$60,1,FALSE)</f>
        <v>Lower</v>
      </c>
      <c r="S194" s="21" t="str">
        <f t="shared" si="2"/>
        <v>001</v>
      </c>
    </row>
    <row r="195" spans="1:19" x14ac:dyDescent="0.45">
      <c r="A195" s="21" t="s">
        <v>610</v>
      </c>
      <c r="D195" s="8"/>
      <c r="E195" s="3"/>
      <c r="F195" s="3" t="str">
        <f>IF(ISNUMBER(SEARCH("-",Q195)),IFERROR(IF($D$5="Lower", LOWER(ComputeResourceName($D$4,$D$3,$D$2,C195,I195,J195,K195,L195,N195,O195,Q195,A195)), UPPER(ComputeResourceName($D$4,$D$3,$D$2,C195,I195,J195,K195,L195,N195,O195,Q195,A195))),""),SUBSTITUTE(IFERROR(IF($D$5="Lower", LOWER(ComputeResourceName($D$4,$D$3,$D$2,C195,I195,J195,K195,L195,N195,O195,Q195,A195)), UPPER(ComputeResourceName($D$4,$D$3,$D$2,C195,I195,J195,K195,L195,N195,O195,Q195,A195))),""), "-",""))</f>
        <v/>
      </c>
      <c r="G195" s="3" t="str">
        <f xml:space="preserve"> IF(F195="","",  IFERROR(VLOOKUP(E195,Resources!$A$3:$F$1500,5,FALSE)-LEN(F195),0))</f>
        <v/>
      </c>
      <c r="H195" s="3" t="str">
        <f>IF(F195="","",IFERROR(matches(F195,VLOOKUP(E195,Resources!$A$3:$F$1500,6,FALSE)),FALSE))</f>
        <v/>
      </c>
      <c r="I195" s="3" t="e">
        <f>VLOOKUP(B195,Enviroments!$A$3:$D$60,1,FALSE)</f>
        <v>#N/A</v>
      </c>
      <c r="J195" s="3" t="e">
        <f>VLOOKUP(B195,Enviroments!$A$3:$D$60,2,FALSE)</f>
        <v>#N/A</v>
      </c>
      <c r="K195" s="3" t="e">
        <f>VLOOKUP(B195,Enviroments!$A$3:$D$60,3,FALSE)</f>
        <v>#N/A</v>
      </c>
      <c r="L195" s="3" t="e">
        <f>VLOOKUP(B195,Enviroments!$A$3:$D$60,4,FALSE)</f>
        <v>#N/A</v>
      </c>
      <c r="M195" s="3" t="e">
        <f>VLOOKUP(D195,AzureRegions!$A$4:$B$1502,1,FALSE)</f>
        <v>#N/A</v>
      </c>
      <c r="N195" s="3" t="e">
        <f>VLOOKUP(D195,AzureRegions!$A$4:$B$1502,2,FALSE)</f>
        <v>#N/A</v>
      </c>
      <c r="P195" s="3" t="e">
        <f>VLOOKUP(E195,Resources!$A$4:$F$1500,1,FALSE)</f>
        <v>#N/A</v>
      </c>
      <c r="Q195" s="3" t="e">
        <f>VLOOKUP(E195,Resources!$A$4:$F$1500,3,FALSE)</f>
        <v>#N/A</v>
      </c>
      <c r="R195" s="3" t="str">
        <f>VLOOKUP($D$5,Casing!$A$4:$A$60,1,FALSE)</f>
        <v>Lower</v>
      </c>
      <c r="S195" s="21" t="str">
        <f t="shared" si="2"/>
        <v>001</v>
      </c>
    </row>
    <row r="196" spans="1:19" x14ac:dyDescent="0.45">
      <c r="A196" s="21" t="s">
        <v>610</v>
      </c>
      <c r="D196" s="8"/>
      <c r="E196" s="3"/>
      <c r="F196" s="3" t="str">
        <f>IF(ISNUMBER(SEARCH("-",Q196)),IFERROR(IF($D$5="Lower", LOWER(ComputeResourceName($D$4,$D$3,$D$2,C196,I196,J196,K196,L196,N196,O196,Q196,A196)), UPPER(ComputeResourceName($D$4,$D$3,$D$2,C196,I196,J196,K196,L196,N196,O196,Q196,A196))),""),SUBSTITUTE(IFERROR(IF($D$5="Lower", LOWER(ComputeResourceName($D$4,$D$3,$D$2,C196,I196,J196,K196,L196,N196,O196,Q196,A196)), UPPER(ComputeResourceName($D$4,$D$3,$D$2,C196,I196,J196,K196,L196,N196,O196,Q196,A196))),""), "-",""))</f>
        <v/>
      </c>
      <c r="G196" s="3" t="str">
        <f xml:space="preserve"> IF(F196="","",  IFERROR(VLOOKUP(E196,Resources!$A$3:$F$1500,5,FALSE)-LEN(F196),0))</f>
        <v/>
      </c>
      <c r="H196" s="3" t="str">
        <f>IF(F196="","",IFERROR(matches(F196,VLOOKUP(E196,Resources!$A$3:$F$1500,6,FALSE)),FALSE))</f>
        <v/>
      </c>
      <c r="I196" s="3" t="e">
        <f>VLOOKUP(B196,Enviroments!$A$3:$D$60,1,FALSE)</f>
        <v>#N/A</v>
      </c>
      <c r="J196" s="3" t="e">
        <f>VLOOKUP(B196,Enviroments!$A$3:$D$60,2,FALSE)</f>
        <v>#N/A</v>
      </c>
      <c r="K196" s="3" t="e">
        <f>VLOOKUP(B196,Enviroments!$A$3:$D$60,3,FALSE)</f>
        <v>#N/A</v>
      </c>
      <c r="L196" s="3" t="e">
        <f>VLOOKUP(B196,Enviroments!$A$3:$D$60,4,FALSE)</f>
        <v>#N/A</v>
      </c>
      <c r="M196" s="3" t="e">
        <f>VLOOKUP(D196,AzureRegions!$A$4:$B$1502,1,FALSE)</f>
        <v>#N/A</v>
      </c>
      <c r="N196" s="3" t="e">
        <f>VLOOKUP(D196,AzureRegions!$A$4:$B$1502,2,FALSE)</f>
        <v>#N/A</v>
      </c>
      <c r="P196" s="3" t="e">
        <f>VLOOKUP(E196,Resources!$A$4:$F$1500,1,FALSE)</f>
        <v>#N/A</v>
      </c>
      <c r="Q196" s="3" t="e">
        <f>VLOOKUP(E196,Resources!$A$4:$F$1500,3,FALSE)</f>
        <v>#N/A</v>
      </c>
      <c r="R196" s="3" t="str">
        <f>VLOOKUP($D$5,Casing!$A$4:$A$60,1,FALSE)</f>
        <v>Lower</v>
      </c>
      <c r="S196" s="21" t="str">
        <f t="shared" si="2"/>
        <v>001</v>
      </c>
    </row>
    <row r="197" spans="1:19" x14ac:dyDescent="0.45">
      <c r="A197" s="21" t="s">
        <v>610</v>
      </c>
      <c r="D197" s="8"/>
      <c r="E197" s="3"/>
      <c r="F197" s="3" t="str">
        <f>IF(ISNUMBER(SEARCH("-",Q197)),IFERROR(IF($D$5="Lower", LOWER(ComputeResourceName($D$4,$D$3,$D$2,C197,I197,J197,K197,L197,N197,O197,Q197,A197)), UPPER(ComputeResourceName($D$4,$D$3,$D$2,C197,I197,J197,K197,L197,N197,O197,Q197,A197))),""),SUBSTITUTE(IFERROR(IF($D$5="Lower", LOWER(ComputeResourceName($D$4,$D$3,$D$2,C197,I197,J197,K197,L197,N197,O197,Q197,A197)), UPPER(ComputeResourceName($D$4,$D$3,$D$2,C197,I197,J197,K197,L197,N197,O197,Q197,A197))),""), "-",""))</f>
        <v/>
      </c>
      <c r="G197" s="3" t="str">
        <f xml:space="preserve"> IF(F197="","",  IFERROR(VLOOKUP(E197,Resources!$A$3:$F$1500,5,FALSE)-LEN(F197),0))</f>
        <v/>
      </c>
      <c r="H197" s="3" t="str">
        <f>IF(F197="","",IFERROR(matches(F197,VLOOKUP(E197,Resources!$A$3:$F$1500,6,FALSE)),FALSE))</f>
        <v/>
      </c>
      <c r="I197" s="3" t="e">
        <f>VLOOKUP(B197,Enviroments!$A$3:$D$60,1,FALSE)</f>
        <v>#N/A</v>
      </c>
      <c r="J197" s="3" t="e">
        <f>VLOOKUP(B197,Enviroments!$A$3:$D$60,2,FALSE)</f>
        <v>#N/A</v>
      </c>
      <c r="K197" s="3" t="e">
        <f>VLOOKUP(B197,Enviroments!$A$3:$D$60,3,FALSE)</f>
        <v>#N/A</v>
      </c>
      <c r="L197" s="3" t="e">
        <f>VLOOKUP(B197,Enviroments!$A$3:$D$60,4,FALSE)</f>
        <v>#N/A</v>
      </c>
      <c r="M197" s="3" t="e">
        <f>VLOOKUP(D197,AzureRegions!$A$4:$B$1502,1,FALSE)</f>
        <v>#N/A</v>
      </c>
      <c r="N197" s="3" t="e">
        <f>VLOOKUP(D197,AzureRegions!$A$4:$B$1502,2,FALSE)</f>
        <v>#N/A</v>
      </c>
      <c r="P197" s="3" t="e">
        <f>VLOOKUP(E197,Resources!$A$4:$F$1500,1,FALSE)</f>
        <v>#N/A</v>
      </c>
      <c r="Q197" s="3" t="e">
        <f>VLOOKUP(E197,Resources!$A$4:$F$1500,3,FALSE)</f>
        <v>#N/A</v>
      </c>
      <c r="R197" s="3" t="str">
        <f>VLOOKUP($D$5,Casing!$A$4:$A$60,1,FALSE)</f>
        <v>Lower</v>
      </c>
      <c r="S197" s="21" t="str">
        <f t="shared" si="2"/>
        <v>001</v>
      </c>
    </row>
    <row r="198" spans="1:19" x14ac:dyDescent="0.45">
      <c r="A198" s="21" t="s">
        <v>610</v>
      </c>
      <c r="D198" s="8"/>
      <c r="E198" s="3"/>
      <c r="F198" s="3" t="str">
        <f>IF(ISNUMBER(SEARCH("-",Q198)),IFERROR(IF($D$5="Lower", LOWER(ComputeResourceName($D$4,$D$3,$D$2,C198,I198,J198,K198,L198,N198,O198,Q198,A198)), UPPER(ComputeResourceName($D$4,$D$3,$D$2,C198,I198,J198,K198,L198,N198,O198,Q198,A198))),""),SUBSTITUTE(IFERROR(IF($D$5="Lower", LOWER(ComputeResourceName($D$4,$D$3,$D$2,C198,I198,J198,K198,L198,N198,O198,Q198,A198)), UPPER(ComputeResourceName($D$4,$D$3,$D$2,C198,I198,J198,K198,L198,N198,O198,Q198,A198))),""), "-",""))</f>
        <v/>
      </c>
      <c r="G198" s="3" t="str">
        <f xml:space="preserve"> IF(F198="","",  IFERROR(VLOOKUP(E198,Resources!$A$3:$F$1500,5,FALSE)-LEN(F198),0))</f>
        <v/>
      </c>
      <c r="H198" s="3" t="str">
        <f>IF(F198="","",IFERROR(matches(F198,VLOOKUP(E198,Resources!$A$3:$F$1500,6,FALSE)),FALSE))</f>
        <v/>
      </c>
      <c r="I198" s="3" t="e">
        <f>VLOOKUP(B198,Enviroments!$A$3:$D$60,1,FALSE)</f>
        <v>#N/A</v>
      </c>
      <c r="J198" s="3" t="e">
        <f>VLOOKUP(B198,Enviroments!$A$3:$D$60,2,FALSE)</f>
        <v>#N/A</v>
      </c>
      <c r="K198" s="3" t="e">
        <f>VLOOKUP(B198,Enviroments!$A$3:$D$60,3,FALSE)</f>
        <v>#N/A</v>
      </c>
      <c r="L198" s="3" t="e">
        <f>VLOOKUP(B198,Enviroments!$A$3:$D$60,4,FALSE)</f>
        <v>#N/A</v>
      </c>
      <c r="M198" s="3" t="e">
        <f>VLOOKUP(D198,AzureRegions!$A$4:$B$1502,1,FALSE)</f>
        <v>#N/A</v>
      </c>
      <c r="N198" s="3" t="e">
        <f>VLOOKUP(D198,AzureRegions!$A$4:$B$1502,2,FALSE)</f>
        <v>#N/A</v>
      </c>
      <c r="P198" s="3" t="e">
        <f>VLOOKUP(E198,Resources!$A$4:$F$1500,1,FALSE)</f>
        <v>#N/A</v>
      </c>
      <c r="Q198" s="3" t="e">
        <f>VLOOKUP(E198,Resources!$A$4:$F$1500,3,FALSE)</f>
        <v>#N/A</v>
      </c>
      <c r="R198" s="3" t="str">
        <f>VLOOKUP($D$5,Casing!$A$4:$A$60,1,FALSE)</f>
        <v>Lower</v>
      </c>
      <c r="S198" s="21" t="str">
        <f t="shared" si="2"/>
        <v>001</v>
      </c>
    </row>
    <row r="199" spans="1:19" x14ac:dyDescent="0.45">
      <c r="A199" s="21" t="s">
        <v>610</v>
      </c>
      <c r="D199" s="8"/>
      <c r="E199" s="3"/>
      <c r="F199" s="3" t="str">
        <f>IF(ISNUMBER(SEARCH("-",Q199)),IFERROR(IF($D$5="Lower", LOWER(ComputeResourceName($D$4,$D$3,$D$2,C199,I199,J199,K199,L199,N199,O199,Q199,A199)), UPPER(ComputeResourceName($D$4,$D$3,$D$2,C199,I199,J199,K199,L199,N199,O199,Q199,A199))),""),SUBSTITUTE(IFERROR(IF($D$5="Lower", LOWER(ComputeResourceName($D$4,$D$3,$D$2,C199,I199,J199,K199,L199,N199,O199,Q199,A199)), UPPER(ComputeResourceName($D$4,$D$3,$D$2,C199,I199,J199,K199,L199,N199,O199,Q199,A199))),""), "-",""))</f>
        <v/>
      </c>
      <c r="G199" s="3" t="str">
        <f xml:space="preserve"> IF(F199="","",  IFERROR(VLOOKUP(E199,Resources!$A$3:$F$1500,5,FALSE)-LEN(F199),0))</f>
        <v/>
      </c>
      <c r="H199" s="3" t="str">
        <f>IF(F199="","",IFERROR(matches(F199,VLOOKUP(E199,Resources!$A$3:$F$1500,6,FALSE)),FALSE))</f>
        <v/>
      </c>
      <c r="I199" s="3" t="e">
        <f>VLOOKUP(B199,Enviroments!$A$3:$D$60,1,FALSE)</f>
        <v>#N/A</v>
      </c>
      <c r="J199" s="3" t="e">
        <f>VLOOKUP(B199,Enviroments!$A$3:$D$60,2,FALSE)</f>
        <v>#N/A</v>
      </c>
      <c r="K199" s="3" t="e">
        <f>VLOOKUP(B199,Enviroments!$A$3:$D$60,3,FALSE)</f>
        <v>#N/A</v>
      </c>
      <c r="L199" s="3" t="e">
        <f>VLOOKUP(B199,Enviroments!$A$3:$D$60,4,FALSE)</f>
        <v>#N/A</v>
      </c>
      <c r="M199" s="3" t="e">
        <f>VLOOKUP(D199,AzureRegions!$A$4:$B$1502,1,FALSE)</f>
        <v>#N/A</v>
      </c>
      <c r="N199" s="3" t="e">
        <f>VLOOKUP(D199,AzureRegions!$A$4:$B$1502,2,FALSE)</f>
        <v>#N/A</v>
      </c>
      <c r="P199" s="3" t="e">
        <f>VLOOKUP(E199,Resources!$A$4:$F$1500,1,FALSE)</f>
        <v>#N/A</v>
      </c>
      <c r="Q199" s="3" t="e">
        <f>VLOOKUP(E199,Resources!$A$4:$F$1500,3,FALSE)</f>
        <v>#N/A</v>
      </c>
      <c r="R199" s="3" t="str">
        <f>VLOOKUP($D$5,Casing!$A$4:$A$60,1,FALSE)</f>
        <v>Lower</v>
      </c>
      <c r="S199" s="21" t="str">
        <f t="shared" si="2"/>
        <v>001</v>
      </c>
    </row>
    <row r="200" spans="1:19" x14ac:dyDescent="0.45">
      <c r="A200" s="21" t="s">
        <v>610</v>
      </c>
      <c r="D200" s="8"/>
      <c r="E200" s="3"/>
      <c r="F200" s="3" t="str">
        <f>IF(ISNUMBER(SEARCH("-",Q200)),IFERROR(IF($D$5="Lower", LOWER(ComputeResourceName($D$4,$D$3,$D$2,C200,I200,J200,K200,L200,N200,O200,Q200,A200)), UPPER(ComputeResourceName($D$4,$D$3,$D$2,C200,I200,J200,K200,L200,N200,O200,Q200,A200))),""),SUBSTITUTE(IFERROR(IF($D$5="Lower", LOWER(ComputeResourceName($D$4,$D$3,$D$2,C200,I200,J200,K200,L200,N200,O200,Q200,A200)), UPPER(ComputeResourceName($D$4,$D$3,$D$2,C200,I200,J200,K200,L200,N200,O200,Q200,A200))),""), "-",""))</f>
        <v/>
      </c>
      <c r="G200" s="3" t="str">
        <f xml:space="preserve"> IF(F200="","",  IFERROR(VLOOKUP(E200,Resources!$A$3:$F$1500,5,FALSE)-LEN(F200),0))</f>
        <v/>
      </c>
      <c r="H200" s="3" t="str">
        <f>IF(F200="","",IFERROR(matches(F200,VLOOKUP(E200,Resources!$A$3:$F$1500,6,FALSE)),FALSE))</f>
        <v/>
      </c>
      <c r="I200" s="3" t="e">
        <f>VLOOKUP(B200,Enviroments!$A$3:$D$60,1,FALSE)</f>
        <v>#N/A</v>
      </c>
      <c r="J200" s="3" t="e">
        <f>VLOOKUP(B200,Enviroments!$A$3:$D$60,2,FALSE)</f>
        <v>#N/A</v>
      </c>
      <c r="K200" s="3" t="e">
        <f>VLOOKUP(B200,Enviroments!$A$3:$D$60,3,FALSE)</f>
        <v>#N/A</v>
      </c>
      <c r="L200" s="3" t="e">
        <f>VLOOKUP(B200,Enviroments!$A$3:$D$60,4,FALSE)</f>
        <v>#N/A</v>
      </c>
      <c r="M200" s="3" t="e">
        <f>VLOOKUP(D200,AzureRegions!$A$4:$B$1502,1,FALSE)</f>
        <v>#N/A</v>
      </c>
      <c r="N200" s="3" t="e">
        <f>VLOOKUP(D200,AzureRegions!$A$4:$B$1502,2,FALSE)</f>
        <v>#N/A</v>
      </c>
      <c r="P200" s="3" t="e">
        <f>VLOOKUP(E200,Resources!$A$4:$F$1500,1,FALSE)</f>
        <v>#N/A</v>
      </c>
      <c r="Q200" s="3" t="e">
        <f>VLOOKUP(E200,Resources!$A$4:$F$1500,3,FALSE)</f>
        <v>#N/A</v>
      </c>
      <c r="R200" s="3" t="str">
        <f>VLOOKUP($D$5,Casing!$A$4:$A$60,1,FALSE)</f>
        <v>Lower</v>
      </c>
      <c r="S200" s="21" t="str">
        <f t="shared" si="2"/>
        <v>001</v>
      </c>
    </row>
  </sheetData>
  <mergeCells count="10">
    <mergeCell ref="J6:S6"/>
    <mergeCell ref="D2:G2"/>
    <mergeCell ref="D3:G3"/>
    <mergeCell ref="D4:G4"/>
    <mergeCell ref="A6:C6"/>
    <mergeCell ref="A1:G1"/>
    <mergeCell ref="A2:C2"/>
    <mergeCell ref="A3:C3"/>
    <mergeCell ref="A4:C4"/>
    <mergeCell ref="A5:C5"/>
  </mergeCells>
  <conditionalFormatting sqref="G8:G12">
    <cfRule type="cellIs" dxfId="3" priority="4" operator="lessThan">
      <formula>0</formula>
    </cfRule>
  </conditionalFormatting>
  <conditionalFormatting sqref="H8:H12">
    <cfRule type="cellIs" dxfId="2" priority="3" operator="equal">
      <formula>FALSE</formula>
    </cfRule>
  </conditionalFormatting>
  <conditionalFormatting sqref="G13:G200">
    <cfRule type="cellIs" dxfId="1" priority="2" operator="lessThan">
      <formula>0</formula>
    </cfRule>
  </conditionalFormatting>
  <conditionalFormatting sqref="H13:H200">
    <cfRule type="cellIs" dxfId="0" priority="1" operator="equal">
      <formula>FALSE</formula>
    </cfRule>
  </conditionalFormatting>
  <dataValidations count="2">
    <dataValidation type="list" allowBlank="1" showInputMessage="1" showErrorMessage="1" sqref="B8" xr:uid="{00000000-0002-0000-0000-000002000000}">
      <formula1>Environments</formula1>
    </dataValidation>
    <dataValidation type="list" allowBlank="1" showInputMessage="1" showErrorMessage="1" sqref="D5" xr:uid="{00000000-0002-0000-0000-000003000000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Resources!$A$4:$A$1500</xm:f>
          </x14:formula1>
          <xm:sqref>E8:E200</xm:sqref>
        </x14:dataValidation>
        <x14:dataValidation type="list" allowBlank="1" showInputMessage="1" showErrorMessage="1" xr:uid="{00000000-0002-0000-0000-000000000000}">
          <x14:formula1>
            <xm:f>AzureRegions!$A$4:$A$1502</xm:f>
          </x14:formula1>
          <xm:sqref>D8:D200</xm:sqref>
        </x14:dataValidation>
        <x14:dataValidation type="list" allowBlank="1" showInputMessage="1" showErrorMessage="1" xr:uid="{81D99DE7-7FCA-4CA2-81CE-3FBFC0FF1E87}">
          <x14:formula1>
            <xm:f>Enviroments!$A$4:$A$44</xm:f>
          </x14:formula1>
          <xm:sqref>B9:B200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C78"/>
  <sheetViews>
    <sheetView tabSelected="1" workbookViewId="0">
      <selection activeCell="A31" sqref="A31:XFD31"/>
    </sheetView>
  </sheetViews>
  <sheetFormatPr defaultRowHeight="14.5" x14ac:dyDescent="0.35"/>
  <cols>
    <col min="1" max="1" width="27" customWidth="1"/>
    <col min="2" max="2" width="26.26953125" customWidth="1"/>
    <col min="3" max="3" width="17.26953125" customWidth="1"/>
  </cols>
  <sheetData>
    <row r="1" spans="1:3" x14ac:dyDescent="0.35">
      <c r="A1" s="28" t="s">
        <v>51</v>
      </c>
      <c r="B1" s="28"/>
    </row>
    <row r="2" spans="1:3" ht="16.5" x14ac:dyDescent="0.45">
      <c r="A2" s="13" t="s">
        <v>54</v>
      </c>
      <c r="B2" s="19"/>
    </row>
    <row r="3" spans="1:3" ht="16.5" x14ac:dyDescent="0.45">
      <c r="A3" s="2" t="s">
        <v>7</v>
      </c>
      <c r="B3" s="11" t="s">
        <v>225</v>
      </c>
      <c r="C3" s="23" t="s">
        <v>619</v>
      </c>
    </row>
    <row r="4" spans="1:3" ht="16.5" x14ac:dyDescent="0.45">
      <c r="A4" s="3" t="s">
        <v>22</v>
      </c>
      <c r="B4" s="3" t="s">
        <v>105</v>
      </c>
      <c r="C4" t="str" cm="1">
        <f t="array" ref="C4">GetFirstLetters(A4)</f>
        <v>EU</v>
      </c>
    </row>
    <row r="5" spans="1:3" ht="16.5" x14ac:dyDescent="0.45">
      <c r="A5" s="3" t="s">
        <v>23</v>
      </c>
      <c r="B5" s="3" t="s">
        <v>106</v>
      </c>
      <c r="C5" t="str" cm="1">
        <f t="array" ref="C5">GetFirstLetters(A5)</f>
        <v>EU2</v>
      </c>
    </row>
    <row r="6" spans="1:3" ht="16.5" x14ac:dyDescent="0.45">
      <c r="A6" s="3" t="s">
        <v>107</v>
      </c>
      <c r="B6" s="3" t="s">
        <v>108</v>
      </c>
      <c r="C6" t="str" cm="1">
        <f t="array" ref="C6">GetFirstLetters(A6)</f>
        <v>SCU</v>
      </c>
    </row>
    <row r="7" spans="1:3" ht="16.5" x14ac:dyDescent="0.45">
      <c r="A7" s="3" t="s">
        <v>28</v>
      </c>
      <c r="B7" s="3" t="s">
        <v>109</v>
      </c>
      <c r="C7" t="str" cm="1">
        <f t="array" ref="C7">GetFirstLetters(A7)</f>
        <v>WU2</v>
      </c>
    </row>
    <row r="8" spans="1:3" ht="16.5" x14ac:dyDescent="0.45">
      <c r="A8" s="3" t="s">
        <v>110</v>
      </c>
      <c r="B8" s="3" t="s">
        <v>111</v>
      </c>
      <c r="C8" t="str" cm="1">
        <f t="array" ref="C8">GetFirstLetters(A8)</f>
        <v>WU3</v>
      </c>
    </row>
    <row r="9" spans="1:3" ht="16.5" x14ac:dyDescent="0.45">
      <c r="A9" s="3" t="s">
        <v>40</v>
      </c>
      <c r="B9" s="3" t="s">
        <v>112</v>
      </c>
      <c r="C9" t="str" cm="1">
        <f t="array" ref="C9">GetFirstLetters(A9)</f>
        <v>AE</v>
      </c>
    </row>
    <row r="10" spans="1:3" ht="16.5" x14ac:dyDescent="0.45">
      <c r="A10" s="3" t="s">
        <v>38</v>
      </c>
      <c r="B10" s="3" t="s">
        <v>113</v>
      </c>
      <c r="C10" t="str" cm="1">
        <f t="array" ref="C10">GetFirstLetters(A10)</f>
        <v>SA</v>
      </c>
    </row>
    <row r="11" spans="1:3" ht="16.5" x14ac:dyDescent="0.45">
      <c r="A11" s="3" t="s">
        <v>32</v>
      </c>
      <c r="B11" s="3" t="s">
        <v>114</v>
      </c>
      <c r="C11" t="str" cm="1">
        <f t="array" ref="C11">GetFirstLetters(A11)</f>
        <v>NE</v>
      </c>
    </row>
    <row r="12" spans="1:3" ht="16.5" x14ac:dyDescent="0.45">
      <c r="A12" s="3" t="s">
        <v>115</v>
      </c>
      <c r="B12" s="3" t="s">
        <v>116</v>
      </c>
      <c r="C12" t="str" cm="1">
        <f t="array" ref="C12">GetFirstLetters(A12)</f>
        <v>SC</v>
      </c>
    </row>
    <row r="13" spans="1:3" ht="16.5" x14ac:dyDescent="0.45">
      <c r="A13" s="3" t="s">
        <v>35</v>
      </c>
      <c r="B13" s="3" t="s">
        <v>117</v>
      </c>
      <c r="C13" t="str" cm="1">
        <f t="array" ref="C13">GetFirstLetters(A13)</f>
        <v>US</v>
      </c>
    </row>
    <row r="14" spans="1:3" ht="16.5" x14ac:dyDescent="0.45">
      <c r="A14" s="3" t="s">
        <v>33</v>
      </c>
      <c r="B14" s="3" t="s">
        <v>118</v>
      </c>
      <c r="C14" t="str" cm="1">
        <f t="array" ref="C14">GetFirstLetters(A14)</f>
        <v>WE</v>
      </c>
    </row>
    <row r="15" spans="1:3" ht="16.5" x14ac:dyDescent="0.45">
      <c r="A15" s="3" t="s">
        <v>24</v>
      </c>
      <c r="B15" s="3" t="s">
        <v>119</v>
      </c>
      <c r="C15" t="str" cm="1">
        <f t="array" ref="C15">GetFirstLetters(A15)</f>
        <v>CU</v>
      </c>
    </row>
    <row r="16" spans="1:3" ht="16.5" x14ac:dyDescent="0.45">
      <c r="A16" s="3" t="s">
        <v>25</v>
      </c>
      <c r="B16" s="3" t="s">
        <v>120</v>
      </c>
      <c r="C16" t="str" cm="1">
        <f t="array" ref="C16">GetFirstLetters(A16)</f>
        <v>NCU</v>
      </c>
    </row>
    <row r="17" spans="1:3" ht="16.5" x14ac:dyDescent="0.45">
      <c r="A17" s="3" t="s">
        <v>27</v>
      </c>
      <c r="B17" s="3" t="s">
        <v>104</v>
      </c>
      <c r="C17" t="str" cm="1">
        <f t="array" ref="C17">GetFirstLetters(A17)</f>
        <v>WU</v>
      </c>
    </row>
    <row r="18" spans="1:3" ht="16.5" x14ac:dyDescent="0.45">
      <c r="A18" s="3" t="s">
        <v>121</v>
      </c>
      <c r="B18" s="3" t="s">
        <v>122</v>
      </c>
      <c r="C18" t="str" cm="1">
        <f t="array" ref="C18">GetFirstLetters(A18)</f>
        <v>SAN</v>
      </c>
    </row>
    <row r="19" spans="1:3" ht="16.5" x14ac:dyDescent="0.45">
      <c r="A19" s="3" t="s">
        <v>42</v>
      </c>
      <c r="B19" s="3" t="s">
        <v>123</v>
      </c>
      <c r="C19" t="str" cm="1">
        <f t="array" ref="C19">GetFirstLetters(A19)</f>
        <v>CI</v>
      </c>
    </row>
    <row r="20" spans="1:3" ht="16.5" x14ac:dyDescent="0.45">
      <c r="A20" s="3" t="s">
        <v>39</v>
      </c>
      <c r="B20" s="3" t="s">
        <v>124</v>
      </c>
      <c r="C20" t="str" cm="1">
        <f t="array" ref="C20">GetFirstLetters(A20)</f>
        <v>EA</v>
      </c>
    </row>
    <row r="21" spans="1:3" ht="16.5" x14ac:dyDescent="0.45">
      <c r="A21" s="3" t="s">
        <v>45</v>
      </c>
      <c r="B21" s="3" t="s">
        <v>125</v>
      </c>
      <c r="C21" t="str" cm="1">
        <f t="array" ref="C21">GetFirstLetters(A21)</f>
        <v>JE</v>
      </c>
    </row>
    <row r="22" spans="1:3" ht="16.5" x14ac:dyDescent="0.45">
      <c r="A22" s="3" t="s">
        <v>126</v>
      </c>
      <c r="B22" s="3" t="s">
        <v>127</v>
      </c>
      <c r="C22" t="str" cm="1">
        <f t="array" ref="C22">GetFirstLetters(A22)</f>
        <v>JIW</v>
      </c>
    </row>
    <row r="23" spans="1:3" ht="16.5" x14ac:dyDescent="0.45">
      <c r="A23" s="3" t="s">
        <v>47</v>
      </c>
      <c r="B23" s="3" t="s">
        <v>128</v>
      </c>
      <c r="C23" t="str" cm="1">
        <f t="array" ref="C23">GetFirstLetters(A23)</f>
        <v>KC</v>
      </c>
    </row>
    <row r="24" spans="1:3" ht="16.5" x14ac:dyDescent="0.45">
      <c r="A24" s="3" t="s">
        <v>30</v>
      </c>
      <c r="B24" s="3" t="s">
        <v>129</v>
      </c>
      <c r="C24" t="str" cm="1">
        <f t="array" ref="C24">GetFirstLetters(A24)</f>
        <v>CC</v>
      </c>
    </row>
    <row r="25" spans="1:3" ht="16.5" x14ac:dyDescent="0.45">
      <c r="A25" s="3" t="s">
        <v>36</v>
      </c>
      <c r="B25" s="3" t="s">
        <v>130</v>
      </c>
      <c r="C25" t="str" cm="1">
        <f t="array" ref="C25">GetFirstLetters(A25)</f>
        <v>FC</v>
      </c>
    </row>
    <row r="26" spans="1:3" ht="16.5" x14ac:dyDescent="0.45">
      <c r="A26" s="3" t="s">
        <v>131</v>
      </c>
      <c r="B26" s="3" t="s">
        <v>132</v>
      </c>
      <c r="C26" t="str" cm="1">
        <f t="array" ref="C26">GetFirstLetters(A26)</f>
        <v>GWC</v>
      </c>
    </row>
    <row r="27" spans="1:3" ht="16.5" x14ac:dyDescent="0.45">
      <c r="A27" s="3" t="s">
        <v>133</v>
      </c>
      <c r="B27" s="3" t="s">
        <v>134</v>
      </c>
      <c r="C27" t="str" cm="1">
        <f t="array" ref="C27">GetFirstLetters(A27)</f>
        <v>NE</v>
      </c>
    </row>
    <row r="28" spans="1:3" ht="16.5" x14ac:dyDescent="0.45">
      <c r="A28" s="3" t="s">
        <v>135</v>
      </c>
      <c r="B28" s="3" t="s">
        <v>136</v>
      </c>
      <c r="C28" t="str" cm="1">
        <f t="array" ref="C28">GetFirstLetters(A28)</f>
        <v>SN</v>
      </c>
    </row>
    <row r="29" spans="1:3" ht="16.5" x14ac:dyDescent="0.45">
      <c r="A29" s="3" t="s">
        <v>137</v>
      </c>
      <c r="B29" s="3" t="s">
        <v>138</v>
      </c>
      <c r="C29" t="str" cm="1">
        <f t="array" ref="C29">GetFirstLetters(A29)</f>
        <v>UN</v>
      </c>
    </row>
    <row r="30" spans="1:3" ht="16.5" x14ac:dyDescent="0.45">
      <c r="A30" s="3" t="s">
        <v>31</v>
      </c>
      <c r="B30" s="3" t="s">
        <v>139</v>
      </c>
      <c r="C30" t="str" cm="1">
        <f t="array" ref="C30">GetFirstLetters(A30)</f>
        <v>BS</v>
      </c>
    </row>
    <row r="31" spans="1:3" ht="16.5" x14ac:dyDescent="0.45">
      <c r="A31" s="3" t="s">
        <v>140</v>
      </c>
      <c r="B31" s="3" t="s">
        <v>141</v>
      </c>
      <c r="C31" t="str" cm="1">
        <f t="array" ref="C31">GetFirstLetters(A31)</f>
        <v>CU(</v>
      </c>
    </row>
    <row r="32" spans="1:3" ht="16.5" x14ac:dyDescent="0.45">
      <c r="A32" s="3" t="s">
        <v>142</v>
      </c>
      <c r="B32" s="3" t="s">
        <v>143</v>
      </c>
      <c r="C32" t="str" cm="1">
        <f t="array" ref="C32">GetFirstLetters(A32)</f>
        <v>EU(</v>
      </c>
    </row>
    <row r="33" spans="1:3" ht="16.5" x14ac:dyDescent="0.45">
      <c r="A33" s="3" t="s">
        <v>144</v>
      </c>
      <c r="B33" s="3" t="s">
        <v>145</v>
      </c>
      <c r="C33" t="str" cm="1">
        <f t="array" ref="C33">GetFirstLetters(A33)</f>
        <v>EU2(</v>
      </c>
    </row>
    <row r="34" spans="1:3" ht="16.5" x14ac:dyDescent="0.45">
      <c r="A34" s="3" t="s">
        <v>146</v>
      </c>
      <c r="B34" s="3" t="s">
        <v>147</v>
      </c>
      <c r="C34" t="str" cm="1">
        <f t="array" ref="C34">GetFirstLetters(A34)</f>
        <v>NCU(</v>
      </c>
    </row>
    <row r="35" spans="1:3" ht="16.5" x14ac:dyDescent="0.45">
      <c r="A35" s="3" t="s">
        <v>148</v>
      </c>
      <c r="B35" s="3" t="s">
        <v>149</v>
      </c>
      <c r="C35" t="str" cm="1">
        <f t="array" ref="C35">GetFirstLetters(A35)</f>
        <v>SCU(</v>
      </c>
    </row>
    <row r="36" spans="1:3" ht="16.5" x14ac:dyDescent="0.45">
      <c r="A36" s="3" t="s">
        <v>150</v>
      </c>
      <c r="B36" s="3" t="s">
        <v>151</v>
      </c>
      <c r="C36" t="str" cm="1">
        <f t="array" ref="C36">GetFirstLetters(A36)</f>
        <v>WU(</v>
      </c>
    </row>
    <row r="37" spans="1:3" ht="16.5" x14ac:dyDescent="0.45">
      <c r="A37" s="3" t="s">
        <v>152</v>
      </c>
      <c r="B37" s="3" t="s">
        <v>153</v>
      </c>
      <c r="C37" t="str" cm="1">
        <f t="array" ref="C37">GetFirstLetters(A37)</f>
        <v>WU2(</v>
      </c>
    </row>
    <row r="38" spans="1:3" ht="16.5" x14ac:dyDescent="0.45">
      <c r="A38" s="3" t="s">
        <v>154</v>
      </c>
      <c r="B38" s="3" t="s">
        <v>155</v>
      </c>
      <c r="C38" t="str">
        <f>LEFT(A38,2)</f>
        <v>As</v>
      </c>
    </row>
    <row r="39" spans="1:3" ht="16.5" x14ac:dyDescent="0.45">
      <c r="A39" s="3" t="s">
        <v>156</v>
      </c>
      <c r="B39" s="3" t="s">
        <v>157</v>
      </c>
      <c r="C39" t="str" cm="1">
        <f t="array" ref="C39">GetFirstLetters(A39)</f>
        <v>AP</v>
      </c>
    </row>
    <row r="40" spans="1:3" ht="16.5" x14ac:dyDescent="0.45">
      <c r="A40" s="3" t="s">
        <v>158</v>
      </c>
      <c r="B40" s="3" t="s">
        <v>159</v>
      </c>
      <c r="C40" t="str">
        <f t="shared" ref="C40:C50" si="0">LEFT(A40,2)</f>
        <v>Au</v>
      </c>
    </row>
    <row r="41" spans="1:3" ht="16.5" x14ac:dyDescent="0.45">
      <c r="A41" s="3" t="s">
        <v>160</v>
      </c>
      <c r="B41" s="3" t="s">
        <v>161</v>
      </c>
      <c r="C41" t="str">
        <f t="shared" si="0"/>
        <v>Br</v>
      </c>
    </row>
    <row r="42" spans="1:3" ht="16.5" x14ac:dyDescent="0.45">
      <c r="A42" s="3" t="s">
        <v>162</v>
      </c>
      <c r="B42" s="3" t="s">
        <v>163</v>
      </c>
      <c r="C42" t="str">
        <f t="shared" si="0"/>
        <v>Ca</v>
      </c>
    </row>
    <row r="43" spans="1:3" ht="16.5" x14ac:dyDescent="0.45">
      <c r="A43" s="3" t="s">
        <v>164</v>
      </c>
      <c r="B43" s="3" t="s">
        <v>165</v>
      </c>
      <c r="C43" t="str">
        <f t="shared" si="0"/>
        <v>Eu</v>
      </c>
    </row>
    <row r="44" spans="1:3" ht="16.5" x14ac:dyDescent="0.45">
      <c r="A44" s="3" t="s">
        <v>166</v>
      </c>
      <c r="B44" s="3" t="s">
        <v>167</v>
      </c>
      <c r="C44" t="str">
        <f t="shared" si="0"/>
        <v>Fr</v>
      </c>
    </row>
    <row r="45" spans="1:3" ht="16.5" x14ac:dyDescent="0.45">
      <c r="A45" s="3" t="s">
        <v>168</v>
      </c>
      <c r="B45" s="3" t="s">
        <v>169</v>
      </c>
      <c r="C45" t="str">
        <f t="shared" si="0"/>
        <v>Ge</v>
      </c>
    </row>
    <row r="46" spans="1:3" ht="16.5" x14ac:dyDescent="0.45">
      <c r="A46" s="3" t="s">
        <v>89</v>
      </c>
      <c r="B46" s="3" t="s">
        <v>170</v>
      </c>
      <c r="C46" t="str">
        <f t="shared" si="0"/>
        <v>Gl</v>
      </c>
    </row>
    <row r="47" spans="1:3" ht="16.5" x14ac:dyDescent="0.45">
      <c r="A47" s="3" t="s">
        <v>171</v>
      </c>
      <c r="B47" s="3" t="s">
        <v>172</v>
      </c>
      <c r="C47" t="str">
        <f t="shared" si="0"/>
        <v>In</v>
      </c>
    </row>
    <row r="48" spans="1:3" ht="16.5" x14ac:dyDescent="0.45">
      <c r="A48" s="3" t="s">
        <v>173</v>
      </c>
      <c r="B48" s="3" t="s">
        <v>174</v>
      </c>
      <c r="C48" t="str">
        <f t="shared" si="0"/>
        <v>Ja</v>
      </c>
    </row>
    <row r="49" spans="1:3" ht="16.5" x14ac:dyDescent="0.45">
      <c r="A49" s="3" t="s">
        <v>175</v>
      </c>
      <c r="B49" s="3" t="s">
        <v>176</v>
      </c>
      <c r="C49" t="str">
        <f t="shared" si="0"/>
        <v>Ko</v>
      </c>
    </row>
    <row r="50" spans="1:3" ht="16.5" x14ac:dyDescent="0.45">
      <c r="A50" s="3" t="s">
        <v>177</v>
      </c>
      <c r="B50" s="3" t="s">
        <v>178</v>
      </c>
      <c r="C50" t="str">
        <f t="shared" si="0"/>
        <v>No</v>
      </c>
    </row>
    <row r="51" spans="1:3" ht="16.5" x14ac:dyDescent="0.45">
      <c r="A51" s="3" t="s">
        <v>179</v>
      </c>
      <c r="B51" s="3" t="s">
        <v>180</v>
      </c>
      <c r="C51" t="str" cm="1">
        <f t="array" ref="C51">GetFirstLetters(A51)</f>
        <v>SA</v>
      </c>
    </row>
    <row r="52" spans="1:3" ht="16.5" x14ac:dyDescent="0.45">
      <c r="A52" s="3" t="s">
        <v>181</v>
      </c>
      <c r="B52" s="3" t="s">
        <v>182</v>
      </c>
      <c r="C52" t="str">
        <f>LEFT(A52,2)</f>
        <v>Sw</v>
      </c>
    </row>
    <row r="53" spans="1:3" ht="16.5" x14ac:dyDescent="0.45">
      <c r="A53" s="3" t="s">
        <v>183</v>
      </c>
      <c r="B53" s="3" t="s">
        <v>184</v>
      </c>
      <c r="C53" t="str" cm="1">
        <f t="array" ref="C53">GetFirstLetters(A53)</f>
        <v>UAE</v>
      </c>
    </row>
    <row r="54" spans="1:3" ht="16.5" x14ac:dyDescent="0.45">
      <c r="A54" s="3" t="s">
        <v>185</v>
      </c>
      <c r="B54" s="3" t="s">
        <v>52</v>
      </c>
      <c r="C54" t="str" cm="1">
        <f t="array" ref="C54">GetFirstLetters(A54)</f>
        <v>UK</v>
      </c>
    </row>
    <row r="55" spans="1:3" ht="16.5" x14ac:dyDescent="0.45">
      <c r="A55" s="3" t="s">
        <v>186</v>
      </c>
      <c r="B55" s="3" t="s">
        <v>187</v>
      </c>
      <c r="C55" t="str" cm="1">
        <f t="array" ref="C55">GetFirstLetters(A55)</f>
        <v>US</v>
      </c>
    </row>
    <row r="56" spans="1:3" ht="16.5" x14ac:dyDescent="0.45">
      <c r="A56" s="3" t="s">
        <v>188</v>
      </c>
      <c r="B56" s="3" t="s">
        <v>189</v>
      </c>
      <c r="C56" t="str" cm="1">
        <f t="array" ref="C56">GetFirstLetters(A56)</f>
        <v>USE</v>
      </c>
    </row>
    <row r="57" spans="1:3" ht="16.5" x14ac:dyDescent="0.45">
      <c r="A57" s="3" t="s">
        <v>190</v>
      </c>
      <c r="B57" s="3" t="s">
        <v>191</v>
      </c>
      <c r="C57" t="str" cm="1">
        <f t="array" ref="C57">GetFirstLetters(A57)</f>
        <v>EA(</v>
      </c>
    </row>
    <row r="58" spans="1:3" ht="16.5" x14ac:dyDescent="0.45">
      <c r="A58" s="3" t="s">
        <v>192</v>
      </c>
      <c r="B58" s="3" t="s">
        <v>193</v>
      </c>
      <c r="C58" t="str" cm="1">
        <f t="array" ref="C58">GetFirstLetters(A58)</f>
        <v>SA(</v>
      </c>
    </row>
    <row r="59" spans="1:3" ht="16.5" x14ac:dyDescent="0.45">
      <c r="A59" s="3" t="s">
        <v>194</v>
      </c>
      <c r="B59" s="3" t="s">
        <v>195</v>
      </c>
      <c r="C59" t="str" cm="1">
        <f t="array" ref="C59">GetFirstLetters(A59)</f>
        <v>CUE</v>
      </c>
    </row>
    <row r="60" spans="1:3" ht="16.5" x14ac:dyDescent="0.45">
      <c r="A60" s="3" t="s">
        <v>196</v>
      </c>
      <c r="B60" s="3" t="s">
        <v>197</v>
      </c>
      <c r="C60" t="str" cm="1">
        <f t="array" ref="C60">GetFirstLetters(A60)</f>
        <v>EU2E</v>
      </c>
    </row>
    <row r="61" spans="1:3" ht="16.5" x14ac:dyDescent="0.45">
      <c r="A61" s="3" t="s">
        <v>26</v>
      </c>
      <c r="B61" s="3" t="s">
        <v>198</v>
      </c>
      <c r="C61" t="str" cm="1">
        <f t="array" ref="C61">GetFirstLetters(A61)</f>
        <v>WCU</v>
      </c>
    </row>
    <row r="62" spans="1:3" ht="16.5" x14ac:dyDescent="0.45">
      <c r="A62" s="3" t="s">
        <v>199</v>
      </c>
      <c r="B62" s="3" t="s">
        <v>200</v>
      </c>
      <c r="C62" t="str" cm="1">
        <f t="array" ref="C62">GetFirstLetters(A62)</f>
        <v>SAW</v>
      </c>
    </row>
    <row r="63" spans="1:3" ht="16.5" x14ac:dyDescent="0.45">
      <c r="A63" s="3" t="s">
        <v>201</v>
      </c>
      <c r="B63" s="3" t="s">
        <v>202</v>
      </c>
      <c r="C63" t="str" cm="1">
        <f t="array" ref="C63">GetFirstLetters(A63)</f>
        <v>AC</v>
      </c>
    </row>
    <row r="64" spans="1:3" ht="16.5" x14ac:dyDescent="0.45">
      <c r="A64" s="3" t="s">
        <v>203</v>
      </c>
      <c r="B64" s="3" t="s">
        <v>204</v>
      </c>
      <c r="C64" t="str" cm="1">
        <f t="array" ref="C64">GetFirstLetters(A64)</f>
        <v>AC2</v>
      </c>
    </row>
    <row r="65" spans="1:3" ht="16.5" x14ac:dyDescent="0.45">
      <c r="A65" s="3" t="s">
        <v>41</v>
      </c>
      <c r="B65" s="3" t="s">
        <v>205</v>
      </c>
      <c r="C65" t="str" cm="1">
        <f t="array" ref="C65">GetFirstLetters(A65)</f>
        <v>AS</v>
      </c>
    </row>
    <row r="66" spans="1:3" ht="16.5" x14ac:dyDescent="0.45">
      <c r="A66" s="3" t="s">
        <v>46</v>
      </c>
      <c r="B66" s="3" t="s">
        <v>206</v>
      </c>
      <c r="C66" t="str" cm="1">
        <f t="array" ref="C66">GetFirstLetters(A66)</f>
        <v>JW</v>
      </c>
    </row>
    <row r="67" spans="1:3" ht="16.5" x14ac:dyDescent="0.45">
      <c r="A67" s="3" t="s">
        <v>207</v>
      </c>
      <c r="B67" s="3" t="s">
        <v>208</v>
      </c>
      <c r="C67" t="str" cm="1">
        <f t="array" ref="C67">GetFirstLetters(A67)</f>
        <v>JIC</v>
      </c>
    </row>
    <row r="68" spans="1:3" ht="16.5" x14ac:dyDescent="0.45">
      <c r="A68" s="3" t="s">
        <v>48</v>
      </c>
      <c r="B68" s="3" t="s">
        <v>209</v>
      </c>
      <c r="C68" t="str" cm="1">
        <f t="array" ref="C68">GetFirstLetters(A68)</f>
        <v>KS</v>
      </c>
    </row>
    <row r="69" spans="1:3" ht="16.5" x14ac:dyDescent="0.45">
      <c r="A69" s="3" t="s">
        <v>44</v>
      </c>
      <c r="B69" s="3" t="s">
        <v>210</v>
      </c>
      <c r="C69" t="str" cm="1">
        <f t="array" ref="C69">GetFirstLetters(A69)</f>
        <v>SI</v>
      </c>
    </row>
    <row r="70" spans="1:3" ht="16.5" x14ac:dyDescent="0.45">
      <c r="A70" s="3" t="s">
        <v>43</v>
      </c>
      <c r="B70" s="3" t="s">
        <v>211</v>
      </c>
      <c r="C70" t="str" cm="1">
        <f t="array" ref="C70">GetFirstLetters(A70)</f>
        <v>WI</v>
      </c>
    </row>
    <row r="71" spans="1:3" ht="16.5" x14ac:dyDescent="0.45">
      <c r="A71" s="3" t="s">
        <v>29</v>
      </c>
      <c r="B71" s="3" t="s">
        <v>212</v>
      </c>
      <c r="C71" t="str" cm="1">
        <f t="array" ref="C71">GetFirstLetters(A71)</f>
        <v>CE</v>
      </c>
    </row>
    <row r="72" spans="1:3" ht="16.5" x14ac:dyDescent="0.45">
      <c r="A72" s="3" t="s">
        <v>37</v>
      </c>
      <c r="B72" s="3" t="s">
        <v>213</v>
      </c>
      <c r="C72" t="str" cm="1">
        <f t="array" ref="C72">GetFirstLetters(A72)</f>
        <v>FS</v>
      </c>
    </row>
    <row r="73" spans="1:3" ht="16.5" x14ac:dyDescent="0.45">
      <c r="A73" s="3" t="s">
        <v>214</v>
      </c>
      <c r="B73" s="3" t="s">
        <v>215</v>
      </c>
      <c r="C73" t="str" cm="1">
        <f t="array" ref="C73">GetFirstLetters(A73)</f>
        <v>GN</v>
      </c>
    </row>
    <row r="74" spans="1:3" ht="16.5" x14ac:dyDescent="0.45">
      <c r="A74" s="3" t="s">
        <v>216</v>
      </c>
      <c r="B74" s="3" t="s">
        <v>217</v>
      </c>
      <c r="C74" t="str" cm="1">
        <f t="array" ref="C74">GetFirstLetters(A74)</f>
        <v>NW</v>
      </c>
    </row>
    <row r="75" spans="1:3" ht="16.5" x14ac:dyDescent="0.45">
      <c r="A75" s="3" t="s">
        <v>218</v>
      </c>
      <c r="B75" s="3" t="s">
        <v>219</v>
      </c>
      <c r="C75" t="str" cm="1">
        <f t="array" ref="C75">GetFirstLetters(A75)</f>
        <v>SW</v>
      </c>
    </row>
    <row r="76" spans="1:3" ht="16.5" x14ac:dyDescent="0.45">
      <c r="A76" s="3" t="s">
        <v>34</v>
      </c>
      <c r="B76" s="3" t="s">
        <v>220</v>
      </c>
      <c r="C76" t="str" cm="1">
        <f t="array" ref="C76">GetFirstLetters(A76)</f>
        <v>UW</v>
      </c>
    </row>
    <row r="77" spans="1:3" ht="16.5" x14ac:dyDescent="0.45">
      <c r="A77" s="3" t="s">
        <v>221</v>
      </c>
      <c r="B77" s="3" t="s">
        <v>222</v>
      </c>
      <c r="C77" t="str" cm="1">
        <f t="array" ref="C77">GetFirstLetters(A77)</f>
        <v>UC</v>
      </c>
    </row>
    <row r="78" spans="1:3" ht="16.5" x14ac:dyDescent="0.45">
      <c r="A78" s="3" t="s">
        <v>223</v>
      </c>
      <c r="B78" s="3" t="s">
        <v>224</v>
      </c>
      <c r="C78" t="str" cm="1">
        <f t="array" ref="C78">GetFirstLetters(A78)</f>
        <v>BS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7"/>
  <sheetViews>
    <sheetView workbookViewId="0">
      <selection activeCell="A8" sqref="A8"/>
    </sheetView>
  </sheetViews>
  <sheetFormatPr defaultRowHeight="14.5" x14ac:dyDescent="0.35"/>
  <cols>
    <col min="1" max="1" width="40.6328125" customWidth="1"/>
    <col min="2" max="2" width="30.1796875" customWidth="1"/>
    <col min="3" max="3" width="26.7265625" customWidth="1"/>
    <col min="4" max="4" width="14.6328125" customWidth="1"/>
  </cols>
  <sheetData>
    <row r="1" spans="1:4" ht="32.5" x14ac:dyDescent="0.85">
      <c r="A1" s="29" t="s">
        <v>56</v>
      </c>
      <c r="B1" s="29"/>
      <c r="C1" s="29"/>
      <c r="D1" s="29"/>
    </row>
    <row r="2" spans="1:4" ht="16.5" x14ac:dyDescent="0.35">
      <c r="A2" s="1" t="s">
        <v>54</v>
      </c>
      <c r="B2" s="1"/>
      <c r="C2" s="1"/>
      <c r="D2" s="1"/>
    </row>
    <row r="3" spans="1:4" ht="16.5" x14ac:dyDescent="0.45">
      <c r="A3" s="13" t="s">
        <v>57</v>
      </c>
      <c r="B3" s="13" t="s">
        <v>58</v>
      </c>
      <c r="C3" s="13" t="s">
        <v>59</v>
      </c>
      <c r="D3" s="13" t="s">
        <v>60</v>
      </c>
    </row>
    <row r="4" spans="1:4" ht="16.5" x14ac:dyDescent="0.45">
      <c r="A4" s="3" t="s">
        <v>5</v>
      </c>
      <c r="B4" s="3" t="s">
        <v>62</v>
      </c>
      <c r="C4" s="3" t="s">
        <v>6</v>
      </c>
      <c r="D4" s="5">
        <v>1</v>
      </c>
    </row>
    <row r="5" spans="1:4" ht="16.5" x14ac:dyDescent="0.45">
      <c r="A5" s="3" t="s">
        <v>61</v>
      </c>
      <c r="B5" s="3" t="s">
        <v>63</v>
      </c>
      <c r="C5" s="3" t="s">
        <v>65</v>
      </c>
      <c r="D5" s="5">
        <f>D4+1</f>
        <v>2</v>
      </c>
    </row>
    <row r="6" spans="1:4" ht="16.5" x14ac:dyDescent="0.45">
      <c r="A6" s="3" t="s">
        <v>3</v>
      </c>
      <c r="B6" s="3" t="s">
        <v>53</v>
      </c>
      <c r="C6" s="3" t="s">
        <v>4</v>
      </c>
      <c r="D6" s="5">
        <f t="shared" ref="D6:D7" si="0">D5+1</f>
        <v>3</v>
      </c>
    </row>
    <row r="7" spans="1:4" ht="16.5" x14ac:dyDescent="0.45">
      <c r="A7" s="3" t="s">
        <v>1</v>
      </c>
      <c r="B7" s="3" t="s">
        <v>64</v>
      </c>
      <c r="C7" s="3" t="s">
        <v>2</v>
      </c>
      <c r="D7" s="5">
        <f t="shared" si="0"/>
        <v>4</v>
      </c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F134"/>
  <sheetViews>
    <sheetView workbookViewId="0">
      <selection activeCell="F135" sqref="F135"/>
    </sheetView>
  </sheetViews>
  <sheetFormatPr defaultRowHeight="16.5" x14ac:dyDescent="0.45"/>
  <cols>
    <col min="1" max="1" width="29.7265625" style="3" customWidth="1"/>
    <col min="2" max="2" width="47.08984375" style="3" customWidth="1"/>
    <col min="3" max="3" width="26.90625" style="3" customWidth="1"/>
    <col min="4" max="4" width="25.26953125" customWidth="1"/>
    <col min="5" max="5" width="28.6328125" customWidth="1"/>
    <col min="6" max="6" width="34.7265625" customWidth="1"/>
  </cols>
  <sheetData>
    <row r="1" spans="1:6" ht="32.5" x14ac:dyDescent="0.85">
      <c r="A1" s="29" t="s">
        <v>79</v>
      </c>
      <c r="B1" s="29"/>
      <c r="C1" s="29"/>
      <c r="D1" s="29"/>
      <c r="E1" s="29"/>
      <c r="F1" s="29"/>
    </row>
    <row r="2" spans="1:6" x14ac:dyDescent="0.35">
      <c r="A2" s="1" t="s">
        <v>54</v>
      </c>
      <c r="B2" s="30" t="s">
        <v>55</v>
      </c>
      <c r="C2" s="30"/>
      <c r="D2" s="30"/>
      <c r="E2" s="30"/>
      <c r="F2" s="30"/>
    </row>
    <row r="3" spans="1:6" x14ac:dyDescent="0.45">
      <c r="A3" s="20" t="s">
        <v>228</v>
      </c>
      <c r="B3" s="20" t="s">
        <v>229</v>
      </c>
      <c r="C3" s="20" t="s">
        <v>230</v>
      </c>
      <c r="D3" s="13" t="s">
        <v>88</v>
      </c>
      <c r="E3" s="13" t="s">
        <v>67</v>
      </c>
      <c r="F3" s="13" t="s">
        <v>68</v>
      </c>
    </row>
    <row r="4" spans="1:6" x14ac:dyDescent="0.45">
      <c r="A4" s="21" t="s">
        <v>231</v>
      </c>
      <c r="B4" s="21" t="s">
        <v>232</v>
      </c>
      <c r="C4" s="21" t="s">
        <v>233</v>
      </c>
      <c r="D4" s="3" t="str">
        <f>VLOOKUP(A4,ResourcesNameLimits!$A$4:$F$1500,2,FALSE)</f>
        <v>global</v>
      </c>
      <c r="E4" s="3">
        <f>VLOOKUP(A4,ResourcesNameLimits!$A$4:$F$1500,3,FALSE)</f>
        <v>50</v>
      </c>
      <c r="F4" s="3" t="str">
        <f>VLOOKUP(A4,ResourcesNameLimits!$A$4:$F$1500,4,FALSE)</f>
        <v>^[a-zA-Z0-9_-]{1,50}$</v>
      </c>
    </row>
    <row r="5" spans="1:6" x14ac:dyDescent="0.45">
      <c r="A5" s="21" t="s">
        <v>234</v>
      </c>
      <c r="B5" s="21" t="s">
        <v>235</v>
      </c>
      <c r="C5" s="21" t="s">
        <v>236</v>
      </c>
      <c r="D5" s="3" t="e">
        <f>VLOOKUP(A5,ResourcesNameLimits!$A$4:$F$1500,2,FALSE)</f>
        <v>#N/A</v>
      </c>
      <c r="E5" s="3" t="e">
        <f>VLOOKUP(A5,ResourcesNameLimits!$A$4:$F$1500,3,FALSE)</f>
        <v>#N/A</v>
      </c>
      <c r="F5" s="3" t="e">
        <f>VLOOKUP(A5,ResourcesNameLimits!$A$4:$F$1500,4,FALSE)</f>
        <v>#N/A</v>
      </c>
    </row>
    <row r="6" spans="1:6" x14ac:dyDescent="0.45">
      <c r="A6" s="21" t="s">
        <v>237</v>
      </c>
      <c r="B6" s="21" t="s">
        <v>238</v>
      </c>
      <c r="C6" s="21" t="s">
        <v>239</v>
      </c>
      <c r="D6" s="3" t="e">
        <f>VLOOKUP(A6,ResourcesNameLimits!$A$4:$F$1500,2,FALSE)</f>
        <v>#N/A</v>
      </c>
      <c r="E6" s="3" t="e">
        <f>VLOOKUP(A6,ResourcesNameLimits!$A$4:$F$1500,3,FALSE)</f>
        <v>#N/A</v>
      </c>
      <c r="F6" s="3" t="e">
        <f>VLOOKUP(A6,ResourcesNameLimits!$A$4:$F$1500,4,FALSE)</f>
        <v>#N/A</v>
      </c>
    </row>
    <row r="7" spans="1:6" x14ac:dyDescent="0.45">
      <c r="A7" s="21" t="s">
        <v>240</v>
      </c>
      <c r="B7" s="21" t="s">
        <v>241</v>
      </c>
      <c r="C7" s="21" t="s">
        <v>242</v>
      </c>
      <c r="D7" s="3" t="e">
        <f>VLOOKUP(A7,ResourcesNameLimits!$A$4:$F$1500,2,FALSE)</f>
        <v>#N/A</v>
      </c>
      <c r="E7" s="3" t="e">
        <f>VLOOKUP(A7,ResourcesNameLimits!$A$4:$F$1500,3,FALSE)</f>
        <v>#N/A</v>
      </c>
      <c r="F7" s="3" t="e">
        <f>VLOOKUP(A7,ResourcesNameLimits!$A$4:$F$1500,4,FALSE)</f>
        <v>#N/A</v>
      </c>
    </row>
    <row r="8" spans="1:6" x14ac:dyDescent="0.45">
      <c r="A8" s="21" t="s">
        <v>243</v>
      </c>
      <c r="B8" s="21" t="s">
        <v>244</v>
      </c>
      <c r="C8" s="21" t="s">
        <v>245</v>
      </c>
      <c r="D8" s="3" t="str">
        <f>VLOOKUP(A8,ResourcesNameLimits!$A$4:$F$1500,2,FALSE)</f>
        <v>Global</v>
      </c>
      <c r="E8" s="3">
        <f>VLOOKUP(A8,ResourcesNameLimits!$A$4:$F$1500,3,FALSE)</f>
        <v>64</v>
      </c>
      <c r="F8" s="3" t="str">
        <f>VLOOKUP(A8,ResourcesNameLimits!$A$4:$F$1500,4,FALSE)</f>
        <v>^[a-zA-Z0-9_-]{1,64}$</v>
      </c>
    </row>
    <row r="9" spans="1:6" x14ac:dyDescent="0.45">
      <c r="A9" s="21" t="s">
        <v>246</v>
      </c>
      <c r="B9" s="21" t="s">
        <v>247</v>
      </c>
      <c r="C9" s="21" t="s">
        <v>248</v>
      </c>
      <c r="D9" s="3" t="str">
        <f>VLOOKUP(A9,ResourcesNameLimits!$A$4:$F$1500,2,FALSE)</f>
        <v>Resource Group</v>
      </c>
      <c r="E9" s="3">
        <f>VLOOKUP(A9,ResourcesNameLimits!$A$4:$F$1500,3,FALSE)</f>
        <v>80</v>
      </c>
      <c r="F9" s="3" t="str">
        <f>VLOOKUP(A9,ResourcesNameLimits!$A$4:$F$1500,4,FALSE)</f>
        <v>^[a-zA-Z0-9_-\.]{1,80}$</v>
      </c>
    </row>
    <row r="10" spans="1:6" x14ac:dyDescent="0.45">
      <c r="A10" s="21" t="s">
        <v>249</v>
      </c>
      <c r="B10" s="21" t="s">
        <v>250</v>
      </c>
      <c r="C10" s="21" t="s">
        <v>251</v>
      </c>
      <c r="D10" s="3" t="e">
        <f>VLOOKUP(A10,ResourcesNameLimits!$A$4:$F$1500,2,FALSE)</f>
        <v>#N/A</v>
      </c>
      <c r="E10" s="3" t="e">
        <f>VLOOKUP(A10,ResourcesNameLimits!$A$4:$F$1500,3,FALSE)</f>
        <v>#N/A</v>
      </c>
      <c r="F10" s="3" t="e">
        <f>VLOOKUP(A10,ResourcesNameLimits!$A$4:$F$1500,4,FALSE)</f>
        <v>#N/A</v>
      </c>
    </row>
    <row r="11" spans="1:6" x14ac:dyDescent="0.45">
      <c r="A11" s="21" t="s">
        <v>252</v>
      </c>
      <c r="B11" s="21" t="s">
        <v>253</v>
      </c>
      <c r="C11" s="21" t="s">
        <v>254</v>
      </c>
      <c r="D11" s="3" t="e">
        <f>VLOOKUP(A11,ResourcesNameLimits!$A$4:$F$1500,2,FALSE)</f>
        <v>#N/A</v>
      </c>
      <c r="E11" s="3" t="e">
        <f>VLOOKUP(A11,ResourcesNameLimits!$A$4:$F$1500,3,FALSE)</f>
        <v>#N/A</v>
      </c>
      <c r="F11" s="3" t="e">
        <f>VLOOKUP(A11,ResourcesNameLimits!$A$4:$F$1500,4,FALSE)</f>
        <v>#N/A</v>
      </c>
    </row>
    <row r="12" spans="1:6" x14ac:dyDescent="0.45">
      <c r="A12" s="21" t="s">
        <v>255</v>
      </c>
      <c r="B12" s="21" t="s">
        <v>256</v>
      </c>
      <c r="C12" s="21" t="s">
        <v>257</v>
      </c>
      <c r="D12" s="3" t="e">
        <f>VLOOKUP(A12,ResourcesNameLimits!$A$4:$F$1500,2,FALSE)</f>
        <v>#N/A</v>
      </c>
      <c r="E12" s="3" t="e">
        <f>VLOOKUP(A12,ResourcesNameLimits!$A$4:$F$1500,3,FALSE)</f>
        <v>#N/A</v>
      </c>
      <c r="F12" s="3" t="e">
        <f>VLOOKUP(A12,ResourcesNameLimits!$A$4:$F$1500,4,FALSE)</f>
        <v>#N/A</v>
      </c>
    </row>
    <row r="13" spans="1:6" x14ac:dyDescent="0.45">
      <c r="A13" s="21" t="s">
        <v>258</v>
      </c>
      <c r="B13" s="21" t="s">
        <v>259</v>
      </c>
      <c r="C13" s="21" t="s">
        <v>260</v>
      </c>
      <c r="D13" s="3" t="e">
        <f>VLOOKUP(A13,ResourcesNameLimits!$A$4:$F$1500,2,FALSE)</f>
        <v>#N/A</v>
      </c>
      <c r="E13" s="3" t="e">
        <f>VLOOKUP(A13,ResourcesNameLimits!$A$4:$F$1500,3,FALSE)</f>
        <v>#N/A</v>
      </c>
      <c r="F13" s="3" t="e">
        <f>VLOOKUP(A13,ResourcesNameLimits!$A$4:$F$1500,4,FALSE)</f>
        <v>#N/A</v>
      </c>
    </row>
    <row r="14" spans="1:6" x14ac:dyDescent="0.45">
      <c r="A14" s="21" t="s">
        <v>261</v>
      </c>
      <c r="B14" s="21" t="s">
        <v>262</v>
      </c>
      <c r="C14" s="21" t="s">
        <v>263</v>
      </c>
      <c r="D14" s="3" t="e">
        <f>VLOOKUP(A14,ResourcesNameLimits!$A$4:$F$1500,2,FALSE)</f>
        <v>#N/A</v>
      </c>
      <c r="E14" s="3" t="e">
        <f>VLOOKUP(A14,ResourcesNameLimits!$A$4:$F$1500,3,FALSE)</f>
        <v>#N/A</v>
      </c>
      <c r="F14" s="3" t="e">
        <f>VLOOKUP(A14,ResourcesNameLimits!$A$4:$F$1500,4,FALSE)</f>
        <v>#N/A</v>
      </c>
    </row>
    <row r="15" spans="1:6" x14ac:dyDescent="0.45">
      <c r="A15" s="21" t="s">
        <v>264</v>
      </c>
      <c r="B15" s="21" t="s">
        <v>265</v>
      </c>
      <c r="C15" s="21" t="s">
        <v>266</v>
      </c>
      <c r="D15" s="3" t="e">
        <f>VLOOKUP(A15,ResourcesNameLimits!$A$4:$F$1500,2,FALSE)</f>
        <v>#N/A</v>
      </c>
      <c r="E15" s="3" t="e">
        <f>VLOOKUP(A15,ResourcesNameLimits!$A$4:$F$1500,3,FALSE)</f>
        <v>#N/A</v>
      </c>
      <c r="F15" s="3" t="e">
        <f>VLOOKUP(A15,ResourcesNameLimits!$A$4:$F$1500,4,FALSE)</f>
        <v>#N/A</v>
      </c>
    </row>
    <row r="16" spans="1:6" x14ac:dyDescent="0.45">
      <c r="A16" s="21" t="s">
        <v>267</v>
      </c>
      <c r="B16" s="21" t="s">
        <v>268</v>
      </c>
      <c r="C16" s="21" t="s">
        <v>269</v>
      </c>
      <c r="D16" s="3" t="e">
        <f>VLOOKUP(A16,ResourcesNameLimits!$A$4:$F$1500,2,FALSE)</f>
        <v>#N/A</v>
      </c>
      <c r="E16" s="3" t="e">
        <f>VLOOKUP(A16,ResourcesNameLimits!$A$4:$F$1500,3,FALSE)</f>
        <v>#N/A</v>
      </c>
      <c r="F16" s="3" t="e">
        <f>VLOOKUP(A16,ResourcesNameLimits!$A$4:$F$1500,4,FALSE)</f>
        <v>#N/A</v>
      </c>
    </row>
    <row r="17" spans="1:6" x14ac:dyDescent="0.45">
      <c r="A17" s="21" t="s">
        <v>270</v>
      </c>
      <c r="B17" s="21" t="s">
        <v>271</v>
      </c>
      <c r="C17" s="21" t="s">
        <v>272</v>
      </c>
      <c r="D17" s="3" t="e">
        <f>VLOOKUP(A17,ResourcesNameLimits!$A$4:$F$1500,2,FALSE)</f>
        <v>#N/A</v>
      </c>
      <c r="E17" s="3" t="e">
        <f>VLOOKUP(A17,ResourcesNameLimits!$A$4:$F$1500,3,FALSE)</f>
        <v>#N/A</v>
      </c>
      <c r="F17" s="3" t="e">
        <f>VLOOKUP(A17,ResourcesNameLimits!$A$4:$F$1500,4,FALSE)</f>
        <v>#N/A</v>
      </c>
    </row>
    <row r="18" spans="1:6" x14ac:dyDescent="0.45">
      <c r="A18" s="21" t="s">
        <v>273</v>
      </c>
      <c r="B18" s="21" t="s">
        <v>274</v>
      </c>
      <c r="C18" s="21" t="s">
        <v>275</v>
      </c>
      <c r="D18" s="3" t="e">
        <f>VLOOKUP(A18,ResourcesNameLimits!$A$4:$F$1500,2,FALSE)</f>
        <v>#N/A</v>
      </c>
      <c r="E18" s="3" t="e">
        <f>VLOOKUP(A18,ResourcesNameLimits!$A$4:$F$1500,3,FALSE)</f>
        <v>#N/A</v>
      </c>
      <c r="F18" s="3" t="e">
        <f>VLOOKUP(A18,ResourcesNameLimits!$A$4:$F$1500,4,FALSE)</f>
        <v>#N/A</v>
      </c>
    </row>
    <row r="19" spans="1:6" x14ac:dyDescent="0.45">
      <c r="A19" s="21" t="s">
        <v>276</v>
      </c>
      <c r="B19" s="21" t="s">
        <v>277</v>
      </c>
      <c r="C19" s="21" t="s">
        <v>278</v>
      </c>
      <c r="D19" s="3" t="e">
        <f>VLOOKUP(A19,ResourcesNameLimits!$A$4:$F$1500,2,FALSE)</f>
        <v>#N/A</v>
      </c>
      <c r="E19" s="3" t="e">
        <f>VLOOKUP(A19,ResourcesNameLimits!$A$4:$F$1500,3,FALSE)</f>
        <v>#N/A</v>
      </c>
      <c r="F19" s="3" t="e">
        <f>VLOOKUP(A19,ResourcesNameLimits!$A$4:$F$1500,4,FALSE)</f>
        <v>#N/A</v>
      </c>
    </row>
    <row r="20" spans="1:6" x14ac:dyDescent="0.45">
      <c r="A20" s="21" t="s">
        <v>279</v>
      </c>
      <c r="B20" s="21" t="s">
        <v>280</v>
      </c>
      <c r="C20" s="21" t="s">
        <v>281</v>
      </c>
      <c r="D20" s="3" t="e">
        <f>VLOOKUP(A20,ResourcesNameLimits!$A$4:$F$1500,2,FALSE)</f>
        <v>#N/A</v>
      </c>
      <c r="E20" s="3" t="e">
        <f>VLOOKUP(A20,ResourcesNameLimits!$A$4:$F$1500,3,FALSE)</f>
        <v>#N/A</v>
      </c>
      <c r="F20" s="3" t="e">
        <f>VLOOKUP(A20,ResourcesNameLimits!$A$4:$F$1500,4,FALSE)</f>
        <v>#N/A</v>
      </c>
    </row>
    <row r="21" spans="1:6" x14ac:dyDescent="0.45">
      <c r="A21" s="21" t="s">
        <v>282</v>
      </c>
      <c r="B21" s="21" t="s">
        <v>283</v>
      </c>
      <c r="C21" s="21" t="s">
        <v>284</v>
      </c>
      <c r="D21" s="3" t="e">
        <f>VLOOKUP(A21,ResourcesNameLimits!$A$4:$F$1500,2,FALSE)</f>
        <v>#N/A</v>
      </c>
      <c r="E21" s="3" t="e">
        <f>VLOOKUP(A21,ResourcesNameLimits!$A$4:$F$1500,3,FALSE)</f>
        <v>#N/A</v>
      </c>
      <c r="F21" s="3" t="e">
        <f>VLOOKUP(A21,ResourcesNameLimits!$A$4:$F$1500,4,FALSE)</f>
        <v>#N/A</v>
      </c>
    </row>
    <row r="22" spans="1:6" x14ac:dyDescent="0.45">
      <c r="A22" s="21" t="s">
        <v>285</v>
      </c>
      <c r="B22" s="21" t="s">
        <v>286</v>
      </c>
      <c r="C22" s="21" t="s">
        <v>287</v>
      </c>
      <c r="D22" s="3" t="e">
        <f>VLOOKUP(A22,ResourcesNameLimits!$A$4:$F$1500,2,FALSE)</f>
        <v>#N/A</v>
      </c>
      <c r="E22" s="3" t="e">
        <f>VLOOKUP(A22,ResourcesNameLimits!$A$4:$F$1500,3,FALSE)</f>
        <v>#N/A</v>
      </c>
      <c r="F22" s="3" t="e">
        <f>VLOOKUP(A22,ResourcesNameLimits!$A$4:$F$1500,4,FALSE)</f>
        <v>#N/A</v>
      </c>
    </row>
    <row r="23" spans="1:6" x14ac:dyDescent="0.45">
      <c r="A23" s="21" t="s">
        <v>288</v>
      </c>
      <c r="B23" s="21" t="s">
        <v>286</v>
      </c>
      <c r="C23" s="21" t="s">
        <v>289</v>
      </c>
      <c r="D23" s="3" t="e">
        <f>VLOOKUP(A23,ResourcesNameLimits!$A$4:$F$1500,2,FALSE)</f>
        <v>#N/A</v>
      </c>
      <c r="E23" s="3" t="e">
        <f>VLOOKUP(A23,ResourcesNameLimits!$A$4:$F$1500,3,FALSE)</f>
        <v>#N/A</v>
      </c>
      <c r="F23" s="3" t="e">
        <f>VLOOKUP(A23,ResourcesNameLimits!$A$4:$F$1500,4,FALSE)</f>
        <v>#N/A</v>
      </c>
    </row>
    <row r="24" spans="1:6" x14ac:dyDescent="0.45">
      <c r="A24" s="21" t="s">
        <v>290</v>
      </c>
      <c r="B24" s="21" t="s">
        <v>291</v>
      </c>
      <c r="C24" s="21" t="s">
        <v>292</v>
      </c>
      <c r="D24" s="3" t="e">
        <f>VLOOKUP(A24,ResourcesNameLimits!$A$4:$F$1500,2,FALSE)</f>
        <v>#N/A</v>
      </c>
      <c r="E24" s="3" t="e">
        <f>VLOOKUP(A24,ResourcesNameLimits!$A$4:$F$1500,3,FALSE)</f>
        <v>#N/A</v>
      </c>
      <c r="F24" s="3" t="e">
        <f>VLOOKUP(A24,ResourcesNameLimits!$A$4:$F$1500,4,FALSE)</f>
        <v>#N/A</v>
      </c>
    </row>
    <row r="25" spans="1:6" x14ac:dyDescent="0.45">
      <c r="A25" s="21" t="s">
        <v>293</v>
      </c>
      <c r="B25" s="21" t="s">
        <v>294</v>
      </c>
      <c r="C25" s="21" t="s">
        <v>295</v>
      </c>
      <c r="D25" s="3" t="e">
        <f>VLOOKUP(A25,ResourcesNameLimits!$A$4:$F$1500,2,FALSE)</f>
        <v>#N/A</v>
      </c>
      <c r="E25" s="3" t="e">
        <f>VLOOKUP(A25,ResourcesNameLimits!$A$4:$F$1500,3,FALSE)</f>
        <v>#N/A</v>
      </c>
      <c r="F25" s="3" t="e">
        <f>VLOOKUP(A25,ResourcesNameLimits!$A$4:$F$1500,4,FALSE)</f>
        <v>#N/A</v>
      </c>
    </row>
    <row r="26" spans="1:6" x14ac:dyDescent="0.45">
      <c r="A26" s="21" t="s">
        <v>296</v>
      </c>
      <c r="B26" s="21" t="s">
        <v>297</v>
      </c>
      <c r="C26" s="21" t="s">
        <v>298</v>
      </c>
      <c r="D26" s="3" t="e">
        <f>VLOOKUP(A26,ResourcesNameLimits!$A$4:$F$1500,2,FALSE)</f>
        <v>#N/A</v>
      </c>
      <c r="E26" s="3" t="e">
        <f>VLOOKUP(A26,ResourcesNameLimits!$A$4:$F$1500,3,FALSE)</f>
        <v>#N/A</v>
      </c>
      <c r="F26" s="3" t="e">
        <f>VLOOKUP(A26,ResourcesNameLimits!$A$4:$F$1500,4,FALSE)</f>
        <v>#N/A</v>
      </c>
    </row>
    <row r="27" spans="1:6" x14ac:dyDescent="0.45">
      <c r="A27" s="21" t="s">
        <v>299</v>
      </c>
      <c r="B27" s="21" t="s">
        <v>300</v>
      </c>
      <c r="C27" s="21" t="s">
        <v>301</v>
      </c>
      <c r="D27" s="3" t="e">
        <f>VLOOKUP(A27,ResourcesNameLimits!$A$4:$F$1500,2,FALSE)</f>
        <v>#N/A</v>
      </c>
      <c r="E27" s="3" t="e">
        <f>VLOOKUP(A27,ResourcesNameLimits!$A$4:$F$1500,3,FALSE)</f>
        <v>#N/A</v>
      </c>
      <c r="F27" s="3" t="e">
        <f>VLOOKUP(A27,ResourcesNameLimits!$A$4:$F$1500,4,FALSE)</f>
        <v>#N/A</v>
      </c>
    </row>
    <row r="28" spans="1:6" x14ac:dyDescent="0.45">
      <c r="A28" s="21" t="s">
        <v>302</v>
      </c>
      <c r="B28" s="21" t="s">
        <v>303</v>
      </c>
      <c r="C28" s="21" t="s">
        <v>304</v>
      </c>
      <c r="D28" s="3" t="e">
        <f>VLOOKUP(A28,ResourcesNameLimits!$A$4:$F$1500,2,FALSE)</f>
        <v>#N/A</v>
      </c>
      <c r="E28" s="3" t="e">
        <f>VLOOKUP(A28,ResourcesNameLimits!$A$4:$F$1500,3,FALSE)</f>
        <v>#N/A</v>
      </c>
      <c r="F28" s="3" t="e">
        <f>VLOOKUP(A28,ResourcesNameLimits!$A$4:$F$1500,4,FALSE)</f>
        <v>#N/A</v>
      </c>
    </row>
    <row r="29" spans="1:6" x14ac:dyDescent="0.45">
      <c r="A29" s="21" t="s">
        <v>305</v>
      </c>
      <c r="B29" s="21" t="s">
        <v>306</v>
      </c>
      <c r="C29" s="21" t="s">
        <v>307</v>
      </c>
      <c r="D29" s="3" t="e">
        <f>VLOOKUP(A29,ResourcesNameLimits!$A$4:$F$1500,2,FALSE)</f>
        <v>#N/A</v>
      </c>
      <c r="E29" s="3" t="e">
        <f>VLOOKUP(A29,ResourcesNameLimits!$A$4:$F$1500,3,FALSE)</f>
        <v>#N/A</v>
      </c>
      <c r="F29" s="3" t="e">
        <f>VLOOKUP(A29,ResourcesNameLimits!$A$4:$F$1500,4,FALSE)</f>
        <v>#N/A</v>
      </c>
    </row>
    <row r="30" spans="1:6" x14ac:dyDescent="0.45">
      <c r="A30" s="21" t="s">
        <v>308</v>
      </c>
      <c r="B30" s="21" t="s">
        <v>309</v>
      </c>
      <c r="C30" s="21" t="s">
        <v>310</v>
      </c>
      <c r="D30" s="3" t="e">
        <f>VLOOKUP(A30,ResourcesNameLimits!$A$4:$F$1500,2,FALSE)</f>
        <v>#N/A</v>
      </c>
      <c r="E30" s="3" t="e">
        <f>VLOOKUP(A30,ResourcesNameLimits!$A$4:$F$1500,3,FALSE)</f>
        <v>#N/A</v>
      </c>
      <c r="F30" s="3" t="e">
        <f>VLOOKUP(A30,ResourcesNameLimits!$A$4:$F$1500,4,FALSE)</f>
        <v>#N/A</v>
      </c>
    </row>
    <row r="31" spans="1:6" x14ac:dyDescent="0.45">
      <c r="A31" s="21" t="s">
        <v>311</v>
      </c>
      <c r="B31" s="21" t="s">
        <v>312</v>
      </c>
      <c r="C31" s="21" t="s">
        <v>313</v>
      </c>
      <c r="D31" s="3" t="e">
        <f>VLOOKUP(A31,ResourcesNameLimits!$A$4:$F$1500,2,FALSE)</f>
        <v>#N/A</v>
      </c>
      <c r="E31" s="3" t="e">
        <f>VLOOKUP(A31,ResourcesNameLimits!$A$4:$F$1500,3,FALSE)</f>
        <v>#N/A</v>
      </c>
      <c r="F31" s="3" t="e">
        <f>VLOOKUP(A31,ResourcesNameLimits!$A$4:$F$1500,4,FALSE)</f>
        <v>#N/A</v>
      </c>
    </row>
    <row r="32" spans="1:6" x14ac:dyDescent="0.45">
      <c r="A32" s="21" t="s">
        <v>314</v>
      </c>
      <c r="B32" s="21" t="s">
        <v>315</v>
      </c>
      <c r="C32" s="21" t="s">
        <v>316</v>
      </c>
      <c r="D32" s="3" t="str">
        <f>VLOOKUP(A32,ResourcesNameLimits!$A$4:$F$1500,2,FALSE)</f>
        <v>Resource Group</v>
      </c>
      <c r="E32" s="3">
        <f>VLOOKUP(A32,ResourcesNameLimits!$A$4:$F$1500,3,FALSE)</f>
        <v>80</v>
      </c>
      <c r="F32" s="3" t="str">
        <f>VLOOKUP(A32,ResourcesNameLimits!$A$4:$F$1500,4,FALSE)</f>
        <v>^[a-zA-Z0-9_-\.]{1,80}$</v>
      </c>
    </row>
    <row r="33" spans="1:6" x14ac:dyDescent="0.45">
      <c r="A33" s="21" t="s">
        <v>317</v>
      </c>
      <c r="B33" s="21" t="s">
        <v>318</v>
      </c>
      <c r="C33" s="21" t="s">
        <v>319</v>
      </c>
      <c r="D33" s="3" t="e">
        <f>VLOOKUP(A33,ResourcesNameLimits!$A$4:$F$1500,2,FALSE)</f>
        <v>#N/A</v>
      </c>
      <c r="E33" s="3" t="e">
        <f>VLOOKUP(A33,ResourcesNameLimits!$A$4:$F$1500,3,FALSE)</f>
        <v>#N/A</v>
      </c>
      <c r="F33" s="3" t="e">
        <f>VLOOKUP(A33,ResourcesNameLimits!$A$4:$F$1500,4,FALSE)</f>
        <v>#N/A</v>
      </c>
    </row>
    <row r="34" spans="1:6" x14ac:dyDescent="0.45">
      <c r="A34" s="21" t="s">
        <v>320</v>
      </c>
      <c r="B34" s="21" t="s">
        <v>321</v>
      </c>
      <c r="C34" s="21" t="s">
        <v>322</v>
      </c>
      <c r="D34" s="3" t="e">
        <f>VLOOKUP(A34,ResourcesNameLimits!$A$4:$F$1500,2,FALSE)</f>
        <v>#N/A</v>
      </c>
      <c r="E34" s="3" t="e">
        <f>VLOOKUP(A34,ResourcesNameLimits!$A$4:$F$1500,3,FALSE)</f>
        <v>#N/A</v>
      </c>
      <c r="F34" s="3" t="e">
        <f>VLOOKUP(A34,ResourcesNameLimits!$A$4:$F$1500,4,FALSE)</f>
        <v>#N/A</v>
      </c>
    </row>
    <row r="35" spans="1:6" x14ac:dyDescent="0.45">
      <c r="A35" s="21" t="s">
        <v>323</v>
      </c>
      <c r="B35" s="21" t="s">
        <v>324</v>
      </c>
      <c r="C35" s="21" t="s">
        <v>325</v>
      </c>
      <c r="D35" s="3" t="e">
        <f>VLOOKUP(A35,ResourcesNameLimits!$A$4:$F$1500,2,FALSE)</f>
        <v>#N/A</v>
      </c>
      <c r="E35" s="3" t="e">
        <f>VLOOKUP(A35,ResourcesNameLimits!$A$4:$F$1500,3,FALSE)</f>
        <v>#N/A</v>
      </c>
      <c r="F35" s="3" t="e">
        <f>VLOOKUP(A35,ResourcesNameLimits!$A$4:$F$1500,4,FALSE)</f>
        <v>#N/A</v>
      </c>
    </row>
    <row r="36" spans="1:6" x14ac:dyDescent="0.45">
      <c r="A36" s="21" t="s">
        <v>326</v>
      </c>
      <c r="B36" s="21" t="s">
        <v>327</v>
      </c>
      <c r="C36" s="21" t="s">
        <v>328</v>
      </c>
      <c r="D36" s="3" t="e">
        <f>VLOOKUP(A36,ResourcesNameLimits!$A$4:$F$1500,2,FALSE)</f>
        <v>#N/A</v>
      </c>
      <c r="E36" s="3" t="e">
        <f>VLOOKUP(A36,ResourcesNameLimits!$A$4:$F$1500,3,FALSE)</f>
        <v>#N/A</v>
      </c>
      <c r="F36" s="3" t="e">
        <f>VLOOKUP(A36,ResourcesNameLimits!$A$4:$F$1500,4,FALSE)</f>
        <v>#N/A</v>
      </c>
    </row>
    <row r="37" spans="1:6" x14ac:dyDescent="0.45">
      <c r="A37" s="21" t="s">
        <v>329</v>
      </c>
      <c r="B37" s="21" t="s">
        <v>330</v>
      </c>
      <c r="C37" s="21" t="s">
        <v>331</v>
      </c>
      <c r="D37" s="3" t="str">
        <f>VLOOKUP(A37,ResourcesNameLimits!$A$4:$F$1500,2,FALSE)</f>
        <v>Resource Group</v>
      </c>
      <c r="E37" s="3">
        <f>VLOOKUP(A37,ResourcesNameLimits!$A$4:$F$1500,3,FALSE)</f>
        <v>63</v>
      </c>
      <c r="F37" s="3" t="str">
        <f>VLOOKUP(A37,ResourcesNameLimits!$A$4:$F$1500,4,FALSE)</f>
        <v>^[a-zA-Z0-9_-\.]{1,63}$</v>
      </c>
    </row>
    <row r="38" spans="1:6" x14ac:dyDescent="0.45">
      <c r="A38" s="21" t="s">
        <v>332</v>
      </c>
      <c r="B38" s="21" t="s">
        <v>333</v>
      </c>
      <c r="C38" s="21" t="s">
        <v>334</v>
      </c>
      <c r="D38" s="3" t="e">
        <f>VLOOKUP(A38,ResourcesNameLimits!$A$4:$F$1500,2,FALSE)</f>
        <v>#N/A</v>
      </c>
      <c r="E38" s="3" t="e">
        <f>VLOOKUP(A38,ResourcesNameLimits!$A$4:$F$1500,3,FALSE)</f>
        <v>#N/A</v>
      </c>
      <c r="F38" s="3" t="e">
        <f>VLOOKUP(A38,ResourcesNameLimits!$A$4:$F$1500,4,FALSE)</f>
        <v>#N/A</v>
      </c>
    </row>
    <row r="39" spans="1:6" x14ac:dyDescent="0.45">
      <c r="A39" s="21" t="s">
        <v>335</v>
      </c>
      <c r="B39" s="21" t="s">
        <v>336</v>
      </c>
      <c r="C39" s="21" t="s">
        <v>337</v>
      </c>
      <c r="D39" s="3" t="str">
        <f>VLOOKUP(A39,ResourcesNameLimits!$A$4:$F$1500,2,FALSE)</f>
        <v>Resource Group</v>
      </c>
      <c r="E39" s="3">
        <f>VLOOKUP(A39,ResourcesNameLimits!$A$4:$F$1500,3,FALSE)</f>
        <v>63</v>
      </c>
      <c r="F39" s="3" t="str">
        <f>VLOOKUP(A39,ResourcesNameLimits!$A$4:$F$1500,4,FALSE)</f>
        <v>^[a-zA-Z0-9_-\.]{2,64}$</v>
      </c>
    </row>
    <row r="40" spans="1:6" x14ac:dyDescent="0.45">
      <c r="A40" s="21" t="s">
        <v>338</v>
      </c>
      <c r="B40" s="21" t="s">
        <v>339</v>
      </c>
      <c r="C40" s="21" t="s">
        <v>340</v>
      </c>
      <c r="D40" s="3" t="e">
        <f>VLOOKUP(A40,ResourcesNameLimits!$A$4:$F$1500,2,FALSE)</f>
        <v>#N/A</v>
      </c>
      <c r="E40" s="3" t="e">
        <f>VLOOKUP(A40,ResourcesNameLimits!$A$4:$F$1500,3,FALSE)</f>
        <v>#N/A</v>
      </c>
      <c r="F40" s="3" t="e">
        <f>VLOOKUP(A40,ResourcesNameLimits!$A$4:$F$1500,4,FALSE)</f>
        <v>#N/A</v>
      </c>
    </row>
    <row r="41" spans="1:6" x14ac:dyDescent="0.45">
      <c r="A41" s="21" t="s">
        <v>341</v>
      </c>
      <c r="B41" s="21" t="s">
        <v>342</v>
      </c>
      <c r="C41" s="21" t="s">
        <v>343</v>
      </c>
      <c r="D41" s="3" t="e">
        <f>VLOOKUP(A41,ResourcesNameLimits!$A$4:$F$1500,2,FALSE)</f>
        <v>#N/A</v>
      </c>
      <c r="E41" s="3" t="e">
        <f>VLOOKUP(A41,ResourcesNameLimits!$A$4:$F$1500,3,FALSE)</f>
        <v>#N/A</v>
      </c>
      <c r="F41" s="3" t="e">
        <f>VLOOKUP(A41,ResourcesNameLimits!$A$4:$F$1500,4,FALSE)</f>
        <v>#N/A</v>
      </c>
    </row>
    <row r="42" spans="1:6" x14ac:dyDescent="0.45">
      <c r="A42" s="21" t="s">
        <v>344</v>
      </c>
      <c r="B42" s="21" t="s">
        <v>345</v>
      </c>
      <c r="C42" s="21" t="s">
        <v>346</v>
      </c>
      <c r="D42" s="3" t="e">
        <f>VLOOKUP(A42,ResourcesNameLimits!$A$4:$F$1500,2,FALSE)</f>
        <v>#N/A</v>
      </c>
      <c r="E42" s="3" t="e">
        <f>VLOOKUP(A42,ResourcesNameLimits!$A$4:$F$1500,3,FALSE)</f>
        <v>#N/A</v>
      </c>
      <c r="F42" s="3" t="e">
        <f>VLOOKUP(A42,ResourcesNameLimits!$A$4:$F$1500,4,FALSE)</f>
        <v>#N/A</v>
      </c>
    </row>
    <row r="43" spans="1:6" x14ac:dyDescent="0.45">
      <c r="A43" s="21" t="s">
        <v>347</v>
      </c>
      <c r="B43" s="21" t="s">
        <v>348</v>
      </c>
      <c r="C43" s="21" t="s">
        <v>349</v>
      </c>
      <c r="D43" s="3" t="e">
        <f>VLOOKUP(A43,ResourcesNameLimits!$A$4:$F$1500,2,FALSE)</f>
        <v>#N/A</v>
      </c>
      <c r="E43" s="3" t="e">
        <f>VLOOKUP(A43,ResourcesNameLimits!$A$4:$F$1500,3,FALSE)</f>
        <v>#N/A</v>
      </c>
      <c r="F43" s="3" t="e">
        <f>VLOOKUP(A43,ResourcesNameLimits!$A$4:$F$1500,4,FALSE)</f>
        <v>#N/A</v>
      </c>
    </row>
    <row r="44" spans="1:6" x14ac:dyDescent="0.45">
      <c r="A44" s="21" t="s">
        <v>350</v>
      </c>
      <c r="B44" s="21" t="s">
        <v>351</v>
      </c>
      <c r="C44" s="21" t="s">
        <v>352</v>
      </c>
      <c r="D44" s="3" t="e">
        <f>VLOOKUP(A44,ResourcesNameLimits!$A$4:$F$1500,2,FALSE)</f>
        <v>#N/A</v>
      </c>
      <c r="E44" s="3" t="e">
        <f>VLOOKUP(A44,ResourcesNameLimits!$A$4:$F$1500,3,FALSE)</f>
        <v>#N/A</v>
      </c>
      <c r="F44" s="3" t="e">
        <f>VLOOKUP(A44,ResourcesNameLimits!$A$4:$F$1500,4,FALSE)</f>
        <v>#N/A</v>
      </c>
    </row>
    <row r="45" spans="1:6" x14ac:dyDescent="0.45">
      <c r="A45" s="21" t="s">
        <v>353</v>
      </c>
      <c r="B45" s="21" t="s">
        <v>354</v>
      </c>
      <c r="C45" s="21" t="s">
        <v>355</v>
      </c>
      <c r="D45" s="3" t="e">
        <f>VLOOKUP(A45,ResourcesNameLimits!$A$4:$F$1500,2,FALSE)</f>
        <v>#N/A</v>
      </c>
      <c r="E45" s="3" t="e">
        <f>VLOOKUP(A45,ResourcesNameLimits!$A$4:$F$1500,3,FALSE)</f>
        <v>#N/A</v>
      </c>
      <c r="F45" s="3" t="e">
        <f>VLOOKUP(A45,ResourcesNameLimits!$A$4:$F$1500,4,FALSE)</f>
        <v>#N/A</v>
      </c>
    </row>
    <row r="46" spans="1:6" x14ac:dyDescent="0.45">
      <c r="A46" s="21" t="s">
        <v>356</v>
      </c>
      <c r="B46" s="21" t="s">
        <v>357</v>
      </c>
      <c r="C46" s="21" t="s">
        <v>358</v>
      </c>
      <c r="D46" s="3" t="e">
        <f>VLOOKUP(A46,ResourcesNameLimits!$A$4:$F$1500,2,FALSE)</f>
        <v>#N/A</v>
      </c>
      <c r="E46" s="3" t="e">
        <f>VLOOKUP(A46,ResourcesNameLimits!$A$4:$F$1500,3,FALSE)</f>
        <v>#N/A</v>
      </c>
      <c r="F46" s="3" t="e">
        <f>VLOOKUP(A46,ResourcesNameLimits!$A$4:$F$1500,4,FALSE)</f>
        <v>#N/A</v>
      </c>
    </row>
    <row r="47" spans="1:6" x14ac:dyDescent="0.45">
      <c r="A47" s="21" t="s">
        <v>359</v>
      </c>
      <c r="B47" s="21" t="s">
        <v>274</v>
      </c>
      <c r="C47" s="21" t="s">
        <v>360</v>
      </c>
      <c r="D47" s="3" t="e">
        <f>VLOOKUP(A47,ResourcesNameLimits!$A$4:$F$1500,2,FALSE)</f>
        <v>#N/A</v>
      </c>
      <c r="E47" s="3" t="e">
        <f>VLOOKUP(A47,ResourcesNameLimits!$A$4:$F$1500,3,FALSE)</f>
        <v>#N/A</v>
      </c>
      <c r="F47" s="3" t="e">
        <f>VLOOKUP(A47,ResourcesNameLimits!$A$4:$F$1500,4,FALSE)</f>
        <v>#N/A</v>
      </c>
    </row>
    <row r="48" spans="1:6" x14ac:dyDescent="0.45">
      <c r="A48" s="21" t="s">
        <v>361</v>
      </c>
      <c r="B48" s="21" t="s">
        <v>362</v>
      </c>
      <c r="C48" s="21" t="s">
        <v>363</v>
      </c>
      <c r="D48" s="3" t="e">
        <f>VLOOKUP(A48,ResourcesNameLimits!$A$4:$F$1500,2,FALSE)</f>
        <v>#N/A</v>
      </c>
      <c r="E48" s="3" t="e">
        <f>VLOOKUP(A48,ResourcesNameLimits!$A$4:$F$1500,3,FALSE)</f>
        <v>#N/A</v>
      </c>
      <c r="F48" s="3" t="e">
        <f>VLOOKUP(A48,ResourcesNameLimits!$A$4:$F$1500,4,FALSE)</f>
        <v>#N/A</v>
      </c>
    </row>
    <row r="49" spans="1:6" x14ac:dyDescent="0.45">
      <c r="A49" s="21" t="s">
        <v>364</v>
      </c>
      <c r="B49" s="21" t="s">
        <v>365</v>
      </c>
      <c r="C49" s="21" t="s">
        <v>366</v>
      </c>
      <c r="D49" s="3" t="str">
        <f>VLOOKUP(A49,ResourcesNameLimits!$A$4:$F$1500,2,FALSE)</f>
        <v>Resource Group</v>
      </c>
      <c r="E49" s="3">
        <f>VLOOKUP(A49,ResourcesNameLimits!$A$4:$F$1500,3,FALSE)</f>
        <v>38</v>
      </c>
      <c r="F49" s="3" t="str">
        <f>VLOOKUP(A49,ResourcesNameLimits!$A$4:$F$1500,4,FALSE)</f>
        <v>^[a-zA-Z0-9-]{1,38}$</v>
      </c>
    </row>
    <row r="50" spans="1:6" x14ac:dyDescent="0.45">
      <c r="A50" s="21" t="s">
        <v>367</v>
      </c>
      <c r="B50" s="21" t="s">
        <v>368</v>
      </c>
      <c r="C50" s="21" t="s">
        <v>369</v>
      </c>
      <c r="D50" s="3" t="str">
        <f>VLOOKUP(A50,ResourcesNameLimits!$A$4:$F$1500,2,FALSE)</f>
        <v>Resource Group</v>
      </c>
      <c r="E50" s="3">
        <f>VLOOKUP(A50,ResourcesNameLimits!$A$4:$F$1500,3,FALSE)</f>
        <v>40</v>
      </c>
      <c r="F50" s="3" t="str">
        <f>VLOOKUP(A50,ResourcesNameLimits!$A$4:$F$1500,4,FALSE)</f>
        <v>^[a-zA-Z0-9_-]{1,40}$</v>
      </c>
    </row>
    <row r="51" spans="1:6" x14ac:dyDescent="0.45">
      <c r="A51" s="21" t="s">
        <v>370</v>
      </c>
      <c r="B51" s="21" t="s">
        <v>371</v>
      </c>
      <c r="C51" s="21" t="s">
        <v>372</v>
      </c>
      <c r="D51" s="3" t="str">
        <f>VLOOKUP(A51,ResourcesNameLimits!$A$4:$F$1500,2,FALSE)</f>
        <v>Resource Group</v>
      </c>
      <c r="E51" s="3">
        <f>VLOOKUP(A51,ResourcesNameLimits!$A$4:$F$1500,3,FALSE)</f>
        <v>80</v>
      </c>
      <c r="F51" s="3" t="str">
        <f>VLOOKUP(A51,ResourcesNameLimits!$A$4:$F$1500,4,FALSE)</f>
        <v>^[a-zA-Z0-9_-]{1,80}$</v>
      </c>
    </row>
    <row r="52" spans="1:6" x14ac:dyDescent="0.45">
      <c r="A52" s="21" t="s">
        <v>373</v>
      </c>
      <c r="B52" s="21" t="s">
        <v>374</v>
      </c>
      <c r="C52" s="21" t="s">
        <v>375</v>
      </c>
      <c r="D52" s="3" t="e">
        <f>VLOOKUP(A52,ResourcesNameLimits!$A$4:$F$1500,2,FALSE)</f>
        <v>#N/A</v>
      </c>
      <c r="E52" s="3" t="e">
        <f>VLOOKUP(A52,ResourcesNameLimits!$A$4:$F$1500,3,FALSE)</f>
        <v>#N/A</v>
      </c>
      <c r="F52" s="3" t="e">
        <f>VLOOKUP(A52,ResourcesNameLimits!$A$4:$F$1500,4,FALSE)</f>
        <v>#N/A</v>
      </c>
    </row>
    <row r="53" spans="1:6" x14ac:dyDescent="0.45">
      <c r="A53" s="21" t="s">
        <v>376</v>
      </c>
      <c r="B53" s="21" t="s">
        <v>377</v>
      </c>
      <c r="C53" s="21" t="s">
        <v>378</v>
      </c>
      <c r="D53" s="3" t="e">
        <f>VLOOKUP(A53,ResourcesNameLimits!$A$4:$F$1500,2,FALSE)</f>
        <v>#N/A</v>
      </c>
      <c r="E53" s="3" t="e">
        <f>VLOOKUP(A53,ResourcesNameLimits!$A$4:$F$1500,3,FALSE)</f>
        <v>#N/A</v>
      </c>
      <c r="F53" s="3" t="e">
        <f>VLOOKUP(A53,ResourcesNameLimits!$A$4:$F$1500,4,FALSE)</f>
        <v>#N/A</v>
      </c>
    </row>
    <row r="54" spans="1:6" x14ac:dyDescent="0.45">
      <c r="A54" s="21" t="s">
        <v>379</v>
      </c>
      <c r="B54" s="21" t="s">
        <v>380</v>
      </c>
      <c r="C54" s="21" t="s">
        <v>381</v>
      </c>
      <c r="D54" s="3" t="e">
        <f>VLOOKUP(A54,ResourcesNameLimits!$A$4:$F$1500,2,FALSE)</f>
        <v>#N/A</v>
      </c>
      <c r="E54" s="3" t="e">
        <f>VLOOKUP(A54,ResourcesNameLimits!$A$4:$F$1500,3,FALSE)</f>
        <v>#N/A</v>
      </c>
      <c r="F54" s="3" t="e">
        <f>VLOOKUP(A54,ResourcesNameLimits!$A$4:$F$1500,4,FALSE)</f>
        <v>#N/A</v>
      </c>
    </row>
    <row r="55" spans="1:6" x14ac:dyDescent="0.45">
      <c r="A55" s="21" t="s">
        <v>382</v>
      </c>
      <c r="B55" s="21" t="s">
        <v>383</v>
      </c>
      <c r="C55" s="21" t="s">
        <v>384</v>
      </c>
      <c r="D55" s="3" t="e">
        <f>VLOOKUP(A55,ResourcesNameLimits!$A$4:$F$1500,2,FALSE)</f>
        <v>#N/A</v>
      </c>
      <c r="E55" s="3" t="e">
        <f>VLOOKUP(A55,ResourcesNameLimits!$A$4:$F$1500,3,FALSE)</f>
        <v>#N/A</v>
      </c>
      <c r="F55" s="3" t="e">
        <f>VLOOKUP(A55,ResourcesNameLimits!$A$4:$F$1500,4,FALSE)</f>
        <v>#N/A</v>
      </c>
    </row>
    <row r="56" spans="1:6" x14ac:dyDescent="0.45">
      <c r="A56" s="21" t="s">
        <v>385</v>
      </c>
      <c r="B56" s="21" t="s">
        <v>365</v>
      </c>
      <c r="C56" s="21" t="s">
        <v>386</v>
      </c>
      <c r="D56" s="3" t="e">
        <f>VLOOKUP(A56,ResourcesNameLimits!$A$4:$F$1500,2,FALSE)</f>
        <v>#N/A</v>
      </c>
      <c r="E56" s="3" t="e">
        <f>VLOOKUP(A56,ResourcesNameLimits!$A$4:$F$1500,3,FALSE)</f>
        <v>#N/A</v>
      </c>
      <c r="F56" s="3" t="e">
        <f>VLOOKUP(A56,ResourcesNameLimits!$A$4:$F$1500,4,FALSE)</f>
        <v>#N/A</v>
      </c>
    </row>
    <row r="57" spans="1:6" x14ac:dyDescent="0.45">
      <c r="A57" s="21" t="s">
        <v>387</v>
      </c>
      <c r="B57" s="21" t="s">
        <v>388</v>
      </c>
      <c r="C57" s="21" t="s">
        <v>389</v>
      </c>
      <c r="D57" s="3" t="e">
        <f>VLOOKUP(A57,ResourcesNameLimits!$A$4:$F$1500,2,FALSE)</f>
        <v>#N/A</v>
      </c>
      <c r="E57" s="3" t="e">
        <f>VLOOKUP(A57,ResourcesNameLimits!$A$4:$F$1500,3,FALSE)</f>
        <v>#N/A</v>
      </c>
      <c r="F57" s="3" t="e">
        <f>VLOOKUP(A57,ResourcesNameLimits!$A$4:$F$1500,4,FALSE)</f>
        <v>#N/A</v>
      </c>
    </row>
    <row r="58" spans="1:6" x14ac:dyDescent="0.45">
      <c r="A58" s="21" t="s">
        <v>390</v>
      </c>
      <c r="B58" s="21" t="s">
        <v>391</v>
      </c>
      <c r="C58" s="21" t="s">
        <v>392</v>
      </c>
      <c r="D58" s="3" t="e">
        <f>VLOOKUP(A58,ResourcesNameLimits!$A$4:$F$1500,2,FALSE)</f>
        <v>#N/A</v>
      </c>
      <c r="E58" s="3" t="e">
        <f>VLOOKUP(A58,ResourcesNameLimits!$A$4:$F$1500,3,FALSE)</f>
        <v>#N/A</v>
      </c>
      <c r="F58" s="3" t="e">
        <f>VLOOKUP(A58,ResourcesNameLimits!$A$4:$F$1500,4,FALSE)</f>
        <v>#N/A</v>
      </c>
    </row>
    <row r="59" spans="1:6" x14ac:dyDescent="0.45">
      <c r="A59" s="21" t="s">
        <v>393</v>
      </c>
      <c r="B59" s="21" t="s">
        <v>391</v>
      </c>
      <c r="C59" s="21" t="s">
        <v>394</v>
      </c>
      <c r="D59" s="3" t="e">
        <f>VLOOKUP(A59,ResourcesNameLimits!$A$4:$F$1500,2,FALSE)</f>
        <v>#N/A</v>
      </c>
      <c r="E59" s="3" t="e">
        <f>VLOOKUP(A59,ResourcesNameLimits!$A$4:$F$1500,3,FALSE)</f>
        <v>#N/A</v>
      </c>
      <c r="F59" s="3" t="e">
        <f>VLOOKUP(A59,ResourcesNameLimits!$A$4:$F$1500,4,FALSE)</f>
        <v>#N/A</v>
      </c>
    </row>
    <row r="60" spans="1:6" x14ac:dyDescent="0.45">
      <c r="A60" s="21" t="s">
        <v>395</v>
      </c>
      <c r="B60" s="21" t="s">
        <v>396</v>
      </c>
      <c r="C60" s="21" t="s">
        <v>397</v>
      </c>
      <c r="D60" s="3" t="e">
        <f>VLOOKUP(A60,ResourcesNameLimits!$A$4:$F$1500,2,FALSE)</f>
        <v>#N/A</v>
      </c>
      <c r="E60" s="3" t="e">
        <f>VLOOKUP(A60,ResourcesNameLimits!$A$4:$F$1500,3,FALSE)</f>
        <v>#N/A</v>
      </c>
      <c r="F60" s="3" t="e">
        <f>VLOOKUP(A60,ResourcesNameLimits!$A$4:$F$1500,4,FALSE)</f>
        <v>#N/A</v>
      </c>
    </row>
    <row r="61" spans="1:6" x14ac:dyDescent="0.45">
      <c r="A61" s="21" t="s">
        <v>398</v>
      </c>
      <c r="B61" s="21" t="s">
        <v>399</v>
      </c>
      <c r="C61" s="21" t="s">
        <v>400</v>
      </c>
      <c r="D61" s="3" t="e">
        <f>VLOOKUP(A61,ResourcesNameLimits!$A$4:$F$1500,2,FALSE)</f>
        <v>#N/A</v>
      </c>
      <c r="E61" s="3" t="e">
        <f>VLOOKUP(A61,ResourcesNameLimits!$A$4:$F$1500,3,FALSE)</f>
        <v>#N/A</v>
      </c>
      <c r="F61" s="3" t="e">
        <f>VLOOKUP(A61,ResourcesNameLimits!$A$4:$F$1500,4,FALSE)</f>
        <v>#N/A</v>
      </c>
    </row>
    <row r="62" spans="1:6" x14ac:dyDescent="0.45">
      <c r="A62" s="21" t="s">
        <v>401</v>
      </c>
      <c r="B62" s="21" t="s">
        <v>402</v>
      </c>
      <c r="C62" s="21" t="s">
        <v>403</v>
      </c>
      <c r="D62" s="3" t="e">
        <f>VLOOKUP(A62,ResourcesNameLimits!$A$4:$F$1500,2,FALSE)</f>
        <v>#N/A</v>
      </c>
      <c r="E62" s="3" t="e">
        <f>VLOOKUP(A62,ResourcesNameLimits!$A$4:$F$1500,3,FALSE)</f>
        <v>#N/A</v>
      </c>
      <c r="F62" s="3" t="e">
        <f>VLOOKUP(A62,ResourcesNameLimits!$A$4:$F$1500,4,FALSE)</f>
        <v>#N/A</v>
      </c>
    </row>
    <row r="63" spans="1:6" x14ac:dyDescent="0.45">
      <c r="A63" s="21" t="s">
        <v>404</v>
      </c>
      <c r="B63" s="21" t="s">
        <v>405</v>
      </c>
      <c r="C63" s="21" t="s">
        <v>406</v>
      </c>
      <c r="D63" s="3" t="e">
        <f>VLOOKUP(A63,ResourcesNameLimits!$A$4:$F$1500,2,FALSE)</f>
        <v>#N/A</v>
      </c>
      <c r="E63" s="3" t="e">
        <f>VLOOKUP(A63,ResourcesNameLimits!$A$4:$F$1500,3,FALSE)</f>
        <v>#N/A</v>
      </c>
      <c r="F63" s="3" t="e">
        <f>VLOOKUP(A63,ResourcesNameLimits!$A$4:$F$1500,4,FALSE)</f>
        <v>#N/A</v>
      </c>
    </row>
    <row r="64" spans="1:6" x14ac:dyDescent="0.45">
      <c r="A64" s="21" t="s">
        <v>407</v>
      </c>
      <c r="B64" s="21" t="s">
        <v>408</v>
      </c>
      <c r="C64" s="21" t="s">
        <v>49</v>
      </c>
      <c r="D64" s="3" t="str">
        <f>VLOOKUP(A64,ResourcesNameLimits!$A$4:$F$1500,2,FALSE)</f>
        <v>Resource Group</v>
      </c>
      <c r="E64" s="3">
        <f>VLOOKUP(A64,ResourcesNameLimits!$A$4:$F$1500,3,FALSE)</f>
        <v>15</v>
      </c>
      <c r="F64" s="3" t="str">
        <f>VLOOKUP(A64,ResourcesNameLimits!$A$4:$F$1500,4,FALSE)</f>
        <v>^[a-zA-Z0-9_-]{1,15}$</v>
      </c>
    </row>
    <row r="65" spans="1:6" x14ac:dyDescent="0.45">
      <c r="A65" s="21" t="s">
        <v>409</v>
      </c>
      <c r="B65" s="21" t="s">
        <v>410</v>
      </c>
      <c r="C65" s="21" t="s">
        <v>411</v>
      </c>
      <c r="D65" s="3" t="e">
        <f>VLOOKUP(A65,ResourcesNameLimits!$A$4:$F$1500,2,FALSE)</f>
        <v>#N/A</v>
      </c>
      <c r="E65" s="3" t="e">
        <f>VLOOKUP(A65,ResourcesNameLimits!$A$4:$F$1500,3,FALSE)</f>
        <v>#N/A</v>
      </c>
      <c r="F65" s="3" t="e">
        <f>VLOOKUP(A65,ResourcesNameLimits!$A$4:$F$1500,4,FALSE)</f>
        <v>#N/A</v>
      </c>
    </row>
    <row r="66" spans="1:6" x14ac:dyDescent="0.45">
      <c r="A66" s="21" t="s">
        <v>412</v>
      </c>
      <c r="B66" s="21" t="s">
        <v>413</v>
      </c>
      <c r="C66" s="21" t="s">
        <v>414</v>
      </c>
      <c r="D66" s="3" t="e">
        <f>VLOOKUP(A66,ResourcesNameLimits!$A$4:$F$1500,2,FALSE)</f>
        <v>#N/A</v>
      </c>
      <c r="E66" s="3" t="e">
        <f>VLOOKUP(A66,ResourcesNameLimits!$A$4:$F$1500,3,FALSE)</f>
        <v>#N/A</v>
      </c>
      <c r="F66" s="3" t="e">
        <f>VLOOKUP(A66,ResourcesNameLimits!$A$4:$F$1500,4,FALSE)</f>
        <v>#N/A</v>
      </c>
    </row>
    <row r="67" spans="1:6" x14ac:dyDescent="0.45">
      <c r="A67" s="21" t="s">
        <v>415</v>
      </c>
      <c r="B67" s="21" t="s">
        <v>365</v>
      </c>
      <c r="C67" s="21" t="s">
        <v>416</v>
      </c>
      <c r="D67" s="3" t="e">
        <f>VLOOKUP(A67,ResourcesNameLimits!$A$4:$F$1500,2,FALSE)</f>
        <v>#N/A</v>
      </c>
      <c r="E67" s="3" t="e">
        <f>VLOOKUP(A67,ResourcesNameLimits!$A$4:$F$1500,3,FALSE)</f>
        <v>#N/A</v>
      </c>
      <c r="F67" s="3" t="e">
        <f>VLOOKUP(A67,ResourcesNameLimits!$A$4:$F$1500,4,FALSE)</f>
        <v>#N/A</v>
      </c>
    </row>
    <row r="68" spans="1:6" x14ac:dyDescent="0.45">
      <c r="A68" s="21" t="s">
        <v>417</v>
      </c>
      <c r="B68" s="21" t="s">
        <v>418</v>
      </c>
      <c r="C68" s="21" t="s">
        <v>419</v>
      </c>
      <c r="D68" s="3" t="e">
        <f>VLOOKUP(A68,ResourcesNameLimits!$A$4:$F$1500,2,FALSE)</f>
        <v>#N/A</v>
      </c>
      <c r="E68" s="3" t="e">
        <f>VLOOKUP(A68,ResourcesNameLimits!$A$4:$F$1500,3,FALSE)</f>
        <v>#N/A</v>
      </c>
      <c r="F68" s="3" t="e">
        <f>VLOOKUP(A68,ResourcesNameLimits!$A$4:$F$1500,4,FALSE)</f>
        <v>#N/A</v>
      </c>
    </row>
    <row r="69" spans="1:6" x14ac:dyDescent="0.45">
      <c r="A69" s="21" t="s">
        <v>420</v>
      </c>
      <c r="B69" s="21" t="s">
        <v>421</v>
      </c>
      <c r="C69" s="21" t="s">
        <v>422</v>
      </c>
      <c r="D69" s="3" t="e">
        <f>VLOOKUP(A69,ResourcesNameLimits!$A$4:$F$1500,2,FALSE)</f>
        <v>#N/A</v>
      </c>
      <c r="E69" s="3" t="e">
        <f>VLOOKUP(A69,ResourcesNameLimits!$A$4:$F$1500,3,FALSE)</f>
        <v>#N/A</v>
      </c>
      <c r="F69" s="3" t="e">
        <f>VLOOKUP(A69,ResourcesNameLimits!$A$4:$F$1500,4,FALSE)</f>
        <v>#N/A</v>
      </c>
    </row>
    <row r="70" spans="1:6" x14ac:dyDescent="0.45">
      <c r="A70" s="21" t="s">
        <v>423</v>
      </c>
      <c r="B70" s="21" t="s">
        <v>424</v>
      </c>
      <c r="C70" s="21" t="s">
        <v>425</v>
      </c>
      <c r="D70" s="3" t="e">
        <f>VLOOKUP(A70,ResourcesNameLimits!$A$4:$F$1500,2,FALSE)</f>
        <v>#N/A</v>
      </c>
      <c r="E70" s="3" t="e">
        <f>VLOOKUP(A70,ResourcesNameLimits!$A$4:$F$1500,3,FALSE)</f>
        <v>#N/A</v>
      </c>
      <c r="F70" s="3" t="e">
        <f>VLOOKUP(A70,ResourcesNameLimits!$A$4:$F$1500,4,FALSE)</f>
        <v>#N/A</v>
      </c>
    </row>
    <row r="71" spans="1:6" x14ac:dyDescent="0.45">
      <c r="A71" s="21" t="s">
        <v>426</v>
      </c>
      <c r="B71" s="21" t="s">
        <v>427</v>
      </c>
      <c r="C71" s="21" t="s">
        <v>428</v>
      </c>
      <c r="D71" s="3" t="e">
        <f>VLOOKUP(A71,ResourcesNameLimits!$A$4:$F$1500,2,FALSE)</f>
        <v>#N/A</v>
      </c>
      <c r="E71" s="3" t="e">
        <f>VLOOKUP(A71,ResourcesNameLimits!$A$4:$F$1500,3,FALSE)</f>
        <v>#N/A</v>
      </c>
      <c r="F71" s="3" t="e">
        <f>VLOOKUP(A71,ResourcesNameLimits!$A$4:$F$1500,4,FALSE)</f>
        <v>#N/A</v>
      </c>
    </row>
    <row r="72" spans="1:6" x14ac:dyDescent="0.45">
      <c r="A72" s="21" t="s">
        <v>429</v>
      </c>
      <c r="B72" s="21" t="s">
        <v>430</v>
      </c>
      <c r="C72" s="21" t="s">
        <v>431</v>
      </c>
      <c r="D72" s="3" t="e">
        <f>VLOOKUP(A72,ResourcesNameLimits!$A$4:$F$1500,2,FALSE)</f>
        <v>#N/A</v>
      </c>
      <c r="E72" s="3" t="e">
        <f>VLOOKUP(A72,ResourcesNameLimits!$A$4:$F$1500,3,FALSE)</f>
        <v>#N/A</v>
      </c>
      <c r="F72" s="3" t="e">
        <f>VLOOKUP(A72,ResourcesNameLimits!$A$4:$F$1500,4,FALSE)</f>
        <v>#N/A</v>
      </c>
    </row>
    <row r="73" spans="1:6" x14ac:dyDescent="0.45">
      <c r="A73" s="21" t="s">
        <v>432</v>
      </c>
      <c r="B73" s="21" t="s">
        <v>433</v>
      </c>
      <c r="C73" s="21" t="s">
        <v>434</v>
      </c>
      <c r="D73" s="3" t="e">
        <f>VLOOKUP(A73,ResourcesNameLimits!$A$4:$F$1500,2,FALSE)</f>
        <v>#N/A</v>
      </c>
      <c r="E73" s="3" t="e">
        <f>VLOOKUP(A73,ResourcesNameLimits!$A$4:$F$1500,3,FALSE)</f>
        <v>#N/A</v>
      </c>
      <c r="F73" s="3" t="e">
        <f>VLOOKUP(A73,ResourcesNameLimits!$A$4:$F$1500,4,FALSE)</f>
        <v>#N/A</v>
      </c>
    </row>
    <row r="74" spans="1:6" x14ac:dyDescent="0.45">
      <c r="A74" s="21" t="s">
        <v>435</v>
      </c>
      <c r="B74" s="21" t="s">
        <v>436</v>
      </c>
      <c r="C74" s="21" t="s">
        <v>437</v>
      </c>
      <c r="D74" s="3" t="e">
        <f>VLOOKUP(A74,ResourcesNameLimits!$A$4:$F$1500,2,FALSE)</f>
        <v>#N/A</v>
      </c>
      <c r="E74" s="3" t="e">
        <f>VLOOKUP(A74,ResourcesNameLimits!$A$4:$F$1500,3,FALSE)</f>
        <v>#N/A</v>
      </c>
      <c r="F74" s="3" t="e">
        <f>VLOOKUP(A74,ResourcesNameLimits!$A$4:$F$1500,4,FALSE)</f>
        <v>#N/A</v>
      </c>
    </row>
    <row r="75" spans="1:6" x14ac:dyDescent="0.45">
      <c r="A75" s="21" t="s">
        <v>438</v>
      </c>
      <c r="B75" s="21" t="s">
        <v>439</v>
      </c>
      <c r="C75" s="21" t="s">
        <v>440</v>
      </c>
      <c r="D75" s="3" t="e">
        <f>VLOOKUP(A75,ResourcesNameLimits!$A$4:$F$1500,2,FALSE)</f>
        <v>#N/A</v>
      </c>
      <c r="E75" s="3" t="e">
        <f>VLOOKUP(A75,ResourcesNameLimits!$A$4:$F$1500,3,FALSE)</f>
        <v>#N/A</v>
      </c>
      <c r="F75" s="3" t="e">
        <f>VLOOKUP(A75,ResourcesNameLimits!$A$4:$F$1500,4,FALSE)</f>
        <v>#N/A</v>
      </c>
    </row>
    <row r="76" spans="1:6" x14ac:dyDescent="0.45">
      <c r="A76" s="21" t="s">
        <v>441</v>
      </c>
      <c r="B76" s="21" t="s">
        <v>442</v>
      </c>
      <c r="C76" s="21" t="s">
        <v>443</v>
      </c>
      <c r="D76" s="3" t="e">
        <f>VLOOKUP(A76,ResourcesNameLimits!$A$4:$F$1500,2,FALSE)</f>
        <v>#N/A</v>
      </c>
      <c r="E76" s="3" t="e">
        <f>VLOOKUP(A76,ResourcesNameLimits!$A$4:$F$1500,3,FALSE)</f>
        <v>#N/A</v>
      </c>
      <c r="F76" s="3" t="e">
        <f>VLOOKUP(A76,ResourcesNameLimits!$A$4:$F$1500,4,FALSE)</f>
        <v>#N/A</v>
      </c>
    </row>
    <row r="77" spans="1:6" x14ac:dyDescent="0.45">
      <c r="A77" s="21" t="s">
        <v>444</v>
      </c>
      <c r="B77" s="21" t="s">
        <v>442</v>
      </c>
      <c r="C77" s="21" t="s">
        <v>445</v>
      </c>
      <c r="D77" s="3" t="e">
        <f>VLOOKUP(A77,ResourcesNameLimits!$A$4:$F$1500,2,FALSE)</f>
        <v>#N/A</v>
      </c>
      <c r="E77" s="3" t="e">
        <f>VLOOKUP(A77,ResourcesNameLimits!$A$4:$F$1500,3,FALSE)</f>
        <v>#N/A</v>
      </c>
      <c r="F77" s="3" t="e">
        <f>VLOOKUP(A77,ResourcesNameLimits!$A$4:$F$1500,4,FALSE)</f>
        <v>#N/A</v>
      </c>
    </row>
    <row r="78" spans="1:6" x14ac:dyDescent="0.45">
      <c r="A78" s="21" t="s">
        <v>446</v>
      </c>
      <c r="B78" s="21" t="s">
        <v>447</v>
      </c>
      <c r="C78" s="21" t="s">
        <v>448</v>
      </c>
      <c r="D78" s="3" t="e">
        <f>VLOOKUP(A78,ResourcesNameLimits!$A$4:$F$1500,2,FALSE)</f>
        <v>#N/A</v>
      </c>
      <c r="E78" s="3" t="e">
        <f>VLOOKUP(A78,ResourcesNameLimits!$A$4:$F$1500,3,FALSE)</f>
        <v>#N/A</v>
      </c>
      <c r="F78" s="3" t="e">
        <f>VLOOKUP(A78,ResourcesNameLimits!$A$4:$F$1500,4,FALSE)</f>
        <v>#N/A</v>
      </c>
    </row>
    <row r="79" spans="1:6" x14ac:dyDescent="0.45">
      <c r="A79" s="21" t="s">
        <v>449</v>
      </c>
      <c r="B79" s="21" t="s">
        <v>447</v>
      </c>
      <c r="C79" s="21" t="s">
        <v>450</v>
      </c>
      <c r="D79" s="3" t="e">
        <f>VLOOKUP(A79,ResourcesNameLimits!$A$4:$F$1500,2,FALSE)</f>
        <v>#N/A</v>
      </c>
      <c r="E79" s="3" t="e">
        <f>VLOOKUP(A79,ResourcesNameLimits!$A$4:$F$1500,3,FALSE)</f>
        <v>#N/A</v>
      </c>
      <c r="F79" s="3" t="e">
        <f>VLOOKUP(A79,ResourcesNameLimits!$A$4:$F$1500,4,FALSE)</f>
        <v>#N/A</v>
      </c>
    </row>
    <row r="80" spans="1:6" x14ac:dyDescent="0.45">
      <c r="A80" s="21" t="s">
        <v>451</v>
      </c>
      <c r="B80" s="21" t="s">
        <v>452</v>
      </c>
      <c r="C80" s="21" t="s">
        <v>453</v>
      </c>
      <c r="D80" s="3" t="e">
        <f>VLOOKUP(A80,ResourcesNameLimits!$A$4:$F$1500,2,FALSE)</f>
        <v>#N/A</v>
      </c>
      <c r="E80" s="3" t="e">
        <f>VLOOKUP(A80,ResourcesNameLimits!$A$4:$F$1500,3,FALSE)</f>
        <v>#N/A</v>
      </c>
      <c r="F80" s="3" t="e">
        <f>VLOOKUP(A80,ResourcesNameLimits!$A$4:$F$1500,4,FALSE)</f>
        <v>#N/A</v>
      </c>
    </row>
    <row r="81" spans="1:6" x14ac:dyDescent="0.45">
      <c r="A81" s="21" t="s">
        <v>454</v>
      </c>
      <c r="B81" s="21" t="s">
        <v>455</v>
      </c>
      <c r="C81" s="21" t="s">
        <v>456</v>
      </c>
      <c r="D81" s="3" t="e">
        <f>VLOOKUP(A81,ResourcesNameLimits!$A$4:$F$1500,2,FALSE)</f>
        <v>#N/A</v>
      </c>
      <c r="E81" s="3" t="e">
        <f>VLOOKUP(A81,ResourcesNameLimits!$A$4:$F$1500,3,FALSE)</f>
        <v>#N/A</v>
      </c>
      <c r="F81" s="3" t="e">
        <f>VLOOKUP(A81,ResourcesNameLimits!$A$4:$F$1500,4,FALSE)</f>
        <v>#N/A</v>
      </c>
    </row>
    <row r="82" spans="1:6" x14ac:dyDescent="0.45">
      <c r="A82" s="21" t="s">
        <v>457</v>
      </c>
      <c r="B82" s="21" t="s">
        <v>439</v>
      </c>
      <c r="C82" s="21" t="s">
        <v>458</v>
      </c>
      <c r="D82" s="3" t="e">
        <f>VLOOKUP(A82,ResourcesNameLimits!$A$4:$F$1500,2,FALSE)</f>
        <v>#N/A</v>
      </c>
      <c r="E82" s="3" t="e">
        <f>VLOOKUP(A82,ResourcesNameLimits!$A$4:$F$1500,3,FALSE)</f>
        <v>#N/A</v>
      </c>
      <c r="F82" s="3" t="e">
        <f>VLOOKUP(A82,ResourcesNameLimits!$A$4:$F$1500,4,FALSE)</f>
        <v>#N/A</v>
      </c>
    </row>
    <row r="83" spans="1:6" x14ac:dyDescent="0.45">
      <c r="A83" s="21" t="s">
        <v>459</v>
      </c>
      <c r="B83" s="21" t="s">
        <v>460</v>
      </c>
      <c r="C83" s="21" t="s">
        <v>461</v>
      </c>
      <c r="D83" s="3" t="e">
        <f>VLOOKUP(A83,ResourcesNameLimits!$A$4:$F$1500,2,FALSE)</f>
        <v>#N/A</v>
      </c>
      <c r="E83" s="3" t="e">
        <f>VLOOKUP(A83,ResourcesNameLimits!$A$4:$F$1500,3,FALSE)</f>
        <v>#N/A</v>
      </c>
      <c r="F83" s="3" t="e">
        <f>VLOOKUP(A83,ResourcesNameLimits!$A$4:$F$1500,4,FALSE)</f>
        <v>#N/A</v>
      </c>
    </row>
    <row r="84" spans="1:6" x14ac:dyDescent="0.45">
      <c r="A84" s="21" t="s">
        <v>462</v>
      </c>
      <c r="B84" s="21" t="s">
        <v>413</v>
      </c>
      <c r="C84" s="21" t="s">
        <v>463</v>
      </c>
      <c r="D84" s="3" t="str">
        <f>VLOOKUP(A84,ResourcesNameLimits!$A$4:$F$1500,2,FALSE)</f>
        <v>Global</v>
      </c>
      <c r="E84" s="3">
        <f>VLOOKUP(A84,ResourcesNameLimits!$A$4:$F$1500,3,FALSE)</f>
        <v>24</v>
      </c>
      <c r="F84" s="3" t="str">
        <f>VLOOKUP(A84,ResourcesNameLimits!$A$4:$F$1500,4,FALSE)</f>
        <v>^[a-zA-Z0-9]{3,24}$</v>
      </c>
    </row>
    <row r="85" spans="1:6" x14ac:dyDescent="0.45">
      <c r="A85" s="21" t="s">
        <v>464</v>
      </c>
      <c r="B85" s="21" t="s">
        <v>465</v>
      </c>
      <c r="C85" s="21" t="s">
        <v>466</v>
      </c>
      <c r="D85" s="3" t="e">
        <f>VLOOKUP(A85,ResourcesNameLimits!$A$4:$F$1500,2,FALSE)</f>
        <v>#N/A</v>
      </c>
      <c r="E85" s="3" t="e">
        <f>VLOOKUP(A85,ResourcesNameLimits!$A$4:$F$1500,3,FALSE)</f>
        <v>#N/A</v>
      </c>
      <c r="F85" s="3" t="e">
        <f>VLOOKUP(A85,ResourcesNameLimits!$A$4:$F$1500,4,FALSE)</f>
        <v>#N/A</v>
      </c>
    </row>
    <row r="86" spans="1:6" x14ac:dyDescent="0.45">
      <c r="A86" s="21" t="s">
        <v>467</v>
      </c>
      <c r="B86" s="21" t="s">
        <v>468</v>
      </c>
      <c r="C86" s="21" t="s">
        <v>469</v>
      </c>
      <c r="D86" s="3" t="e">
        <f>VLOOKUP(A86,ResourcesNameLimits!$A$4:$F$1500,2,FALSE)</f>
        <v>#N/A</v>
      </c>
      <c r="E86" s="3" t="e">
        <f>VLOOKUP(A86,ResourcesNameLimits!$A$4:$F$1500,3,FALSE)</f>
        <v>#N/A</v>
      </c>
      <c r="F86" s="3" t="e">
        <f>VLOOKUP(A86,ResourcesNameLimits!$A$4:$F$1500,4,FALSE)</f>
        <v>#N/A</v>
      </c>
    </row>
    <row r="87" spans="1:6" x14ac:dyDescent="0.45">
      <c r="A87" s="21" t="s">
        <v>470</v>
      </c>
      <c r="B87" s="21" t="s">
        <v>471</v>
      </c>
      <c r="C87" s="21" t="s">
        <v>472</v>
      </c>
      <c r="D87" s="3" t="e">
        <f>VLOOKUP(A87,ResourcesNameLimits!$A$4:$F$1500,2,FALSE)</f>
        <v>#N/A</v>
      </c>
      <c r="E87" s="3" t="e">
        <f>VLOOKUP(A87,ResourcesNameLimits!$A$4:$F$1500,3,FALSE)</f>
        <v>#N/A</v>
      </c>
      <c r="F87" s="3" t="e">
        <f>VLOOKUP(A87,ResourcesNameLimits!$A$4:$F$1500,4,FALSE)</f>
        <v>#N/A</v>
      </c>
    </row>
    <row r="88" spans="1:6" x14ac:dyDescent="0.45">
      <c r="A88" s="21" t="s">
        <v>473</v>
      </c>
      <c r="B88" s="21" t="s">
        <v>474</v>
      </c>
      <c r="C88" s="21" t="s">
        <v>475</v>
      </c>
      <c r="D88" s="3" t="e">
        <f>VLOOKUP(A88,ResourcesNameLimits!$A$4:$F$1500,2,FALSE)</f>
        <v>#N/A</v>
      </c>
      <c r="E88" s="3" t="e">
        <f>VLOOKUP(A88,ResourcesNameLimits!$A$4:$F$1500,3,FALSE)</f>
        <v>#N/A</v>
      </c>
      <c r="F88" s="3" t="e">
        <f>VLOOKUP(A88,ResourcesNameLimits!$A$4:$F$1500,4,FALSE)</f>
        <v>#N/A</v>
      </c>
    </row>
    <row r="89" spans="1:6" x14ac:dyDescent="0.45">
      <c r="A89" s="21" t="s">
        <v>476</v>
      </c>
      <c r="B89" s="21" t="s">
        <v>477</v>
      </c>
      <c r="C89" s="21" t="s">
        <v>478</v>
      </c>
      <c r="D89" s="3" t="e">
        <f>VLOOKUP(A89,ResourcesNameLimits!$A$4:$F$1500,2,FALSE)</f>
        <v>#N/A</v>
      </c>
      <c r="E89" s="3" t="e">
        <f>VLOOKUP(A89,ResourcesNameLimits!$A$4:$F$1500,3,FALSE)</f>
        <v>#N/A</v>
      </c>
      <c r="F89" s="3" t="e">
        <f>VLOOKUP(A89,ResourcesNameLimits!$A$4:$F$1500,4,FALSE)</f>
        <v>#N/A</v>
      </c>
    </row>
    <row r="90" spans="1:6" x14ac:dyDescent="0.45">
      <c r="A90" s="21" t="s">
        <v>479</v>
      </c>
      <c r="B90" s="21" t="s">
        <v>480</v>
      </c>
      <c r="C90" s="21" t="s">
        <v>481</v>
      </c>
      <c r="D90" s="3" t="e">
        <f>VLOOKUP(A90,ResourcesNameLimits!$A$4:$F$1500,2,FALSE)</f>
        <v>#N/A</v>
      </c>
      <c r="E90" s="3" t="e">
        <f>VLOOKUP(A90,ResourcesNameLimits!$A$4:$F$1500,3,FALSE)</f>
        <v>#N/A</v>
      </c>
      <c r="F90" s="3" t="e">
        <f>VLOOKUP(A90,ResourcesNameLimits!$A$4:$F$1500,4,FALSE)</f>
        <v>#N/A</v>
      </c>
    </row>
    <row r="91" spans="1:6" x14ac:dyDescent="0.45">
      <c r="A91" s="21" t="s">
        <v>482</v>
      </c>
      <c r="B91" s="21" t="s">
        <v>483</v>
      </c>
      <c r="C91" s="21" t="s">
        <v>484</v>
      </c>
      <c r="D91" s="3" t="e">
        <f>VLOOKUP(A91,ResourcesNameLimits!$A$4:$F$1500,2,FALSE)</f>
        <v>#N/A</v>
      </c>
      <c r="E91" s="3" t="e">
        <f>VLOOKUP(A91,ResourcesNameLimits!$A$4:$F$1500,3,FALSE)</f>
        <v>#N/A</v>
      </c>
      <c r="F91" s="3" t="e">
        <f>VLOOKUP(A91,ResourcesNameLimits!$A$4:$F$1500,4,FALSE)</f>
        <v>#N/A</v>
      </c>
    </row>
    <row r="92" spans="1:6" x14ac:dyDescent="0.45">
      <c r="A92" s="21" t="s">
        <v>485</v>
      </c>
      <c r="B92" s="21" t="s">
        <v>486</v>
      </c>
      <c r="C92" s="21" t="s">
        <v>487</v>
      </c>
      <c r="D92" s="3" t="e">
        <f>VLOOKUP(A92,ResourcesNameLimits!$A$4:$F$1500,2,FALSE)</f>
        <v>#N/A</v>
      </c>
      <c r="E92" s="3" t="e">
        <f>VLOOKUP(A92,ResourcesNameLimits!$A$4:$F$1500,3,FALSE)</f>
        <v>#N/A</v>
      </c>
      <c r="F92" s="3" t="e">
        <f>VLOOKUP(A92,ResourcesNameLimits!$A$4:$F$1500,4,FALSE)</f>
        <v>#N/A</v>
      </c>
    </row>
    <row r="93" spans="1:6" x14ac:dyDescent="0.45">
      <c r="A93" s="21" t="s">
        <v>488</v>
      </c>
      <c r="B93" s="21" t="s">
        <v>489</v>
      </c>
      <c r="C93" s="21" t="s">
        <v>490</v>
      </c>
      <c r="D93" s="3" t="e">
        <f>VLOOKUP(A93,ResourcesNameLimits!$A$4:$F$1500,2,FALSE)</f>
        <v>#N/A</v>
      </c>
      <c r="E93" s="3" t="e">
        <f>VLOOKUP(A93,ResourcesNameLimits!$A$4:$F$1500,3,FALSE)</f>
        <v>#N/A</v>
      </c>
      <c r="F93" s="3" t="e">
        <f>VLOOKUP(A93,ResourcesNameLimits!$A$4:$F$1500,4,FALSE)</f>
        <v>#N/A</v>
      </c>
    </row>
    <row r="94" spans="1:6" x14ac:dyDescent="0.45">
      <c r="A94" s="21" t="s">
        <v>491</v>
      </c>
      <c r="B94" s="21" t="s">
        <v>492</v>
      </c>
      <c r="C94" s="21" t="s">
        <v>493</v>
      </c>
      <c r="D94" s="3" t="e">
        <f>VLOOKUP(A94,ResourcesNameLimits!$A$4:$F$1500,2,FALSE)</f>
        <v>#N/A</v>
      </c>
      <c r="E94" s="3" t="e">
        <f>VLOOKUP(A94,ResourcesNameLimits!$A$4:$F$1500,3,FALSE)</f>
        <v>#N/A</v>
      </c>
      <c r="F94" s="3" t="e">
        <f>VLOOKUP(A94,ResourcesNameLimits!$A$4:$F$1500,4,FALSE)</f>
        <v>#N/A</v>
      </c>
    </row>
    <row r="95" spans="1:6" x14ac:dyDescent="0.45">
      <c r="A95" s="21" t="s">
        <v>494</v>
      </c>
      <c r="B95" s="21" t="s">
        <v>495</v>
      </c>
      <c r="C95" s="21" t="s">
        <v>496</v>
      </c>
      <c r="D95" s="3" t="e">
        <f>VLOOKUP(A95,ResourcesNameLimits!$A$4:$F$1500,2,FALSE)</f>
        <v>#N/A</v>
      </c>
      <c r="E95" s="3" t="e">
        <f>VLOOKUP(A95,ResourcesNameLimits!$A$4:$F$1500,3,FALSE)</f>
        <v>#N/A</v>
      </c>
      <c r="F95" s="3" t="e">
        <f>VLOOKUP(A95,ResourcesNameLimits!$A$4:$F$1500,4,FALSE)</f>
        <v>#N/A</v>
      </c>
    </row>
    <row r="96" spans="1:6" x14ac:dyDescent="0.45">
      <c r="A96" s="21" t="s">
        <v>497</v>
      </c>
      <c r="B96" s="21" t="s">
        <v>498</v>
      </c>
      <c r="C96" s="21" t="s">
        <v>499</v>
      </c>
      <c r="D96" s="3" t="e">
        <f>VLOOKUP(A96,ResourcesNameLimits!$A$4:$F$1500,2,FALSE)</f>
        <v>#N/A</v>
      </c>
      <c r="E96" s="3" t="e">
        <f>VLOOKUP(A96,ResourcesNameLimits!$A$4:$F$1500,3,FALSE)</f>
        <v>#N/A</v>
      </c>
      <c r="F96" s="3" t="e">
        <f>VLOOKUP(A96,ResourcesNameLimits!$A$4:$F$1500,4,FALSE)</f>
        <v>#N/A</v>
      </c>
    </row>
    <row r="97" spans="1:6" x14ac:dyDescent="0.45">
      <c r="A97" s="21" t="s">
        <v>500</v>
      </c>
      <c r="B97" s="21" t="s">
        <v>501</v>
      </c>
      <c r="C97" s="21" t="s">
        <v>502</v>
      </c>
      <c r="D97" s="3" t="e">
        <f>VLOOKUP(A97,ResourcesNameLimits!$A$4:$F$1500,2,FALSE)</f>
        <v>#N/A</v>
      </c>
      <c r="E97" s="3" t="e">
        <f>VLOOKUP(A97,ResourcesNameLimits!$A$4:$F$1500,3,FALSE)</f>
        <v>#N/A</v>
      </c>
      <c r="F97" s="3" t="e">
        <f>VLOOKUP(A97,ResourcesNameLimits!$A$4:$F$1500,4,FALSE)</f>
        <v>#N/A</v>
      </c>
    </row>
    <row r="98" spans="1:6" x14ac:dyDescent="0.45">
      <c r="A98" s="21" t="s">
        <v>503</v>
      </c>
      <c r="B98" s="21" t="s">
        <v>504</v>
      </c>
      <c r="C98" s="21" t="s">
        <v>505</v>
      </c>
      <c r="D98" s="3" t="e">
        <f>VLOOKUP(A98,ResourcesNameLimits!$A$4:$F$1500,2,FALSE)</f>
        <v>#N/A</v>
      </c>
      <c r="E98" s="3" t="e">
        <f>VLOOKUP(A98,ResourcesNameLimits!$A$4:$F$1500,3,FALSE)</f>
        <v>#N/A</v>
      </c>
      <c r="F98" s="3" t="e">
        <f>VLOOKUP(A98,ResourcesNameLimits!$A$4:$F$1500,4,FALSE)</f>
        <v>#N/A</v>
      </c>
    </row>
    <row r="99" spans="1:6" x14ac:dyDescent="0.45">
      <c r="A99" s="21" t="s">
        <v>506</v>
      </c>
      <c r="B99" s="21" t="s">
        <v>507</v>
      </c>
      <c r="C99" s="21" t="s">
        <v>508</v>
      </c>
      <c r="D99" s="3" t="e">
        <f>VLOOKUP(A99,ResourcesNameLimits!$A$4:$F$1500,2,FALSE)</f>
        <v>#N/A</v>
      </c>
      <c r="E99" s="3" t="e">
        <f>VLOOKUP(A99,ResourcesNameLimits!$A$4:$F$1500,3,FALSE)</f>
        <v>#N/A</v>
      </c>
      <c r="F99" s="3" t="e">
        <f>VLOOKUP(A99,ResourcesNameLimits!$A$4:$F$1500,4,FALSE)</f>
        <v>#N/A</v>
      </c>
    </row>
    <row r="100" spans="1:6" x14ac:dyDescent="0.45">
      <c r="A100" s="21" t="s">
        <v>509</v>
      </c>
      <c r="B100" s="21" t="s">
        <v>510</v>
      </c>
      <c r="C100" s="21" t="s">
        <v>511</v>
      </c>
      <c r="D100" s="3" t="e">
        <f>VLOOKUP(A100,ResourcesNameLimits!$A$4:$F$1500,2,FALSE)</f>
        <v>#N/A</v>
      </c>
      <c r="E100" s="3" t="e">
        <f>VLOOKUP(A100,ResourcesNameLimits!$A$4:$F$1500,3,FALSE)</f>
        <v>#N/A</v>
      </c>
      <c r="F100" s="3" t="e">
        <f>VLOOKUP(A100,ResourcesNameLimits!$A$4:$F$1500,4,FALSE)</f>
        <v>#N/A</v>
      </c>
    </row>
    <row r="101" spans="1:6" x14ac:dyDescent="0.45">
      <c r="A101" s="21" t="s">
        <v>512</v>
      </c>
      <c r="B101" s="21" t="s">
        <v>513</v>
      </c>
      <c r="C101" s="21" t="s">
        <v>514</v>
      </c>
      <c r="D101" s="3" t="e">
        <f>VLOOKUP(A101,ResourcesNameLimits!$A$4:$F$1500,2,FALSE)</f>
        <v>#N/A</v>
      </c>
      <c r="E101" s="3" t="e">
        <f>VLOOKUP(A101,ResourcesNameLimits!$A$4:$F$1500,3,FALSE)</f>
        <v>#N/A</v>
      </c>
      <c r="F101" s="3" t="e">
        <f>VLOOKUP(A101,ResourcesNameLimits!$A$4:$F$1500,4,FALSE)</f>
        <v>#N/A</v>
      </c>
    </row>
    <row r="102" spans="1:6" x14ac:dyDescent="0.45">
      <c r="A102" s="21" t="s">
        <v>515</v>
      </c>
      <c r="B102" s="21" t="s">
        <v>516</v>
      </c>
      <c r="C102" s="21" t="s">
        <v>517</v>
      </c>
      <c r="D102" s="3" t="e">
        <f>VLOOKUP(A102,ResourcesNameLimits!$A$4:$F$1500,2,FALSE)</f>
        <v>#N/A</v>
      </c>
      <c r="E102" s="3" t="e">
        <f>VLOOKUP(A102,ResourcesNameLimits!$A$4:$F$1500,3,FALSE)</f>
        <v>#N/A</v>
      </c>
      <c r="F102" s="3" t="e">
        <f>VLOOKUP(A102,ResourcesNameLimits!$A$4:$F$1500,4,FALSE)</f>
        <v>#N/A</v>
      </c>
    </row>
    <row r="103" spans="1:6" x14ac:dyDescent="0.45">
      <c r="A103" s="21" t="s">
        <v>518</v>
      </c>
      <c r="B103" s="21" t="s">
        <v>516</v>
      </c>
      <c r="C103" s="21" t="s">
        <v>519</v>
      </c>
      <c r="D103" s="3" t="e">
        <f>VLOOKUP(A103,ResourcesNameLimits!$A$4:$F$1500,2,FALSE)</f>
        <v>#N/A</v>
      </c>
      <c r="E103" s="3" t="e">
        <f>VLOOKUP(A103,ResourcesNameLimits!$A$4:$F$1500,3,FALSE)</f>
        <v>#N/A</v>
      </c>
      <c r="F103" s="3" t="e">
        <f>VLOOKUP(A103,ResourcesNameLimits!$A$4:$F$1500,4,FALSE)</f>
        <v>#N/A</v>
      </c>
    </row>
    <row r="104" spans="1:6" x14ac:dyDescent="0.45">
      <c r="A104" s="21" t="s">
        <v>520</v>
      </c>
      <c r="B104" s="21" t="s">
        <v>516</v>
      </c>
      <c r="C104" s="21" t="s">
        <v>521</v>
      </c>
      <c r="D104" s="3" t="e">
        <f>VLOOKUP(A104,ResourcesNameLimits!$A$4:$F$1500,2,FALSE)</f>
        <v>#N/A</v>
      </c>
      <c r="E104" s="3" t="e">
        <f>VLOOKUP(A104,ResourcesNameLimits!$A$4:$F$1500,3,FALSE)</f>
        <v>#N/A</v>
      </c>
      <c r="F104" s="3" t="e">
        <f>VLOOKUP(A104,ResourcesNameLimits!$A$4:$F$1500,4,FALSE)</f>
        <v>#N/A</v>
      </c>
    </row>
    <row r="105" spans="1:6" x14ac:dyDescent="0.45">
      <c r="A105" s="21" t="s">
        <v>522</v>
      </c>
      <c r="B105" s="21" t="s">
        <v>516</v>
      </c>
      <c r="C105" s="21" t="s">
        <v>523</v>
      </c>
      <c r="D105" s="3" t="e">
        <f>VLOOKUP(A105,ResourcesNameLimits!$A$4:$F$1500,2,FALSE)</f>
        <v>#N/A</v>
      </c>
      <c r="E105" s="3" t="e">
        <f>VLOOKUP(A105,ResourcesNameLimits!$A$4:$F$1500,3,FALSE)</f>
        <v>#N/A</v>
      </c>
      <c r="F105" s="3" t="e">
        <f>VLOOKUP(A105,ResourcesNameLimits!$A$4:$F$1500,4,FALSE)</f>
        <v>#N/A</v>
      </c>
    </row>
    <row r="106" spans="1:6" x14ac:dyDescent="0.45">
      <c r="A106" s="21" t="s">
        <v>524</v>
      </c>
      <c r="B106" s="21" t="s">
        <v>516</v>
      </c>
      <c r="C106" s="21" t="s">
        <v>525</v>
      </c>
      <c r="D106" s="3" t="e">
        <f>VLOOKUP(A106,ResourcesNameLimits!$A$4:$F$1500,2,FALSE)</f>
        <v>#N/A</v>
      </c>
      <c r="E106" s="3" t="e">
        <f>VLOOKUP(A106,ResourcesNameLimits!$A$4:$F$1500,3,FALSE)</f>
        <v>#N/A</v>
      </c>
      <c r="F106" s="3" t="e">
        <f>VLOOKUP(A106,ResourcesNameLimits!$A$4:$F$1500,4,FALSE)</f>
        <v>#N/A</v>
      </c>
    </row>
    <row r="107" spans="1:6" x14ac:dyDescent="0.45">
      <c r="A107" s="21" t="s">
        <v>526</v>
      </c>
      <c r="B107" s="21" t="s">
        <v>516</v>
      </c>
      <c r="C107" s="21" t="s">
        <v>527</v>
      </c>
      <c r="D107" s="3" t="e">
        <f>VLOOKUP(A107,ResourcesNameLimits!$A$4:$F$1500,2,FALSE)</f>
        <v>#N/A</v>
      </c>
      <c r="E107" s="3" t="e">
        <f>VLOOKUP(A107,ResourcesNameLimits!$A$4:$F$1500,3,FALSE)</f>
        <v>#N/A</v>
      </c>
      <c r="F107" s="3" t="e">
        <f>VLOOKUP(A107,ResourcesNameLimits!$A$4:$F$1500,4,FALSE)</f>
        <v>#N/A</v>
      </c>
    </row>
    <row r="108" spans="1:6" x14ac:dyDescent="0.45">
      <c r="A108" s="21" t="s">
        <v>528</v>
      </c>
      <c r="B108" s="21" t="s">
        <v>529</v>
      </c>
      <c r="C108" s="21" t="s">
        <v>530</v>
      </c>
      <c r="D108" s="3" t="e">
        <f>VLOOKUP(A108,ResourcesNameLimits!$A$4:$F$1500,2,FALSE)</f>
        <v>#N/A</v>
      </c>
      <c r="E108" s="3" t="e">
        <f>VLOOKUP(A108,ResourcesNameLimits!$A$4:$F$1500,3,FALSE)</f>
        <v>#N/A</v>
      </c>
      <c r="F108" s="3" t="e">
        <f>VLOOKUP(A108,ResourcesNameLimits!$A$4:$F$1500,4,FALSE)</f>
        <v>#N/A</v>
      </c>
    </row>
    <row r="109" spans="1:6" x14ac:dyDescent="0.45">
      <c r="A109" s="21" t="s">
        <v>531</v>
      </c>
      <c r="B109" s="21" t="s">
        <v>532</v>
      </c>
      <c r="C109" s="21" t="s">
        <v>533</v>
      </c>
      <c r="D109" s="3" t="e">
        <f>VLOOKUP(A109,ResourcesNameLimits!$A$4:$F$1500,2,FALSE)</f>
        <v>#N/A</v>
      </c>
      <c r="E109" s="3" t="e">
        <f>VLOOKUP(A109,ResourcesNameLimits!$A$4:$F$1500,3,FALSE)</f>
        <v>#N/A</v>
      </c>
      <c r="F109" s="3" t="e">
        <f>VLOOKUP(A109,ResourcesNameLimits!$A$4:$F$1500,4,FALSE)</f>
        <v>#N/A</v>
      </c>
    </row>
    <row r="110" spans="1:6" x14ac:dyDescent="0.45">
      <c r="A110" s="21" t="s">
        <v>534</v>
      </c>
      <c r="B110" s="21" t="s">
        <v>535</v>
      </c>
      <c r="C110" s="21" t="s">
        <v>536</v>
      </c>
      <c r="D110" s="3" t="e">
        <f>VLOOKUP(A110,ResourcesNameLimits!$A$4:$F$1500,2,FALSE)</f>
        <v>#N/A</v>
      </c>
      <c r="E110" s="3" t="e">
        <f>VLOOKUP(A110,ResourcesNameLimits!$A$4:$F$1500,3,FALSE)</f>
        <v>#N/A</v>
      </c>
      <c r="F110" s="3" t="e">
        <f>VLOOKUP(A110,ResourcesNameLimits!$A$4:$F$1500,4,FALSE)</f>
        <v>#N/A</v>
      </c>
    </row>
    <row r="111" spans="1:6" x14ac:dyDescent="0.45">
      <c r="A111" s="21" t="s">
        <v>537</v>
      </c>
      <c r="B111" s="21" t="s">
        <v>538</v>
      </c>
      <c r="C111" s="21" t="s">
        <v>539</v>
      </c>
      <c r="D111" s="3" t="e">
        <f>VLOOKUP(A111,ResourcesNameLimits!$A$4:$F$1500,2,FALSE)</f>
        <v>#N/A</v>
      </c>
      <c r="E111" s="3" t="e">
        <f>VLOOKUP(A111,ResourcesNameLimits!$A$4:$F$1500,3,FALSE)</f>
        <v>#N/A</v>
      </c>
      <c r="F111" s="3" t="e">
        <f>VLOOKUP(A111,ResourcesNameLimits!$A$4:$F$1500,4,FALSE)</f>
        <v>#N/A</v>
      </c>
    </row>
    <row r="112" spans="1:6" x14ac:dyDescent="0.45">
      <c r="A112" s="21" t="s">
        <v>540</v>
      </c>
      <c r="B112" s="21" t="s">
        <v>541</v>
      </c>
      <c r="C112" s="21" t="s">
        <v>542</v>
      </c>
      <c r="D112" s="3" t="e">
        <f>VLOOKUP(A112,ResourcesNameLimits!$A$4:$F$1500,2,FALSE)</f>
        <v>#N/A</v>
      </c>
      <c r="E112" s="3" t="e">
        <f>VLOOKUP(A112,ResourcesNameLimits!$A$4:$F$1500,3,FALSE)</f>
        <v>#N/A</v>
      </c>
      <c r="F112" s="3" t="e">
        <f>VLOOKUP(A112,ResourcesNameLimits!$A$4:$F$1500,4,FALSE)</f>
        <v>#N/A</v>
      </c>
    </row>
    <row r="113" spans="1:6" x14ac:dyDescent="0.45">
      <c r="A113" s="21" t="s">
        <v>543</v>
      </c>
      <c r="C113" s="21" t="s">
        <v>544</v>
      </c>
      <c r="D113" s="3" t="e">
        <f>VLOOKUP(A113,ResourcesNameLimits!$A$4:$F$1500,2,FALSE)</f>
        <v>#N/A</v>
      </c>
      <c r="E113" s="3" t="e">
        <f>VLOOKUP(A113,ResourcesNameLimits!$A$4:$F$1500,3,FALSE)</f>
        <v>#N/A</v>
      </c>
      <c r="F113" s="3" t="e">
        <f>VLOOKUP(A113,ResourcesNameLimits!$A$4:$F$1500,4,FALSE)</f>
        <v>#N/A</v>
      </c>
    </row>
    <row r="114" spans="1:6" x14ac:dyDescent="0.45">
      <c r="A114" s="21" t="s">
        <v>545</v>
      </c>
      <c r="C114" s="21" t="s">
        <v>546</v>
      </c>
      <c r="D114" s="3" t="e">
        <f>VLOOKUP(A114,ResourcesNameLimits!$A$4:$F$1500,2,FALSE)</f>
        <v>#N/A</v>
      </c>
      <c r="E114" s="3" t="e">
        <f>VLOOKUP(A114,ResourcesNameLimits!$A$4:$F$1500,3,FALSE)</f>
        <v>#N/A</v>
      </c>
      <c r="F114" s="3" t="e">
        <f>VLOOKUP(A114,ResourcesNameLimits!$A$4:$F$1500,4,FALSE)</f>
        <v>#N/A</v>
      </c>
    </row>
    <row r="115" spans="1:6" x14ac:dyDescent="0.45">
      <c r="A115" s="21" t="s">
        <v>547</v>
      </c>
      <c r="C115" s="21" t="s">
        <v>548</v>
      </c>
      <c r="D115" s="3" t="e">
        <f>VLOOKUP(A115,ResourcesNameLimits!$A$4:$F$1500,2,FALSE)</f>
        <v>#N/A</v>
      </c>
      <c r="E115" s="3" t="e">
        <f>VLOOKUP(A115,ResourcesNameLimits!$A$4:$F$1500,3,FALSE)</f>
        <v>#N/A</v>
      </c>
      <c r="F115" s="3" t="e">
        <f>VLOOKUP(A115,ResourcesNameLimits!$A$4:$F$1500,4,FALSE)</f>
        <v>#N/A</v>
      </c>
    </row>
    <row r="116" spans="1:6" x14ac:dyDescent="0.45">
      <c r="A116" s="21" t="s">
        <v>549</v>
      </c>
      <c r="B116" s="21" t="s">
        <v>550</v>
      </c>
      <c r="C116" s="21" t="s">
        <v>551</v>
      </c>
      <c r="D116" s="3" t="e">
        <f>VLOOKUP(A116,ResourcesNameLimits!$A$4:$F$1500,2,FALSE)</f>
        <v>#N/A</v>
      </c>
      <c r="E116" s="3" t="e">
        <f>VLOOKUP(A116,ResourcesNameLimits!$A$4:$F$1500,3,FALSE)</f>
        <v>#N/A</v>
      </c>
      <c r="F116" s="3" t="e">
        <f>VLOOKUP(A116,ResourcesNameLimits!$A$4:$F$1500,4,FALSE)</f>
        <v>#N/A</v>
      </c>
    </row>
    <row r="117" spans="1:6" x14ac:dyDescent="0.45">
      <c r="A117" s="21" t="s">
        <v>552</v>
      </c>
      <c r="B117" s="21" t="s">
        <v>553</v>
      </c>
      <c r="C117" s="21" t="s">
        <v>554</v>
      </c>
      <c r="D117" s="3" t="e">
        <f>VLOOKUP(A117,ResourcesNameLimits!$A$4:$F$1500,2,FALSE)</f>
        <v>#N/A</v>
      </c>
      <c r="E117" s="3" t="e">
        <f>VLOOKUP(A117,ResourcesNameLimits!$A$4:$F$1500,3,FALSE)</f>
        <v>#N/A</v>
      </c>
      <c r="F117" s="3" t="e">
        <f>VLOOKUP(A117,ResourcesNameLimits!$A$4:$F$1500,4,FALSE)</f>
        <v>#N/A</v>
      </c>
    </row>
    <row r="118" spans="1:6" x14ac:dyDescent="0.45">
      <c r="A118" s="21" t="s">
        <v>555</v>
      </c>
      <c r="B118" s="21" t="s">
        <v>556</v>
      </c>
      <c r="C118" s="21" t="s">
        <v>557</v>
      </c>
      <c r="D118" s="3" t="e">
        <f>VLOOKUP(A118,ResourcesNameLimits!$A$4:$F$1500,2,FALSE)</f>
        <v>#N/A</v>
      </c>
      <c r="E118" s="3" t="e">
        <f>VLOOKUP(A118,ResourcesNameLimits!$A$4:$F$1500,3,FALSE)</f>
        <v>#N/A</v>
      </c>
      <c r="F118" s="3" t="e">
        <f>VLOOKUP(A118,ResourcesNameLimits!$A$4:$F$1500,4,FALSE)</f>
        <v>#N/A</v>
      </c>
    </row>
    <row r="119" spans="1:6" x14ac:dyDescent="0.45">
      <c r="A119" s="21" t="s">
        <v>558</v>
      </c>
      <c r="B119" s="21" t="s">
        <v>559</v>
      </c>
      <c r="C119" s="21" t="s">
        <v>560</v>
      </c>
      <c r="D119" s="3" t="e">
        <f>VLOOKUP(A119,ResourcesNameLimits!$A$4:$F$1500,2,FALSE)</f>
        <v>#N/A</v>
      </c>
      <c r="E119" s="3" t="e">
        <f>VLOOKUP(A119,ResourcesNameLimits!$A$4:$F$1500,3,FALSE)</f>
        <v>#N/A</v>
      </c>
      <c r="F119" s="3" t="e">
        <f>VLOOKUP(A119,ResourcesNameLimits!$A$4:$F$1500,4,FALSE)</f>
        <v>#N/A</v>
      </c>
    </row>
    <row r="120" spans="1:6" x14ac:dyDescent="0.45">
      <c r="A120" s="21" t="s">
        <v>561</v>
      </c>
      <c r="B120" s="21" t="s">
        <v>562</v>
      </c>
      <c r="C120" s="21" t="s">
        <v>563</v>
      </c>
      <c r="D120" s="3" t="e">
        <f>VLOOKUP(A120,ResourcesNameLimits!$A$4:$F$1500,2,FALSE)</f>
        <v>#N/A</v>
      </c>
      <c r="E120" s="3" t="e">
        <f>VLOOKUP(A120,ResourcesNameLimits!$A$4:$F$1500,3,FALSE)</f>
        <v>#N/A</v>
      </c>
      <c r="F120" s="3" t="e">
        <f>VLOOKUP(A120,ResourcesNameLimits!$A$4:$F$1500,4,FALSE)</f>
        <v>#N/A</v>
      </c>
    </row>
    <row r="121" spans="1:6" x14ac:dyDescent="0.45">
      <c r="A121" s="21" t="s">
        <v>564</v>
      </c>
      <c r="B121" s="21" t="s">
        <v>565</v>
      </c>
      <c r="C121" s="21" t="s">
        <v>566</v>
      </c>
      <c r="D121" s="3" t="e">
        <f>VLOOKUP(A121,ResourcesNameLimits!$A$4:$F$1500,2,FALSE)</f>
        <v>#N/A</v>
      </c>
      <c r="E121" s="3" t="e">
        <f>VLOOKUP(A121,ResourcesNameLimits!$A$4:$F$1500,3,FALSE)</f>
        <v>#N/A</v>
      </c>
      <c r="F121" s="3" t="e">
        <f>VLOOKUP(A121,ResourcesNameLimits!$A$4:$F$1500,4,FALSE)</f>
        <v>#N/A</v>
      </c>
    </row>
    <row r="122" spans="1:6" x14ac:dyDescent="0.45">
      <c r="A122" s="21" t="s">
        <v>567</v>
      </c>
      <c r="B122" s="21" t="s">
        <v>568</v>
      </c>
      <c r="C122" s="21" t="s">
        <v>569</v>
      </c>
      <c r="D122" s="3" t="e">
        <f>VLOOKUP(A122,ResourcesNameLimits!$A$4:$F$1500,2,FALSE)</f>
        <v>#N/A</v>
      </c>
      <c r="E122" s="3" t="e">
        <f>VLOOKUP(A122,ResourcesNameLimits!$A$4:$F$1500,3,FALSE)</f>
        <v>#N/A</v>
      </c>
      <c r="F122" s="3" t="e">
        <f>VLOOKUP(A122,ResourcesNameLimits!$A$4:$F$1500,4,FALSE)</f>
        <v>#N/A</v>
      </c>
    </row>
    <row r="123" spans="1:6" x14ac:dyDescent="0.45">
      <c r="A123" s="21" t="s">
        <v>570</v>
      </c>
      <c r="B123" s="21" t="s">
        <v>571</v>
      </c>
      <c r="C123" s="21" t="s">
        <v>572</v>
      </c>
      <c r="D123" s="3" t="e">
        <f>VLOOKUP(A123,ResourcesNameLimits!$A$4:$F$1500,2,FALSE)</f>
        <v>#N/A</v>
      </c>
      <c r="E123" s="3" t="e">
        <f>VLOOKUP(A123,ResourcesNameLimits!$A$4:$F$1500,3,FALSE)</f>
        <v>#N/A</v>
      </c>
      <c r="F123" s="3" t="e">
        <f>VLOOKUP(A123,ResourcesNameLimits!$A$4:$F$1500,4,FALSE)</f>
        <v>#N/A</v>
      </c>
    </row>
    <row r="124" spans="1:6" x14ac:dyDescent="0.45">
      <c r="A124" s="21" t="s">
        <v>573</v>
      </c>
      <c r="B124" s="21" t="s">
        <v>574</v>
      </c>
      <c r="C124" s="21" t="s">
        <v>575</v>
      </c>
      <c r="D124" s="3" t="e">
        <f>VLOOKUP(A124,ResourcesNameLimits!$A$4:$F$1500,2,FALSE)</f>
        <v>#N/A</v>
      </c>
      <c r="E124" s="3" t="e">
        <f>VLOOKUP(A124,ResourcesNameLimits!$A$4:$F$1500,3,FALSE)</f>
        <v>#N/A</v>
      </c>
      <c r="F124" s="3" t="e">
        <f>VLOOKUP(A124,ResourcesNameLimits!$A$4:$F$1500,4,FALSE)</f>
        <v>#N/A</v>
      </c>
    </row>
    <row r="125" spans="1:6" x14ac:dyDescent="0.45">
      <c r="A125" s="21" t="s">
        <v>576</v>
      </c>
      <c r="B125" s="21" t="s">
        <v>577</v>
      </c>
      <c r="C125" s="21" t="s">
        <v>578</v>
      </c>
      <c r="D125" s="3" t="e">
        <f>VLOOKUP(A125,ResourcesNameLimits!$A$4:$F$1500,2,FALSE)</f>
        <v>#N/A</v>
      </c>
      <c r="E125" s="3" t="e">
        <f>VLOOKUP(A125,ResourcesNameLimits!$A$4:$F$1500,3,FALSE)</f>
        <v>#N/A</v>
      </c>
      <c r="F125" s="3" t="e">
        <f>VLOOKUP(A125,ResourcesNameLimits!$A$4:$F$1500,4,FALSE)</f>
        <v>#N/A</v>
      </c>
    </row>
    <row r="126" spans="1:6" x14ac:dyDescent="0.45">
      <c r="A126" s="21" t="s">
        <v>579</v>
      </c>
      <c r="B126" s="21" t="s">
        <v>580</v>
      </c>
      <c r="C126" s="21" t="s">
        <v>581</v>
      </c>
      <c r="D126" s="3" t="e">
        <f>VLOOKUP(A126,ResourcesNameLimits!$A$4:$F$1500,2,FALSE)</f>
        <v>#N/A</v>
      </c>
      <c r="E126" s="3" t="e">
        <f>VLOOKUP(A126,ResourcesNameLimits!$A$4:$F$1500,3,FALSE)</f>
        <v>#N/A</v>
      </c>
      <c r="F126" s="3" t="e">
        <f>VLOOKUP(A126,ResourcesNameLimits!$A$4:$F$1500,4,FALSE)</f>
        <v>#N/A</v>
      </c>
    </row>
    <row r="127" spans="1:6" x14ac:dyDescent="0.45">
      <c r="A127" s="21" t="s">
        <v>582</v>
      </c>
      <c r="B127" s="21" t="s">
        <v>583</v>
      </c>
      <c r="C127" s="21" t="s">
        <v>584</v>
      </c>
      <c r="D127" s="3" t="e">
        <f>VLOOKUP(A127,ResourcesNameLimits!$A$4:$F$1500,2,FALSE)</f>
        <v>#N/A</v>
      </c>
      <c r="E127" s="3" t="e">
        <f>VLOOKUP(A127,ResourcesNameLimits!$A$4:$F$1500,3,FALSE)</f>
        <v>#N/A</v>
      </c>
      <c r="F127" s="3" t="e">
        <f>VLOOKUP(A127,ResourcesNameLimits!$A$4:$F$1500,4,FALSE)</f>
        <v>#N/A</v>
      </c>
    </row>
    <row r="128" spans="1:6" x14ac:dyDescent="0.45">
      <c r="A128" s="21" t="s">
        <v>585</v>
      </c>
      <c r="B128" s="21" t="s">
        <v>586</v>
      </c>
      <c r="C128" s="21" t="s">
        <v>587</v>
      </c>
      <c r="D128" s="3" t="e">
        <f>VLOOKUP(A128,ResourcesNameLimits!$A$4:$F$1500,2,FALSE)</f>
        <v>#N/A</v>
      </c>
      <c r="E128" s="3" t="e">
        <f>VLOOKUP(A128,ResourcesNameLimits!$A$4:$F$1500,3,FALSE)</f>
        <v>#N/A</v>
      </c>
      <c r="F128" s="3" t="e">
        <f>VLOOKUP(A128,ResourcesNameLimits!$A$4:$F$1500,4,FALSE)</f>
        <v>#N/A</v>
      </c>
    </row>
    <row r="129" spans="1:6" x14ac:dyDescent="0.45">
      <c r="A129" s="21" t="s">
        <v>588</v>
      </c>
      <c r="B129" s="21" t="s">
        <v>589</v>
      </c>
      <c r="C129" s="21" t="s">
        <v>590</v>
      </c>
      <c r="D129" s="3" t="str">
        <f>VLOOKUP(A129,ResourcesNameLimits!$A$4:$F$1500,2,FALSE)</f>
        <v>Global</v>
      </c>
      <c r="E129" s="3">
        <f>VLOOKUP(A129,ResourcesNameLimits!$A$4:$F$1500,3,FALSE)</f>
        <v>24</v>
      </c>
      <c r="F129" s="3" t="str">
        <f>VLOOKUP(A129,ResourcesNameLimits!$A$4:$F$1500,4,FALSE)</f>
        <v>^(?![0-9-])[a-zA-Z0-9-]{3,24}(?&lt;![-])$</v>
      </c>
    </row>
    <row r="130" spans="1:6" x14ac:dyDescent="0.45">
      <c r="A130" s="21" t="s">
        <v>591</v>
      </c>
      <c r="B130" s="21" t="s">
        <v>592</v>
      </c>
      <c r="C130" s="21" t="s">
        <v>593</v>
      </c>
      <c r="D130" s="3" t="e">
        <f>VLOOKUP(A130,ResourcesNameLimits!$A$4:$F$1500,2,FALSE)</f>
        <v>#N/A</v>
      </c>
      <c r="E130" s="3" t="e">
        <f>VLOOKUP(A130,ResourcesNameLimits!$A$4:$F$1500,3,FALSE)</f>
        <v>#N/A</v>
      </c>
      <c r="F130" s="3" t="e">
        <f>VLOOKUP(A130,ResourcesNameLimits!$A$4:$F$1500,4,FALSE)</f>
        <v>#N/A</v>
      </c>
    </row>
    <row r="131" spans="1:6" x14ac:dyDescent="0.45">
      <c r="A131" s="21" t="s">
        <v>594</v>
      </c>
      <c r="B131" s="21" t="s">
        <v>595</v>
      </c>
      <c r="C131" s="21" t="s">
        <v>596</v>
      </c>
      <c r="D131" s="3" t="e">
        <f>VLOOKUP(A131,ResourcesNameLimits!$A$4:$F$1500,2,FALSE)</f>
        <v>#N/A</v>
      </c>
      <c r="E131" s="3" t="e">
        <f>VLOOKUP(A131,ResourcesNameLimits!$A$4:$F$1500,3,FALSE)</f>
        <v>#N/A</v>
      </c>
      <c r="F131" s="3" t="e">
        <f>VLOOKUP(A131,ResourcesNameLimits!$A$4:$F$1500,4,FALSE)</f>
        <v>#N/A</v>
      </c>
    </row>
    <row r="132" spans="1:6" x14ac:dyDescent="0.45">
      <c r="A132" s="21" t="s">
        <v>597</v>
      </c>
      <c r="B132" s="21" t="s">
        <v>598</v>
      </c>
      <c r="C132" s="21" t="s">
        <v>599</v>
      </c>
      <c r="D132" s="3" t="e">
        <f>VLOOKUP(A132,ResourcesNameLimits!$A$4:$F$1500,2,FALSE)</f>
        <v>#N/A</v>
      </c>
      <c r="E132" s="3" t="e">
        <f>VLOOKUP(A132,ResourcesNameLimits!$A$4:$F$1500,3,FALSE)</f>
        <v>#N/A</v>
      </c>
      <c r="F132" s="3" t="e">
        <f>VLOOKUP(A132,ResourcesNameLimits!$A$4:$F$1500,4,FALSE)</f>
        <v>#N/A</v>
      </c>
    </row>
    <row r="133" spans="1:6" x14ac:dyDescent="0.45">
      <c r="A133" s="21" t="s">
        <v>600</v>
      </c>
      <c r="B133" s="21" t="s">
        <v>601</v>
      </c>
      <c r="C133" s="21" t="s">
        <v>602</v>
      </c>
      <c r="D133" s="3" t="e">
        <f>VLOOKUP(A133,ResourcesNameLimits!$A$4:$F$1500,2,FALSE)</f>
        <v>#N/A</v>
      </c>
      <c r="E133" s="3" t="e">
        <f>VLOOKUP(A133,ResourcesNameLimits!$A$4:$F$1500,3,FALSE)</f>
        <v>#N/A</v>
      </c>
      <c r="F133" s="3" t="e">
        <f>VLOOKUP(A133,ResourcesNameLimits!$A$4:$F$1500,4,FALSE)</f>
        <v>#N/A</v>
      </c>
    </row>
    <row r="134" spans="1:6" x14ac:dyDescent="0.45">
      <c r="A134" s="21" t="s">
        <v>603</v>
      </c>
      <c r="B134" s="21" t="s">
        <v>436</v>
      </c>
      <c r="C134" s="21" t="s">
        <v>604</v>
      </c>
      <c r="D134" s="3" t="e">
        <f>VLOOKUP(A134,ResourcesNameLimits!$A$4:$F$1500,2,FALSE)</f>
        <v>#N/A</v>
      </c>
      <c r="E134" s="3" t="e">
        <f>VLOOKUP(A134,ResourcesNameLimits!$A$4:$F$1500,3,FALSE)</f>
        <v>#N/A</v>
      </c>
      <c r="F134" s="3" t="e">
        <f>VLOOKUP(A134,ResourcesNameLimits!$A$4:$F$1500,4,FALSE)</f>
        <v>#N/A</v>
      </c>
    </row>
  </sheetData>
  <autoFilter ref="A3:F134" xr:uid="{FCF88FAF-5FD3-44CB-A42F-6BDC3CDE0767}"/>
  <mergeCells count="2">
    <mergeCell ref="A1:F1"/>
    <mergeCell ref="B2:F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zoomScale="130" zoomScaleNormal="130" workbookViewId="0">
      <selection activeCell="A6" sqref="A6"/>
    </sheetView>
  </sheetViews>
  <sheetFormatPr defaultColWidth="9.1796875" defaultRowHeight="16.5" x14ac:dyDescent="0.45"/>
  <cols>
    <col min="1" max="1" width="24.7265625" style="3" customWidth="1"/>
    <col min="2" max="3" width="20.1796875" style="3" customWidth="1"/>
    <col min="4" max="4" width="24.81640625" style="3" customWidth="1"/>
    <col min="5" max="8" width="14" style="3" customWidth="1"/>
    <col min="9" max="9" width="5.1796875" style="3" customWidth="1"/>
    <col min="10" max="10" width="17.453125" style="3" customWidth="1"/>
    <col min="11" max="13" width="19.54296875" style="3" customWidth="1"/>
    <col min="14" max="14" width="11.54296875" style="3" customWidth="1"/>
    <col min="15" max="15" width="38.54296875" style="3" customWidth="1"/>
    <col min="16" max="20" width="17" style="3" customWidth="1"/>
    <col min="21" max="21" width="44.54296875" style="3" customWidth="1"/>
    <col min="22" max="16384" width="9.1796875" style="3"/>
  </cols>
  <sheetData>
    <row r="1" spans="1:21" ht="32.5" x14ac:dyDescent="0.85">
      <c r="A1" s="29" t="s">
        <v>102</v>
      </c>
      <c r="B1" s="29"/>
      <c r="C1" s="14"/>
      <c r="D1" s="14"/>
      <c r="E1" s="14"/>
      <c r="F1" s="14"/>
      <c r="G1" s="14"/>
      <c r="H1" s="14"/>
      <c r="L1" s="14"/>
      <c r="M1" s="14"/>
      <c r="N1" s="12"/>
      <c r="O1" s="29"/>
      <c r="P1" s="29"/>
      <c r="Q1" s="29"/>
      <c r="R1" s="29"/>
      <c r="S1" s="29"/>
      <c r="T1" s="29"/>
      <c r="U1" s="29"/>
    </row>
    <row r="2" spans="1:21" ht="33.75" customHeight="1" x14ac:dyDescent="0.45">
      <c r="A2" s="26"/>
      <c r="B2" s="26"/>
      <c r="C2" s="16"/>
      <c r="D2" s="16"/>
      <c r="E2" s="16"/>
      <c r="F2" s="16"/>
      <c r="G2" s="16"/>
      <c r="H2" s="16"/>
      <c r="L2" s="15"/>
      <c r="M2" s="15"/>
      <c r="N2" s="6"/>
      <c r="O2" s="1"/>
      <c r="P2" s="30"/>
      <c r="Q2" s="30"/>
      <c r="R2" s="30"/>
      <c r="S2" s="30"/>
      <c r="T2" s="30"/>
      <c r="U2" s="30"/>
    </row>
    <row r="3" spans="1:21" x14ac:dyDescent="0.45">
      <c r="C3" s="13"/>
      <c r="D3" s="13"/>
      <c r="E3" s="13"/>
      <c r="F3" s="13"/>
      <c r="G3" s="13"/>
      <c r="H3" s="13"/>
      <c r="L3" s="13"/>
      <c r="M3" s="13"/>
      <c r="N3" s="2"/>
      <c r="O3" s="11"/>
      <c r="P3" s="11"/>
      <c r="Q3" s="11"/>
      <c r="R3" s="2"/>
      <c r="S3" s="2"/>
      <c r="T3" s="2"/>
      <c r="U3" s="2"/>
    </row>
    <row r="4" spans="1:21" x14ac:dyDescent="0.45">
      <c r="A4" s="3" t="s">
        <v>103</v>
      </c>
      <c r="H4" s="4"/>
      <c r="M4" s="5"/>
      <c r="N4" s="5"/>
    </row>
    <row r="5" spans="1:21" x14ac:dyDescent="0.45">
      <c r="A5" s="3" t="s">
        <v>607</v>
      </c>
      <c r="H5" s="4"/>
      <c r="M5" s="5"/>
      <c r="N5" s="5"/>
    </row>
    <row r="6" spans="1:21" x14ac:dyDescent="0.45">
      <c r="H6" s="4"/>
      <c r="M6" s="5"/>
      <c r="N6" s="5"/>
    </row>
    <row r="7" spans="1:21" x14ac:dyDescent="0.45">
      <c r="H7" s="4"/>
      <c r="M7" s="5"/>
      <c r="N7" s="5"/>
    </row>
    <row r="8" spans="1:21" x14ac:dyDescent="0.45">
      <c r="H8" s="4"/>
    </row>
    <row r="9" spans="1:21" x14ac:dyDescent="0.45">
      <c r="H9" s="4"/>
    </row>
    <row r="10" spans="1:21" x14ac:dyDescent="0.45">
      <c r="H10" s="4"/>
    </row>
    <row r="11" spans="1:21" x14ac:dyDescent="0.45">
      <c r="H11" s="4"/>
    </row>
    <row r="12" spans="1:21" x14ac:dyDescent="0.45">
      <c r="H12" s="4"/>
    </row>
    <row r="13" spans="1:21" x14ac:dyDescent="0.45">
      <c r="H13" s="4"/>
    </row>
    <row r="14" spans="1:21" x14ac:dyDescent="0.45">
      <c r="H14" s="4"/>
    </row>
    <row r="15" spans="1:21" x14ac:dyDescent="0.45">
      <c r="H15" s="4"/>
    </row>
    <row r="16" spans="1:21" x14ac:dyDescent="0.45">
      <c r="H16" s="4"/>
    </row>
    <row r="17" spans="8:8" x14ac:dyDescent="0.45">
      <c r="H17" s="4"/>
    </row>
    <row r="18" spans="8:8" x14ac:dyDescent="0.45">
      <c r="H18" s="4"/>
    </row>
    <row r="19" spans="8:8" x14ac:dyDescent="0.45">
      <c r="H19" s="4"/>
    </row>
    <row r="20" spans="8:8" x14ac:dyDescent="0.45">
      <c r="H20" s="4"/>
    </row>
    <row r="21" spans="8:8" x14ac:dyDescent="0.45">
      <c r="H21" s="4"/>
    </row>
    <row r="22" spans="8:8" x14ac:dyDescent="0.45">
      <c r="H22" s="4"/>
    </row>
    <row r="23" spans="8:8" x14ac:dyDescent="0.45">
      <c r="H23" s="4"/>
    </row>
    <row r="24" spans="8:8" x14ac:dyDescent="0.45">
      <c r="H24" s="4"/>
    </row>
    <row r="25" spans="8:8" x14ac:dyDescent="0.45">
      <c r="H25" s="4"/>
    </row>
    <row r="26" spans="8:8" x14ac:dyDescent="0.45">
      <c r="H26" s="4"/>
    </row>
    <row r="27" spans="8:8" x14ac:dyDescent="0.45">
      <c r="H27" s="4"/>
    </row>
    <row r="28" spans="8:8" x14ac:dyDescent="0.45">
      <c r="H28" s="4"/>
    </row>
    <row r="29" spans="8:8" x14ac:dyDescent="0.45">
      <c r="H29" s="4"/>
    </row>
    <row r="30" spans="8:8" x14ac:dyDescent="0.45">
      <c r="H30" s="4"/>
    </row>
    <row r="31" spans="8:8" x14ac:dyDescent="0.45">
      <c r="H31" s="4"/>
    </row>
    <row r="32" spans="8:8" x14ac:dyDescent="0.45">
      <c r="H32" s="4"/>
    </row>
    <row r="33" spans="8:8" x14ac:dyDescent="0.45">
      <c r="H33" s="4"/>
    </row>
    <row r="34" spans="8:8" x14ac:dyDescent="0.45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82B2-EC85-4ACF-836F-3C130A72FE7A}">
  <sheetPr codeName="Sheet7"/>
  <dimension ref="A1:D24"/>
  <sheetViews>
    <sheetView workbookViewId="0">
      <selection activeCell="A22" sqref="A22"/>
    </sheetView>
  </sheetViews>
  <sheetFormatPr defaultRowHeight="14.5" x14ac:dyDescent="0.35"/>
  <cols>
    <col min="1" max="1" width="29.7265625" customWidth="1"/>
    <col min="2" max="2" width="25.26953125" customWidth="1"/>
    <col min="3" max="3" width="28.6328125" customWidth="1"/>
    <col min="4" max="4" width="34.7265625" customWidth="1"/>
  </cols>
  <sheetData>
    <row r="1" spans="1:4" ht="32.5" x14ac:dyDescent="0.85">
      <c r="A1" s="29" t="s">
        <v>79</v>
      </c>
      <c r="B1" s="29"/>
      <c r="C1" s="29"/>
      <c r="D1" s="29"/>
    </row>
    <row r="2" spans="1:4" ht="16.5" x14ac:dyDescent="0.35">
      <c r="A2" s="1" t="s">
        <v>54</v>
      </c>
      <c r="B2" s="30"/>
      <c r="C2" s="30"/>
      <c r="D2" s="30"/>
    </row>
    <row r="3" spans="1:4" ht="16.5" x14ac:dyDescent="0.45">
      <c r="A3" s="17" t="s">
        <v>66</v>
      </c>
      <c r="B3" s="17" t="s">
        <v>88</v>
      </c>
      <c r="C3" s="17" t="s">
        <v>67</v>
      </c>
      <c r="D3" s="17" t="s">
        <v>68</v>
      </c>
    </row>
    <row r="4" spans="1:4" ht="16.5" x14ac:dyDescent="0.45">
      <c r="A4" s="3" t="s">
        <v>9</v>
      </c>
      <c r="B4" s="3" t="s">
        <v>89</v>
      </c>
      <c r="C4" s="3">
        <v>64</v>
      </c>
      <c r="D4" s="3" t="s">
        <v>74</v>
      </c>
    </row>
    <row r="5" spans="1:4" ht="16.5" x14ac:dyDescent="0.45">
      <c r="A5" s="3" t="s">
        <v>10</v>
      </c>
      <c r="B5" s="3" t="s">
        <v>9</v>
      </c>
      <c r="C5" s="3">
        <v>80</v>
      </c>
      <c r="D5" s="3" t="s">
        <v>75</v>
      </c>
    </row>
    <row r="6" spans="1:4" ht="16.5" x14ac:dyDescent="0.45">
      <c r="A6" s="3" t="s">
        <v>11</v>
      </c>
      <c r="B6" s="3" t="s">
        <v>9</v>
      </c>
      <c r="C6" s="3">
        <v>15</v>
      </c>
      <c r="D6" s="3" t="s">
        <v>77</v>
      </c>
    </row>
    <row r="7" spans="1:4" ht="16.5" x14ac:dyDescent="0.45">
      <c r="A7" s="3" t="s">
        <v>18</v>
      </c>
      <c r="B7" s="3" t="s">
        <v>89</v>
      </c>
      <c r="C7" s="3">
        <v>24</v>
      </c>
      <c r="D7" s="3" t="s">
        <v>78</v>
      </c>
    </row>
    <row r="8" spans="1:4" ht="16.5" x14ac:dyDescent="0.45">
      <c r="A8" s="3" t="s">
        <v>19</v>
      </c>
      <c r="B8" s="3" t="s">
        <v>9</v>
      </c>
      <c r="C8" s="3">
        <v>63</v>
      </c>
      <c r="D8" s="3" t="s">
        <v>80</v>
      </c>
    </row>
    <row r="9" spans="1:4" ht="16.5" x14ac:dyDescent="0.45">
      <c r="A9" s="3" t="s">
        <v>12</v>
      </c>
      <c r="B9" s="3" t="s">
        <v>9</v>
      </c>
      <c r="C9" s="3">
        <v>80</v>
      </c>
      <c r="D9" s="3" t="s">
        <v>81</v>
      </c>
    </row>
    <row r="10" spans="1:4" ht="16.5" x14ac:dyDescent="0.45">
      <c r="A10" s="3" t="s">
        <v>13</v>
      </c>
      <c r="B10" s="3" t="s">
        <v>9</v>
      </c>
      <c r="C10" s="3">
        <v>80</v>
      </c>
      <c r="D10" s="3" t="s">
        <v>81</v>
      </c>
    </row>
    <row r="11" spans="1:4" ht="16.5" x14ac:dyDescent="0.45">
      <c r="A11" s="3" t="s">
        <v>14</v>
      </c>
      <c r="B11" s="3" t="s">
        <v>9</v>
      </c>
      <c r="C11" s="3">
        <v>80</v>
      </c>
      <c r="D11" s="3" t="s">
        <v>81</v>
      </c>
    </row>
    <row r="12" spans="1:4" ht="16.5" x14ac:dyDescent="0.45">
      <c r="A12" s="3" t="s">
        <v>15</v>
      </c>
      <c r="B12" s="3" t="s">
        <v>9</v>
      </c>
      <c r="C12" s="3">
        <v>80</v>
      </c>
      <c r="D12" s="3" t="s">
        <v>81</v>
      </c>
    </row>
    <row r="13" spans="1:4" ht="16.5" x14ac:dyDescent="0.45">
      <c r="A13" s="3" t="s">
        <v>16</v>
      </c>
      <c r="B13" s="3" t="s">
        <v>9</v>
      </c>
      <c r="C13" s="3">
        <v>80</v>
      </c>
      <c r="D13" s="3" t="s">
        <v>81</v>
      </c>
    </row>
    <row r="14" spans="1:4" ht="16.5" x14ac:dyDescent="0.45">
      <c r="A14" s="3" t="s">
        <v>20</v>
      </c>
      <c r="B14" s="3" t="s">
        <v>9</v>
      </c>
      <c r="C14" s="3">
        <v>80</v>
      </c>
      <c r="D14" s="3" t="s">
        <v>81</v>
      </c>
    </row>
    <row r="15" spans="1:4" ht="16.5" x14ac:dyDescent="0.45">
      <c r="A15" s="3" t="s">
        <v>17</v>
      </c>
      <c r="B15" s="3" t="s">
        <v>9</v>
      </c>
      <c r="C15" s="3">
        <v>63</v>
      </c>
      <c r="D15" s="3" t="s">
        <v>82</v>
      </c>
    </row>
    <row r="16" spans="1:4" ht="16.5" x14ac:dyDescent="0.45">
      <c r="A16" s="3" t="s">
        <v>21</v>
      </c>
      <c r="B16" s="3" t="s">
        <v>89</v>
      </c>
      <c r="C16" s="3">
        <v>40</v>
      </c>
      <c r="D16" s="3" t="s">
        <v>76</v>
      </c>
    </row>
    <row r="17" spans="1:4" ht="16.5" x14ac:dyDescent="0.45">
      <c r="A17" s="3" t="s">
        <v>588</v>
      </c>
      <c r="B17" s="3" t="s">
        <v>89</v>
      </c>
      <c r="C17" s="3">
        <v>24</v>
      </c>
      <c r="D17" s="3" t="s">
        <v>614</v>
      </c>
    </row>
    <row r="18" spans="1:4" ht="16.5" x14ac:dyDescent="0.45">
      <c r="A18" s="3" t="s">
        <v>50</v>
      </c>
      <c r="B18" s="3" t="s">
        <v>9</v>
      </c>
      <c r="C18" s="3">
        <v>40</v>
      </c>
      <c r="D18" s="3" t="s">
        <v>76</v>
      </c>
    </row>
    <row r="19" spans="1:4" ht="16.5" x14ac:dyDescent="0.45">
      <c r="A19" s="3" t="s">
        <v>69</v>
      </c>
      <c r="B19" s="3" t="s">
        <v>89</v>
      </c>
      <c r="C19" s="3">
        <v>50</v>
      </c>
      <c r="D19" s="3" t="s">
        <v>86</v>
      </c>
    </row>
    <row r="20" spans="1:4" ht="16.5" x14ac:dyDescent="0.45">
      <c r="A20" s="3" t="s">
        <v>70</v>
      </c>
      <c r="B20" s="3" t="s">
        <v>89</v>
      </c>
      <c r="C20" s="3">
        <v>63</v>
      </c>
      <c r="D20" s="3" t="s">
        <v>84</v>
      </c>
    </row>
    <row r="21" spans="1:4" ht="16.5" x14ac:dyDescent="0.45">
      <c r="A21" s="3" t="s">
        <v>71</v>
      </c>
      <c r="B21" s="3" t="s">
        <v>89</v>
      </c>
      <c r="C21" s="3">
        <v>60</v>
      </c>
      <c r="D21" s="3" t="s">
        <v>87</v>
      </c>
    </row>
    <row r="22" spans="1:4" ht="16.5" x14ac:dyDescent="0.45">
      <c r="A22" s="3" t="s">
        <v>72</v>
      </c>
      <c r="B22" s="3" t="s">
        <v>89</v>
      </c>
      <c r="C22" s="3">
        <v>24</v>
      </c>
      <c r="D22" s="3" t="s">
        <v>85</v>
      </c>
    </row>
    <row r="23" spans="1:4" ht="16.5" x14ac:dyDescent="0.45">
      <c r="A23" s="3" t="s">
        <v>73</v>
      </c>
      <c r="B23" s="3" t="s">
        <v>9</v>
      </c>
      <c r="C23" s="3">
        <v>38</v>
      </c>
      <c r="D23" s="3" t="s">
        <v>83</v>
      </c>
    </row>
    <row r="24" spans="1:4" ht="16.5" x14ac:dyDescent="0.45">
      <c r="A24" s="21" t="s">
        <v>231</v>
      </c>
      <c r="B24" s="3" t="s">
        <v>170</v>
      </c>
      <c r="C24" s="3">
        <v>50</v>
      </c>
      <c r="D24" s="3" t="s">
        <v>611</v>
      </c>
    </row>
  </sheetData>
  <mergeCells count="2">
    <mergeCell ref="A1:D1"/>
    <mergeCell ref="B2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Convention</vt:lpstr>
      <vt:lpstr>Resource Names</vt:lpstr>
      <vt:lpstr>AzureRegions</vt:lpstr>
      <vt:lpstr>Enviroments</vt:lpstr>
      <vt:lpstr>Resources</vt:lpstr>
      <vt:lpstr>Casing</vt:lpstr>
      <vt:lpstr>ResourcesNameLimits</vt:lpstr>
      <vt:lpstr>AzureResourceTypes</vt:lpstr>
      <vt:lpstr>Casing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Smith</dc:creator>
  <cp:lastModifiedBy>Fernandez, Rafael</cp:lastModifiedBy>
  <dcterms:created xsi:type="dcterms:W3CDTF">2017-05-10T05:21:09Z</dcterms:created>
  <dcterms:modified xsi:type="dcterms:W3CDTF">2022-03-29T12:44:30Z</dcterms:modified>
</cp:coreProperties>
</file>
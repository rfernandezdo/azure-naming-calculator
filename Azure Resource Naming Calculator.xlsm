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vanade-my.sharepoint.com/personal/rafael_dominguez_avanade_com/Documents/Avanade/Clientes/Templates/"/>
    </mc:Choice>
  </mc:AlternateContent>
  <xr:revisionPtr revIDLastSave="978" documentId="8_{5C830949-8459-4EBF-8B94-0F2B6674E4FA}" xr6:coauthVersionLast="47" xr6:coauthVersionMax="47" xr10:uidLastSave="{0B8A2967-2963-46FE-8E56-102B88E72012}"/>
  <bookViews>
    <workbookView xWindow="-110" yWindow="-110" windowWidth="38620" windowHeight="21100" firstSheet="2" activeTab="5" xr2:uid="{00000000-000D-0000-FFFF-FFFF00000000}"/>
  </bookViews>
  <sheets>
    <sheet name="Convention" sheetId="9" r:id="rId1"/>
    <sheet name="Management Groups ALZ" sheetId="30" r:id="rId2"/>
    <sheet name="Management Groups Customer" sheetId="41" r:id="rId3"/>
    <sheet name="Platform_Subscriptions" sheetId="40" r:id="rId4"/>
    <sheet name="subcr-example" sheetId="42" r:id="rId5"/>
    <sheet name="Enviroments" sheetId="7" r:id="rId6"/>
    <sheet name="Func" sheetId="34" r:id="rId7"/>
    <sheet name="AzureRegions" sheetId="6" r:id="rId8"/>
    <sheet name="Orgs" sheetId="31" r:id="rId9"/>
    <sheet name="ProjAppSvc" sheetId="32" r:id="rId10"/>
    <sheet name="Resources" sheetId="8" r:id="rId11"/>
    <sheet name="UnitsDepts" sheetId="33" r:id="rId12"/>
    <sheet name="Casing" sheetId="3" r:id="rId13"/>
  </sheets>
  <functionGroups builtInGroupCount="19"/>
  <definedNames>
    <definedName name="_xlnm._FilterDatabase" localSheetId="10" hidden="1">Resources!$A$1:$U$335</definedName>
    <definedName name="_xlnm._FilterDatabase" localSheetId="4" hidden="1">'subcr-example'!$A$1:$AC$189</definedName>
    <definedName name="AzureRegions">AzureRegions!$A$2:INDEX(Casing!$A$79:$A$1000,SUMPRODUCT(--(Casing!$A$79:$A$1000&lt;&gt;"")))</definedName>
    <definedName name="AzureResourceTypes">Casing!$O$4:$O$23</definedName>
    <definedName name="AzureRootResourceTypes">Casing!$O$4:INDEX(Casing!$O$4:$O$1000,SUMPRODUCT(--(Casing!$O$4:$O$1000&lt;&gt;"")))</definedName>
    <definedName name="Casing">Casing!$A$4:$A$5</definedName>
    <definedName name="Environments">Casing!#REF!:INDEX(Casing!$J$6:$J$1000,SUMPRODUCT(--(Casing!$J$6:$J$1000&lt;&gt;"")))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" i="8" l="1"/>
  <c r="AC189" i="42"/>
  <c r="AB189" i="42"/>
  <c r="AA189" i="42"/>
  <c r="Y189" i="42"/>
  <c r="X189" i="42"/>
  <c r="W189" i="42"/>
  <c r="T189" i="42"/>
  <c r="S189" i="42"/>
  <c r="R189" i="42"/>
  <c r="Q189" i="42"/>
  <c r="P189" i="42"/>
  <c r="O189" i="42"/>
  <c r="N189" i="42"/>
  <c r="AC188" i="42"/>
  <c r="AB188" i="42"/>
  <c r="AA188" i="42"/>
  <c r="Y188" i="42"/>
  <c r="X188" i="42"/>
  <c r="W188" i="42"/>
  <c r="T188" i="42"/>
  <c r="S188" i="42"/>
  <c r="R188" i="42"/>
  <c r="Q188" i="42"/>
  <c r="P188" i="42"/>
  <c r="O188" i="42"/>
  <c r="N188" i="42"/>
  <c r="AC187" i="42"/>
  <c r="AB187" i="42"/>
  <c r="AA187" i="42"/>
  <c r="Y187" i="42"/>
  <c r="X187" i="42"/>
  <c r="W187" i="42"/>
  <c r="T187" i="42"/>
  <c r="S187" i="42"/>
  <c r="R187" i="42"/>
  <c r="Q187" i="42"/>
  <c r="P187" i="42"/>
  <c r="O187" i="42"/>
  <c r="N187" i="42"/>
  <c r="AC186" i="42"/>
  <c r="AB186" i="42"/>
  <c r="AA186" i="42"/>
  <c r="Y186" i="42"/>
  <c r="X186" i="42"/>
  <c r="W186" i="42"/>
  <c r="T186" i="42"/>
  <c r="S186" i="42"/>
  <c r="R186" i="42"/>
  <c r="Q186" i="42"/>
  <c r="P186" i="42"/>
  <c r="O186" i="42"/>
  <c r="N186" i="42"/>
  <c r="AC185" i="42"/>
  <c r="AB185" i="42"/>
  <c r="AA185" i="42"/>
  <c r="Y185" i="42"/>
  <c r="X185" i="42"/>
  <c r="W185" i="42"/>
  <c r="T185" i="42"/>
  <c r="S185" i="42"/>
  <c r="R185" i="42"/>
  <c r="Q185" i="42"/>
  <c r="P185" i="42"/>
  <c r="O185" i="42"/>
  <c r="N185" i="42"/>
  <c r="AC184" i="42"/>
  <c r="AB184" i="42"/>
  <c r="AA184" i="42"/>
  <c r="Y184" i="42"/>
  <c r="X184" i="42"/>
  <c r="W184" i="42"/>
  <c r="T184" i="42"/>
  <c r="S184" i="42"/>
  <c r="R184" i="42"/>
  <c r="Q184" i="42"/>
  <c r="P184" i="42"/>
  <c r="O184" i="42"/>
  <c r="N184" i="42"/>
  <c r="AC183" i="42"/>
  <c r="AB183" i="42"/>
  <c r="AA183" i="42"/>
  <c r="Y183" i="42"/>
  <c r="X183" i="42"/>
  <c r="W183" i="42"/>
  <c r="T183" i="42"/>
  <c r="S183" i="42"/>
  <c r="R183" i="42"/>
  <c r="Q183" i="42"/>
  <c r="P183" i="42"/>
  <c r="O183" i="42"/>
  <c r="N183" i="42"/>
  <c r="AC182" i="42"/>
  <c r="AB182" i="42"/>
  <c r="AA182" i="42"/>
  <c r="Y182" i="42"/>
  <c r="X182" i="42"/>
  <c r="W182" i="42"/>
  <c r="T182" i="42"/>
  <c r="S182" i="42"/>
  <c r="R182" i="42"/>
  <c r="Q182" i="42"/>
  <c r="P182" i="42"/>
  <c r="O182" i="42"/>
  <c r="N182" i="42"/>
  <c r="AC181" i="42"/>
  <c r="AB181" i="42"/>
  <c r="AA181" i="42"/>
  <c r="Y181" i="42"/>
  <c r="X181" i="42"/>
  <c r="W181" i="42"/>
  <c r="T181" i="42"/>
  <c r="S181" i="42"/>
  <c r="R181" i="42"/>
  <c r="Q181" i="42"/>
  <c r="P181" i="42"/>
  <c r="O181" i="42"/>
  <c r="N181" i="42"/>
  <c r="AC180" i="42"/>
  <c r="AB180" i="42"/>
  <c r="AA180" i="42"/>
  <c r="Y180" i="42"/>
  <c r="X180" i="42"/>
  <c r="W180" i="42"/>
  <c r="T180" i="42"/>
  <c r="S180" i="42"/>
  <c r="R180" i="42"/>
  <c r="Q180" i="42"/>
  <c r="P180" i="42"/>
  <c r="O180" i="42"/>
  <c r="N180" i="42"/>
  <c r="AC179" i="42"/>
  <c r="AB179" i="42"/>
  <c r="AA179" i="42"/>
  <c r="Y179" i="42"/>
  <c r="X179" i="42"/>
  <c r="W179" i="42"/>
  <c r="T179" i="42"/>
  <c r="S179" i="42"/>
  <c r="R179" i="42"/>
  <c r="Q179" i="42"/>
  <c r="P179" i="42"/>
  <c r="O179" i="42"/>
  <c r="N179" i="42"/>
  <c r="AC178" i="42"/>
  <c r="AB178" i="42"/>
  <c r="AA178" i="42"/>
  <c r="Y178" i="42"/>
  <c r="X178" i="42"/>
  <c r="W178" i="42"/>
  <c r="T178" i="42"/>
  <c r="S178" i="42"/>
  <c r="R178" i="42"/>
  <c r="Q178" i="42"/>
  <c r="P178" i="42"/>
  <c r="O178" i="42"/>
  <c r="N178" i="42"/>
  <c r="AC177" i="42"/>
  <c r="AB177" i="42"/>
  <c r="AA177" i="42"/>
  <c r="Y177" i="42"/>
  <c r="X177" i="42"/>
  <c r="W177" i="42"/>
  <c r="T177" i="42"/>
  <c r="S177" i="42"/>
  <c r="R177" i="42"/>
  <c r="Q177" i="42"/>
  <c r="P177" i="42"/>
  <c r="O177" i="42"/>
  <c r="N177" i="42"/>
  <c r="AC176" i="42"/>
  <c r="AB176" i="42"/>
  <c r="AA176" i="42"/>
  <c r="Y176" i="42"/>
  <c r="X176" i="42"/>
  <c r="W176" i="42"/>
  <c r="T176" i="42"/>
  <c r="S176" i="42"/>
  <c r="R176" i="42"/>
  <c r="Q176" i="42"/>
  <c r="P176" i="42"/>
  <c r="O176" i="42"/>
  <c r="N176" i="42"/>
  <c r="AC175" i="42"/>
  <c r="AB175" i="42"/>
  <c r="AA175" i="42"/>
  <c r="Y175" i="42"/>
  <c r="X175" i="42"/>
  <c r="W175" i="42"/>
  <c r="T175" i="42"/>
  <c r="S175" i="42"/>
  <c r="R175" i="42"/>
  <c r="Q175" i="42"/>
  <c r="P175" i="42"/>
  <c r="O175" i="42"/>
  <c r="N175" i="42"/>
  <c r="AC174" i="42"/>
  <c r="AB174" i="42"/>
  <c r="AA174" i="42"/>
  <c r="Y174" i="42"/>
  <c r="X174" i="42"/>
  <c r="W174" i="42"/>
  <c r="T174" i="42"/>
  <c r="S174" i="42"/>
  <c r="R174" i="42"/>
  <c r="Q174" i="42"/>
  <c r="P174" i="42"/>
  <c r="O174" i="42"/>
  <c r="N174" i="42"/>
  <c r="AC173" i="42"/>
  <c r="AB173" i="42"/>
  <c r="AA173" i="42"/>
  <c r="Y173" i="42"/>
  <c r="X173" i="42"/>
  <c r="W173" i="42"/>
  <c r="T173" i="42"/>
  <c r="S173" i="42"/>
  <c r="R173" i="42"/>
  <c r="Q173" i="42"/>
  <c r="P173" i="42"/>
  <c r="O173" i="42"/>
  <c r="N173" i="42"/>
  <c r="AC172" i="42"/>
  <c r="AB172" i="42"/>
  <c r="AA172" i="42"/>
  <c r="Y172" i="42"/>
  <c r="X172" i="42"/>
  <c r="W172" i="42"/>
  <c r="T172" i="42"/>
  <c r="S172" i="42"/>
  <c r="R172" i="42"/>
  <c r="Q172" i="42"/>
  <c r="P172" i="42"/>
  <c r="O172" i="42"/>
  <c r="N172" i="42"/>
  <c r="AC171" i="42"/>
  <c r="AB171" i="42"/>
  <c r="AA171" i="42"/>
  <c r="Y171" i="42"/>
  <c r="X171" i="42"/>
  <c r="W171" i="42"/>
  <c r="T171" i="42"/>
  <c r="S171" i="42"/>
  <c r="R171" i="42"/>
  <c r="Q171" i="42"/>
  <c r="P171" i="42"/>
  <c r="O171" i="42"/>
  <c r="N171" i="42"/>
  <c r="AC170" i="42"/>
  <c r="AB170" i="42"/>
  <c r="AA170" i="42"/>
  <c r="Y170" i="42"/>
  <c r="X170" i="42"/>
  <c r="W170" i="42"/>
  <c r="T170" i="42"/>
  <c r="S170" i="42"/>
  <c r="R170" i="42"/>
  <c r="Q170" i="42"/>
  <c r="P170" i="42"/>
  <c r="O170" i="42"/>
  <c r="N170" i="42"/>
  <c r="AC169" i="42"/>
  <c r="AB169" i="42"/>
  <c r="AA169" i="42"/>
  <c r="Y169" i="42"/>
  <c r="X169" i="42"/>
  <c r="W169" i="42"/>
  <c r="T169" i="42"/>
  <c r="S169" i="42"/>
  <c r="R169" i="42"/>
  <c r="Q169" i="42"/>
  <c r="P169" i="42"/>
  <c r="O169" i="42"/>
  <c r="N169" i="42"/>
  <c r="AC168" i="42"/>
  <c r="AB168" i="42"/>
  <c r="AA168" i="42"/>
  <c r="Y168" i="42"/>
  <c r="X168" i="42"/>
  <c r="W168" i="42"/>
  <c r="T168" i="42"/>
  <c r="S168" i="42"/>
  <c r="R168" i="42"/>
  <c r="Q168" i="42"/>
  <c r="P168" i="42"/>
  <c r="O168" i="42"/>
  <c r="N168" i="42"/>
  <c r="AC167" i="42"/>
  <c r="AB167" i="42"/>
  <c r="AA167" i="42"/>
  <c r="Y167" i="42"/>
  <c r="X167" i="42"/>
  <c r="W167" i="42"/>
  <c r="T167" i="42"/>
  <c r="S167" i="42"/>
  <c r="R167" i="42"/>
  <c r="Q167" i="42"/>
  <c r="P167" i="42"/>
  <c r="O167" i="42"/>
  <c r="N167" i="42"/>
  <c r="AC166" i="42"/>
  <c r="AB166" i="42"/>
  <c r="AA166" i="42"/>
  <c r="Y166" i="42"/>
  <c r="X166" i="42"/>
  <c r="W166" i="42"/>
  <c r="T166" i="42"/>
  <c r="S166" i="42"/>
  <c r="R166" i="42"/>
  <c r="Q166" i="42"/>
  <c r="P166" i="42"/>
  <c r="O166" i="42"/>
  <c r="N166" i="42"/>
  <c r="AC165" i="42"/>
  <c r="AB165" i="42"/>
  <c r="AA165" i="42"/>
  <c r="Y165" i="42"/>
  <c r="X165" i="42"/>
  <c r="W165" i="42"/>
  <c r="T165" i="42"/>
  <c r="S165" i="42"/>
  <c r="R165" i="42"/>
  <c r="Q165" i="42"/>
  <c r="P165" i="42"/>
  <c r="O165" i="42"/>
  <c r="N165" i="42"/>
  <c r="AC164" i="42"/>
  <c r="AB164" i="42"/>
  <c r="AA164" i="42"/>
  <c r="Y164" i="42"/>
  <c r="X164" i="42"/>
  <c r="W164" i="42"/>
  <c r="T164" i="42"/>
  <c r="S164" i="42"/>
  <c r="R164" i="42"/>
  <c r="Q164" i="42"/>
  <c r="P164" i="42"/>
  <c r="O164" i="42"/>
  <c r="N164" i="42"/>
  <c r="AC163" i="42"/>
  <c r="AB163" i="42"/>
  <c r="AA163" i="42"/>
  <c r="Y163" i="42"/>
  <c r="X163" i="42"/>
  <c r="W163" i="42"/>
  <c r="T163" i="42"/>
  <c r="S163" i="42"/>
  <c r="R163" i="42"/>
  <c r="Q163" i="42"/>
  <c r="P163" i="42"/>
  <c r="O163" i="42"/>
  <c r="N163" i="42"/>
  <c r="AC162" i="42"/>
  <c r="AB162" i="42"/>
  <c r="AA162" i="42"/>
  <c r="Y162" i="42"/>
  <c r="X162" i="42"/>
  <c r="W162" i="42"/>
  <c r="T162" i="42"/>
  <c r="S162" i="42"/>
  <c r="R162" i="42"/>
  <c r="Q162" i="42"/>
  <c r="P162" i="42"/>
  <c r="O162" i="42"/>
  <c r="N162" i="42"/>
  <c r="AC161" i="42"/>
  <c r="AB161" i="42"/>
  <c r="AA161" i="42"/>
  <c r="Y161" i="42"/>
  <c r="X161" i="42"/>
  <c r="W161" i="42"/>
  <c r="T161" i="42"/>
  <c r="S161" i="42"/>
  <c r="R161" i="42"/>
  <c r="Q161" i="42"/>
  <c r="P161" i="42"/>
  <c r="O161" i="42"/>
  <c r="N161" i="42"/>
  <c r="AC160" i="42"/>
  <c r="AB160" i="42"/>
  <c r="AA160" i="42"/>
  <c r="Y160" i="42"/>
  <c r="X160" i="42"/>
  <c r="W160" i="42"/>
  <c r="T160" i="42"/>
  <c r="S160" i="42"/>
  <c r="R160" i="42"/>
  <c r="Q160" i="42"/>
  <c r="P160" i="42"/>
  <c r="O160" i="42"/>
  <c r="N160" i="42"/>
  <c r="AC159" i="42"/>
  <c r="AB159" i="42"/>
  <c r="AA159" i="42"/>
  <c r="Y159" i="42"/>
  <c r="X159" i="42"/>
  <c r="W159" i="42"/>
  <c r="T159" i="42"/>
  <c r="S159" i="42"/>
  <c r="R159" i="42"/>
  <c r="Q159" i="42"/>
  <c r="P159" i="42"/>
  <c r="O159" i="42"/>
  <c r="N159" i="42"/>
  <c r="AC158" i="42"/>
  <c r="AB158" i="42"/>
  <c r="AA158" i="42"/>
  <c r="Y158" i="42"/>
  <c r="X158" i="42"/>
  <c r="W158" i="42"/>
  <c r="T158" i="42"/>
  <c r="S158" i="42"/>
  <c r="R158" i="42"/>
  <c r="Q158" i="42"/>
  <c r="P158" i="42"/>
  <c r="O158" i="42"/>
  <c r="N158" i="42"/>
  <c r="AC157" i="42"/>
  <c r="AB157" i="42"/>
  <c r="AA157" i="42"/>
  <c r="Y157" i="42"/>
  <c r="X157" i="42"/>
  <c r="W157" i="42"/>
  <c r="T157" i="42"/>
  <c r="S157" i="42"/>
  <c r="R157" i="42"/>
  <c r="Q157" i="42"/>
  <c r="P157" i="42"/>
  <c r="O157" i="42"/>
  <c r="N157" i="42"/>
  <c r="AC156" i="42"/>
  <c r="AB156" i="42"/>
  <c r="AA156" i="42"/>
  <c r="Y156" i="42"/>
  <c r="X156" i="42"/>
  <c r="W156" i="42"/>
  <c r="T156" i="42"/>
  <c r="S156" i="42"/>
  <c r="R156" i="42"/>
  <c r="Q156" i="42"/>
  <c r="P156" i="42"/>
  <c r="O156" i="42"/>
  <c r="N156" i="42"/>
  <c r="AC155" i="42"/>
  <c r="AB155" i="42"/>
  <c r="AA155" i="42"/>
  <c r="Y155" i="42"/>
  <c r="X155" i="42"/>
  <c r="W155" i="42"/>
  <c r="T155" i="42"/>
  <c r="S155" i="42"/>
  <c r="R155" i="42"/>
  <c r="Q155" i="42"/>
  <c r="P155" i="42"/>
  <c r="O155" i="42"/>
  <c r="N155" i="42"/>
  <c r="AC154" i="42"/>
  <c r="AB154" i="42"/>
  <c r="AA154" i="42"/>
  <c r="Y154" i="42"/>
  <c r="X154" i="42"/>
  <c r="W154" i="42"/>
  <c r="T154" i="42"/>
  <c r="S154" i="42"/>
  <c r="R154" i="42"/>
  <c r="Q154" i="42"/>
  <c r="P154" i="42"/>
  <c r="O154" i="42"/>
  <c r="N154" i="42"/>
  <c r="AC153" i="42"/>
  <c r="AB153" i="42"/>
  <c r="AA153" i="42"/>
  <c r="Y153" i="42"/>
  <c r="X153" i="42"/>
  <c r="W153" i="42"/>
  <c r="T153" i="42"/>
  <c r="S153" i="42"/>
  <c r="R153" i="42"/>
  <c r="Q153" i="42"/>
  <c r="P153" i="42"/>
  <c r="O153" i="42"/>
  <c r="N153" i="42"/>
  <c r="AC152" i="42"/>
  <c r="AB152" i="42"/>
  <c r="AA152" i="42"/>
  <c r="Y152" i="42"/>
  <c r="X152" i="42"/>
  <c r="W152" i="42"/>
  <c r="T152" i="42"/>
  <c r="S152" i="42"/>
  <c r="R152" i="42"/>
  <c r="Q152" i="42"/>
  <c r="P152" i="42"/>
  <c r="O152" i="42"/>
  <c r="N152" i="42"/>
  <c r="AC151" i="42"/>
  <c r="AB151" i="42"/>
  <c r="AA151" i="42"/>
  <c r="Y151" i="42"/>
  <c r="X151" i="42"/>
  <c r="W151" i="42"/>
  <c r="T151" i="42"/>
  <c r="S151" i="42"/>
  <c r="R151" i="42"/>
  <c r="Q151" i="42"/>
  <c r="P151" i="42"/>
  <c r="O151" i="42"/>
  <c r="N151" i="42"/>
  <c r="AC150" i="42"/>
  <c r="AB150" i="42"/>
  <c r="AA150" i="42"/>
  <c r="Y150" i="42"/>
  <c r="X150" i="42"/>
  <c r="W150" i="42"/>
  <c r="T150" i="42"/>
  <c r="S150" i="42"/>
  <c r="R150" i="42"/>
  <c r="Q150" i="42"/>
  <c r="P150" i="42"/>
  <c r="O150" i="42"/>
  <c r="N150" i="42"/>
  <c r="AC149" i="42"/>
  <c r="AB149" i="42"/>
  <c r="AA149" i="42"/>
  <c r="Y149" i="42"/>
  <c r="X149" i="42"/>
  <c r="W149" i="42"/>
  <c r="T149" i="42"/>
  <c r="S149" i="42"/>
  <c r="R149" i="42"/>
  <c r="Q149" i="42"/>
  <c r="P149" i="42"/>
  <c r="O149" i="42"/>
  <c r="N149" i="42"/>
  <c r="AC148" i="42"/>
  <c r="AB148" i="42"/>
  <c r="AA148" i="42"/>
  <c r="Y148" i="42"/>
  <c r="X148" i="42"/>
  <c r="W148" i="42"/>
  <c r="T148" i="42"/>
  <c r="S148" i="42"/>
  <c r="R148" i="42"/>
  <c r="Q148" i="42"/>
  <c r="P148" i="42"/>
  <c r="O148" i="42"/>
  <c r="N148" i="42"/>
  <c r="AC147" i="42"/>
  <c r="AB147" i="42"/>
  <c r="AA147" i="42"/>
  <c r="Y147" i="42"/>
  <c r="X147" i="42"/>
  <c r="W147" i="42"/>
  <c r="T147" i="42"/>
  <c r="S147" i="42"/>
  <c r="R147" i="42"/>
  <c r="Q147" i="42"/>
  <c r="P147" i="42"/>
  <c r="O147" i="42"/>
  <c r="N147" i="42"/>
  <c r="AC146" i="42"/>
  <c r="AB146" i="42"/>
  <c r="AA146" i="42"/>
  <c r="Y146" i="42"/>
  <c r="X146" i="42"/>
  <c r="W146" i="42"/>
  <c r="T146" i="42"/>
  <c r="S146" i="42"/>
  <c r="R146" i="42"/>
  <c r="Q146" i="42"/>
  <c r="P146" i="42"/>
  <c r="O146" i="42"/>
  <c r="N146" i="42"/>
  <c r="AC145" i="42"/>
  <c r="AB145" i="42"/>
  <c r="AA145" i="42"/>
  <c r="Y145" i="42"/>
  <c r="X145" i="42"/>
  <c r="W145" i="42"/>
  <c r="T145" i="42"/>
  <c r="S145" i="42"/>
  <c r="R145" i="42"/>
  <c r="Q145" i="42"/>
  <c r="P145" i="42"/>
  <c r="O145" i="42"/>
  <c r="N145" i="42"/>
  <c r="AC144" i="42"/>
  <c r="AB144" i="42"/>
  <c r="AA144" i="42"/>
  <c r="Y144" i="42"/>
  <c r="X144" i="42"/>
  <c r="W144" i="42"/>
  <c r="T144" i="42"/>
  <c r="S144" i="42"/>
  <c r="R144" i="42"/>
  <c r="Q144" i="42"/>
  <c r="P144" i="42"/>
  <c r="O144" i="42"/>
  <c r="N144" i="42"/>
  <c r="AC143" i="42"/>
  <c r="AB143" i="42"/>
  <c r="AA143" i="42"/>
  <c r="Y143" i="42"/>
  <c r="X143" i="42"/>
  <c r="W143" i="42"/>
  <c r="T143" i="42"/>
  <c r="S143" i="42"/>
  <c r="R143" i="42"/>
  <c r="Q143" i="42"/>
  <c r="P143" i="42"/>
  <c r="O143" i="42"/>
  <c r="N143" i="42"/>
  <c r="AC142" i="42"/>
  <c r="AB142" i="42"/>
  <c r="AA142" i="42"/>
  <c r="Y142" i="42"/>
  <c r="X142" i="42"/>
  <c r="W142" i="42"/>
  <c r="T142" i="42"/>
  <c r="S142" i="42"/>
  <c r="R142" i="42"/>
  <c r="Q142" i="42"/>
  <c r="P142" i="42"/>
  <c r="O142" i="42"/>
  <c r="N142" i="42"/>
  <c r="AC141" i="42"/>
  <c r="AB141" i="42"/>
  <c r="AA141" i="42"/>
  <c r="Y141" i="42"/>
  <c r="X141" i="42"/>
  <c r="W141" i="42"/>
  <c r="T141" i="42"/>
  <c r="S141" i="42"/>
  <c r="R141" i="42"/>
  <c r="Q141" i="42"/>
  <c r="P141" i="42"/>
  <c r="O141" i="42"/>
  <c r="N141" i="42"/>
  <c r="AC140" i="42"/>
  <c r="AB140" i="42"/>
  <c r="AA140" i="42"/>
  <c r="Y140" i="42"/>
  <c r="X140" i="42"/>
  <c r="W140" i="42"/>
  <c r="T140" i="42"/>
  <c r="S140" i="42"/>
  <c r="R140" i="42"/>
  <c r="Q140" i="42"/>
  <c r="P140" i="42"/>
  <c r="O140" i="42"/>
  <c r="N140" i="42"/>
  <c r="AC139" i="42"/>
  <c r="AB139" i="42"/>
  <c r="AA139" i="42"/>
  <c r="Y139" i="42"/>
  <c r="X139" i="42"/>
  <c r="W139" i="42"/>
  <c r="T139" i="42"/>
  <c r="S139" i="42"/>
  <c r="R139" i="42"/>
  <c r="Q139" i="42"/>
  <c r="P139" i="42"/>
  <c r="O139" i="42"/>
  <c r="N139" i="42"/>
  <c r="AC138" i="42"/>
  <c r="AB138" i="42"/>
  <c r="AA138" i="42"/>
  <c r="Y138" i="42"/>
  <c r="X138" i="42"/>
  <c r="W138" i="42"/>
  <c r="T138" i="42"/>
  <c r="S138" i="42"/>
  <c r="R138" i="42"/>
  <c r="Q138" i="42"/>
  <c r="P138" i="42"/>
  <c r="O138" i="42"/>
  <c r="N138" i="42"/>
  <c r="AC137" i="42"/>
  <c r="AB137" i="42"/>
  <c r="AA137" i="42"/>
  <c r="Y137" i="42"/>
  <c r="X137" i="42"/>
  <c r="W137" i="42"/>
  <c r="T137" i="42"/>
  <c r="S137" i="42"/>
  <c r="R137" i="42"/>
  <c r="Q137" i="42"/>
  <c r="P137" i="42"/>
  <c r="O137" i="42"/>
  <c r="N137" i="42"/>
  <c r="AC136" i="42"/>
  <c r="AB136" i="42"/>
  <c r="AA136" i="42"/>
  <c r="Y136" i="42"/>
  <c r="X136" i="42"/>
  <c r="W136" i="42"/>
  <c r="T136" i="42"/>
  <c r="S136" i="42"/>
  <c r="R136" i="42"/>
  <c r="Q136" i="42"/>
  <c r="P136" i="42"/>
  <c r="O136" i="42"/>
  <c r="N136" i="42"/>
  <c r="AC135" i="42"/>
  <c r="AB135" i="42"/>
  <c r="AA135" i="42"/>
  <c r="Y135" i="42"/>
  <c r="X135" i="42"/>
  <c r="W135" i="42"/>
  <c r="T135" i="42"/>
  <c r="S135" i="42"/>
  <c r="R135" i="42"/>
  <c r="Q135" i="42"/>
  <c r="P135" i="42"/>
  <c r="O135" i="42"/>
  <c r="N135" i="42"/>
  <c r="AC134" i="42"/>
  <c r="AB134" i="42"/>
  <c r="AA134" i="42"/>
  <c r="Y134" i="42"/>
  <c r="X134" i="42"/>
  <c r="W134" i="42"/>
  <c r="T134" i="42"/>
  <c r="S134" i="42"/>
  <c r="R134" i="42"/>
  <c r="Q134" i="42"/>
  <c r="P134" i="42"/>
  <c r="O134" i="42"/>
  <c r="N134" i="42"/>
  <c r="AC133" i="42"/>
  <c r="AB133" i="42"/>
  <c r="AA133" i="42"/>
  <c r="Y133" i="42"/>
  <c r="X133" i="42"/>
  <c r="W133" i="42"/>
  <c r="T133" i="42"/>
  <c r="S133" i="42"/>
  <c r="R133" i="42"/>
  <c r="Q133" i="42"/>
  <c r="P133" i="42"/>
  <c r="O133" i="42"/>
  <c r="N133" i="42"/>
  <c r="AC132" i="42"/>
  <c r="AB132" i="42"/>
  <c r="AA132" i="42"/>
  <c r="Y132" i="42"/>
  <c r="X132" i="42"/>
  <c r="W132" i="42"/>
  <c r="T132" i="42"/>
  <c r="S132" i="42"/>
  <c r="R132" i="42"/>
  <c r="Q132" i="42"/>
  <c r="P132" i="42"/>
  <c r="O132" i="42"/>
  <c r="N132" i="42"/>
  <c r="AC131" i="42"/>
  <c r="AB131" i="42"/>
  <c r="AA131" i="42"/>
  <c r="Y131" i="42"/>
  <c r="X131" i="42"/>
  <c r="W131" i="42"/>
  <c r="T131" i="42"/>
  <c r="S131" i="42"/>
  <c r="R131" i="42"/>
  <c r="Q131" i="42"/>
  <c r="P131" i="42"/>
  <c r="O131" i="42"/>
  <c r="N131" i="42"/>
  <c r="AC130" i="42"/>
  <c r="AB130" i="42"/>
  <c r="AA130" i="42"/>
  <c r="Y130" i="42"/>
  <c r="X130" i="42"/>
  <c r="W130" i="42"/>
  <c r="T130" i="42"/>
  <c r="S130" i="42"/>
  <c r="R130" i="42"/>
  <c r="Q130" i="42"/>
  <c r="P130" i="42"/>
  <c r="O130" i="42"/>
  <c r="N130" i="42"/>
  <c r="AC129" i="42"/>
  <c r="AB129" i="42"/>
  <c r="AA129" i="42"/>
  <c r="Y129" i="42"/>
  <c r="X129" i="42"/>
  <c r="W129" i="42"/>
  <c r="T129" i="42"/>
  <c r="S129" i="42"/>
  <c r="R129" i="42"/>
  <c r="Q129" i="42"/>
  <c r="P129" i="42"/>
  <c r="O129" i="42"/>
  <c r="N129" i="42"/>
  <c r="AC128" i="42"/>
  <c r="AB128" i="42"/>
  <c r="AA128" i="42"/>
  <c r="Y128" i="42"/>
  <c r="X128" i="42"/>
  <c r="W128" i="42"/>
  <c r="T128" i="42"/>
  <c r="S128" i="42"/>
  <c r="R128" i="42"/>
  <c r="Q128" i="42"/>
  <c r="P128" i="42"/>
  <c r="O128" i="42"/>
  <c r="N128" i="42"/>
  <c r="AC127" i="42"/>
  <c r="AB127" i="42"/>
  <c r="AA127" i="42"/>
  <c r="Y127" i="42"/>
  <c r="X127" i="42"/>
  <c r="W127" i="42"/>
  <c r="T127" i="42"/>
  <c r="S127" i="42"/>
  <c r="R127" i="42"/>
  <c r="Q127" i="42"/>
  <c r="P127" i="42"/>
  <c r="O127" i="42"/>
  <c r="N127" i="42"/>
  <c r="AC126" i="42"/>
  <c r="AB126" i="42"/>
  <c r="AA126" i="42"/>
  <c r="Y126" i="42"/>
  <c r="X126" i="42"/>
  <c r="W126" i="42"/>
  <c r="T126" i="42"/>
  <c r="S126" i="42"/>
  <c r="R126" i="42"/>
  <c r="Q126" i="42"/>
  <c r="P126" i="42"/>
  <c r="O126" i="42"/>
  <c r="N126" i="42"/>
  <c r="AC125" i="42"/>
  <c r="AB125" i="42"/>
  <c r="AA125" i="42"/>
  <c r="Y125" i="42"/>
  <c r="X125" i="42"/>
  <c r="W125" i="42"/>
  <c r="T125" i="42"/>
  <c r="S125" i="42"/>
  <c r="R125" i="42"/>
  <c r="Q125" i="42"/>
  <c r="P125" i="42"/>
  <c r="O125" i="42"/>
  <c r="N125" i="42"/>
  <c r="AC124" i="42"/>
  <c r="AB124" i="42"/>
  <c r="AA124" i="42"/>
  <c r="Y124" i="42"/>
  <c r="X124" i="42"/>
  <c r="W124" i="42"/>
  <c r="T124" i="42"/>
  <c r="S124" i="42"/>
  <c r="R124" i="42"/>
  <c r="Q124" i="42"/>
  <c r="P124" i="42"/>
  <c r="O124" i="42"/>
  <c r="N124" i="42"/>
  <c r="AC123" i="42"/>
  <c r="AB123" i="42"/>
  <c r="AA123" i="42"/>
  <c r="Y123" i="42"/>
  <c r="X123" i="42"/>
  <c r="W123" i="42"/>
  <c r="T123" i="42"/>
  <c r="S123" i="42"/>
  <c r="R123" i="42"/>
  <c r="Q123" i="42"/>
  <c r="P123" i="42"/>
  <c r="O123" i="42"/>
  <c r="N123" i="42"/>
  <c r="AC122" i="42"/>
  <c r="AB122" i="42"/>
  <c r="AA122" i="42"/>
  <c r="Y122" i="42"/>
  <c r="X122" i="42"/>
  <c r="W122" i="42"/>
  <c r="T122" i="42"/>
  <c r="S122" i="42"/>
  <c r="R122" i="42"/>
  <c r="Q122" i="42"/>
  <c r="P122" i="42"/>
  <c r="O122" i="42"/>
  <c r="N122" i="42"/>
  <c r="AC121" i="42"/>
  <c r="AB121" i="42"/>
  <c r="AA121" i="42"/>
  <c r="Y121" i="42"/>
  <c r="X121" i="42"/>
  <c r="W121" i="42"/>
  <c r="T121" i="42"/>
  <c r="S121" i="42"/>
  <c r="R121" i="42"/>
  <c r="Q121" i="42"/>
  <c r="P121" i="42"/>
  <c r="O121" i="42"/>
  <c r="N121" i="42"/>
  <c r="AC120" i="42"/>
  <c r="AB120" i="42"/>
  <c r="AA120" i="42"/>
  <c r="Y120" i="42"/>
  <c r="X120" i="42"/>
  <c r="W120" i="42"/>
  <c r="T120" i="42"/>
  <c r="S120" i="42"/>
  <c r="R120" i="42"/>
  <c r="Q120" i="42"/>
  <c r="P120" i="42"/>
  <c r="O120" i="42"/>
  <c r="N120" i="42"/>
  <c r="AC119" i="42"/>
  <c r="AB119" i="42"/>
  <c r="AA119" i="42"/>
  <c r="Y119" i="42"/>
  <c r="X119" i="42"/>
  <c r="W119" i="42"/>
  <c r="T119" i="42"/>
  <c r="S119" i="42"/>
  <c r="R119" i="42"/>
  <c r="Q119" i="42"/>
  <c r="P119" i="42"/>
  <c r="O119" i="42"/>
  <c r="N119" i="42"/>
  <c r="AC118" i="42"/>
  <c r="AB118" i="42"/>
  <c r="AA118" i="42"/>
  <c r="Y118" i="42"/>
  <c r="X118" i="42"/>
  <c r="W118" i="42"/>
  <c r="T118" i="42"/>
  <c r="S118" i="42"/>
  <c r="R118" i="42"/>
  <c r="Q118" i="42"/>
  <c r="P118" i="42"/>
  <c r="O118" i="42"/>
  <c r="N118" i="42"/>
  <c r="AC117" i="42"/>
  <c r="AB117" i="42"/>
  <c r="AA117" i="42"/>
  <c r="Y117" i="42"/>
  <c r="X117" i="42"/>
  <c r="W117" i="42"/>
  <c r="T117" i="42"/>
  <c r="S117" i="42"/>
  <c r="R117" i="42"/>
  <c r="Q117" i="42"/>
  <c r="P117" i="42"/>
  <c r="O117" i="42"/>
  <c r="N117" i="42"/>
  <c r="AC116" i="42"/>
  <c r="AB116" i="42"/>
  <c r="AA116" i="42"/>
  <c r="Y116" i="42"/>
  <c r="X116" i="42"/>
  <c r="W116" i="42"/>
  <c r="T116" i="42"/>
  <c r="S116" i="42"/>
  <c r="R116" i="42"/>
  <c r="Q116" i="42"/>
  <c r="P116" i="42"/>
  <c r="O116" i="42"/>
  <c r="N116" i="42"/>
  <c r="AC115" i="42"/>
  <c r="AB115" i="42"/>
  <c r="AA115" i="42"/>
  <c r="Y115" i="42"/>
  <c r="X115" i="42"/>
  <c r="W115" i="42"/>
  <c r="T115" i="42"/>
  <c r="S115" i="42"/>
  <c r="R115" i="42"/>
  <c r="Q115" i="42"/>
  <c r="P115" i="42"/>
  <c r="O115" i="42"/>
  <c r="N115" i="42"/>
  <c r="AC114" i="42"/>
  <c r="AB114" i="42"/>
  <c r="AA114" i="42"/>
  <c r="Y114" i="42"/>
  <c r="X114" i="42"/>
  <c r="W114" i="42"/>
  <c r="T114" i="42"/>
  <c r="S114" i="42"/>
  <c r="R114" i="42"/>
  <c r="Q114" i="42"/>
  <c r="P114" i="42"/>
  <c r="O114" i="42"/>
  <c r="N114" i="42"/>
  <c r="AC113" i="42"/>
  <c r="AB113" i="42"/>
  <c r="AA113" i="42"/>
  <c r="Y113" i="42"/>
  <c r="X113" i="42"/>
  <c r="W113" i="42"/>
  <c r="T113" i="42"/>
  <c r="S113" i="42"/>
  <c r="R113" i="42"/>
  <c r="Q113" i="42"/>
  <c r="P113" i="42"/>
  <c r="O113" i="42"/>
  <c r="N113" i="42"/>
  <c r="AC112" i="42"/>
  <c r="AB112" i="42"/>
  <c r="AA112" i="42"/>
  <c r="Y112" i="42"/>
  <c r="X112" i="42"/>
  <c r="W112" i="42"/>
  <c r="T112" i="42"/>
  <c r="S112" i="42"/>
  <c r="R112" i="42"/>
  <c r="Q112" i="42"/>
  <c r="P112" i="42"/>
  <c r="O112" i="42"/>
  <c r="N112" i="42"/>
  <c r="AC111" i="42"/>
  <c r="AB111" i="42"/>
  <c r="AA111" i="42"/>
  <c r="Y111" i="42"/>
  <c r="X111" i="42"/>
  <c r="W111" i="42"/>
  <c r="T111" i="42"/>
  <c r="S111" i="42"/>
  <c r="R111" i="42"/>
  <c r="Q111" i="42"/>
  <c r="P111" i="42"/>
  <c r="O111" i="42"/>
  <c r="N111" i="42"/>
  <c r="AC110" i="42"/>
  <c r="AB110" i="42"/>
  <c r="AA110" i="42"/>
  <c r="Y110" i="42"/>
  <c r="X110" i="42"/>
  <c r="W110" i="42"/>
  <c r="T110" i="42"/>
  <c r="S110" i="42"/>
  <c r="R110" i="42"/>
  <c r="Q110" i="42"/>
  <c r="P110" i="42"/>
  <c r="O110" i="42"/>
  <c r="N110" i="42"/>
  <c r="AC109" i="42"/>
  <c r="AB109" i="42"/>
  <c r="AA109" i="42"/>
  <c r="Y109" i="42"/>
  <c r="X109" i="42"/>
  <c r="W109" i="42"/>
  <c r="T109" i="42"/>
  <c r="S109" i="42"/>
  <c r="R109" i="42"/>
  <c r="Q109" i="42"/>
  <c r="P109" i="42"/>
  <c r="O109" i="42"/>
  <c r="N109" i="42"/>
  <c r="AC108" i="42"/>
  <c r="AB108" i="42"/>
  <c r="AA108" i="42"/>
  <c r="Y108" i="42"/>
  <c r="X108" i="42"/>
  <c r="W108" i="42"/>
  <c r="T108" i="42"/>
  <c r="S108" i="42"/>
  <c r="R108" i="42"/>
  <c r="Q108" i="42"/>
  <c r="P108" i="42"/>
  <c r="O108" i="42"/>
  <c r="N108" i="42"/>
  <c r="AC107" i="42"/>
  <c r="AB107" i="42"/>
  <c r="AA107" i="42"/>
  <c r="Y107" i="42"/>
  <c r="X107" i="42"/>
  <c r="W107" i="42"/>
  <c r="T107" i="42"/>
  <c r="S107" i="42"/>
  <c r="R107" i="42"/>
  <c r="Q107" i="42"/>
  <c r="P107" i="42"/>
  <c r="O107" i="42"/>
  <c r="N107" i="42"/>
  <c r="AC106" i="42"/>
  <c r="AB106" i="42"/>
  <c r="AA106" i="42"/>
  <c r="Y106" i="42"/>
  <c r="X106" i="42"/>
  <c r="W106" i="42"/>
  <c r="T106" i="42"/>
  <c r="S106" i="42"/>
  <c r="R106" i="42"/>
  <c r="Q106" i="42"/>
  <c r="P106" i="42"/>
  <c r="O106" i="42"/>
  <c r="N106" i="42"/>
  <c r="AC105" i="42"/>
  <c r="AB105" i="42"/>
  <c r="AA105" i="42"/>
  <c r="Y105" i="42"/>
  <c r="X105" i="42"/>
  <c r="W105" i="42"/>
  <c r="T105" i="42"/>
  <c r="S105" i="42"/>
  <c r="R105" i="42"/>
  <c r="Q105" i="42"/>
  <c r="P105" i="42"/>
  <c r="O105" i="42"/>
  <c r="N105" i="42"/>
  <c r="AC104" i="42"/>
  <c r="AB104" i="42"/>
  <c r="AA104" i="42"/>
  <c r="Y104" i="42"/>
  <c r="X104" i="42"/>
  <c r="W104" i="42"/>
  <c r="T104" i="42"/>
  <c r="S104" i="42"/>
  <c r="R104" i="42"/>
  <c r="Q104" i="42"/>
  <c r="P104" i="42"/>
  <c r="O104" i="42"/>
  <c r="N104" i="42"/>
  <c r="AC103" i="42"/>
  <c r="AB103" i="42"/>
  <c r="AA103" i="42"/>
  <c r="Y103" i="42"/>
  <c r="X103" i="42"/>
  <c r="W103" i="42"/>
  <c r="T103" i="42"/>
  <c r="S103" i="42"/>
  <c r="R103" i="42"/>
  <c r="Q103" i="42"/>
  <c r="P103" i="42"/>
  <c r="O103" i="42"/>
  <c r="N103" i="42"/>
  <c r="AC102" i="42"/>
  <c r="AB102" i="42"/>
  <c r="AA102" i="42"/>
  <c r="Y102" i="42"/>
  <c r="X102" i="42"/>
  <c r="W102" i="42"/>
  <c r="T102" i="42"/>
  <c r="S102" i="42"/>
  <c r="R102" i="42"/>
  <c r="Q102" i="42"/>
  <c r="P102" i="42"/>
  <c r="O102" i="42"/>
  <c r="N102" i="42"/>
  <c r="AC101" i="42"/>
  <c r="AB101" i="42"/>
  <c r="AA101" i="42"/>
  <c r="Y101" i="42"/>
  <c r="X101" i="42"/>
  <c r="W101" i="42"/>
  <c r="T101" i="42"/>
  <c r="S101" i="42"/>
  <c r="R101" i="42"/>
  <c r="Q101" i="42"/>
  <c r="P101" i="42"/>
  <c r="O101" i="42"/>
  <c r="N101" i="42"/>
  <c r="AC100" i="42"/>
  <c r="AB100" i="42"/>
  <c r="AA100" i="42"/>
  <c r="Y100" i="42"/>
  <c r="X100" i="42"/>
  <c r="W100" i="42"/>
  <c r="T100" i="42"/>
  <c r="S100" i="42"/>
  <c r="R100" i="42"/>
  <c r="Q100" i="42"/>
  <c r="P100" i="42"/>
  <c r="O100" i="42"/>
  <c r="N100" i="42"/>
  <c r="AC99" i="42"/>
  <c r="AB99" i="42"/>
  <c r="AA99" i="42"/>
  <c r="Y99" i="42"/>
  <c r="X99" i="42"/>
  <c r="W99" i="42"/>
  <c r="T99" i="42"/>
  <c r="S99" i="42"/>
  <c r="R99" i="42"/>
  <c r="Q99" i="42"/>
  <c r="P99" i="42"/>
  <c r="O99" i="42"/>
  <c r="N99" i="42"/>
  <c r="AC98" i="42"/>
  <c r="AB98" i="42"/>
  <c r="AA98" i="42"/>
  <c r="Y98" i="42"/>
  <c r="X98" i="42"/>
  <c r="W98" i="42"/>
  <c r="T98" i="42"/>
  <c r="S98" i="42"/>
  <c r="R98" i="42"/>
  <c r="Q98" i="42"/>
  <c r="P98" i="42"/>
  <c r="O98" i="42"/>
  <c r="N98" i="42"/>
  <c r="AC97" i="42"/>
  <c r="AB97" i="42"/>
  <c r="AA97" i="42"/>
  <c r="Y97" i="42"/>
  <c r="X97" i="42"/>
  <c r="W97" i="42"/>
  <c r="T97" i="42"/>
  <c r="S97" i="42"/>
  <c r="R97" i="42"/>
  <c r="Q97" i="42"/>
  <c r="P97" i="42"/>
  <c r="O97" i="42"/>
  <c r="N97" i="42"/>
  <c r="AC96" i="42"/>
  <c r="AB96" i="42"/>
  <c r="AA96" i="42"/>
  <c r="Y96" i="42"/>
  <c r="X96" i="42"/>
  <c r="W96" i="42"/>
  <c r="T96" i="42"/>
  <c r="S96" i="42"/>
  <c r="R96" i="42"/>
  <c r="Q96" i="42"/>
  <c r="P96" i="42"/>
  <c r="O96" i="42"/>
  <c r="N96" i="42"/>
  <c r="AC95" i="42"/>
  <c r="AB95" i="42"/>
  <c r="AA95" i="42"/>
  <c r="Y95" i="42"/>
  <c r="X95" i="42"/>
  <c r="W95" i="42"/>
  <c r="T95" i="42"/>
  <c r="S95" i="42"/>
  <c r="R95" i="42"/>
  <c r="Q95" i="42"/>
  <c r="P95" i="42"/>
  <c r="O95" i="42"/>
  <c r="N95" i="42"/>
  <c r="AC94" i="42"/>
  <c r="AB94" i="42"/>
  <c r="AA94" i="42"/>
  <c r="Y94" i="42"/>
  <c r="X94" i="42"/>
  <c r="W94" i="42"/>
  <c r="T94" i="42"/>
  <c r="S94" i="42"/>
  <c r="R94" i="42"/>
  <c r="Q94" i="42"/>
  <c r="P94" i="42"/>
  <c r="O94" i="42"/>
  <c r="N94" i="42"/>
  <c r="AC93" i="42"/>
  <c r="AB93" i="42"/>
  <c r="AA93" i="42"/>
  <c r="Y93" i="42"/>
  <c r="X93" i="42"/>
  <c r="W93" i="42"/>
  <c r="T93" i="42"/>
  <c r="S93" i="42"/>
  <c r="R93" i="42"/>
  <c r="Q93" i="42"/>
  <c r="P93" i="42"/>
  <c r="O93" i="42"/>
  <c r="N93" i="42"/>
  <c r="AC92" i="42"/>
  <c r="AB92" i="42"/>
  <c r="AA92" i="42"/>
  <c r="Y92" i="42"/>
  <c r="X92" i="42"/>
  <c r="W92" i="42"/>
  <c r="T92" i="42"/>
  <c r="S92" i="42"/>
  <c r="R92" i="42"/>
  <c r="Q92" i="42"/>
  <c r="P92" i="42"/>
  <c r="O92" i="42"/>
  <c r="N92" i="42"/>
  <c r="AC91" i="42"/>
  <c r="AB91" i="42"/>
  <c r="AA91" i="42"/>
  <c r="Y91" i="42"/>
  <c r="X91" i="42"/>
  <c r="W91" i="42"/>
  <c r="T91" i="42"/>
  <c r="S91" i="42"/>
  <c r="R91" i="42"/>
  <c r="Q91" i="42"/>
  <c r="P91" i="42"/>
  <c r="O91" i="42"/>
  <c r="N91" i="42"/>
  <c r="AC90" i="42"/>
  <c r="AB90" i="42"/>
  <c r="AA90" i="42"/>
  <c r="Y90" i="42"/>
  <c r="X90" i="42"/>
  <c r="W90" i="42"/>
  <c r="T90" i="42"/>
  <c r="S90" i="42"/>
  <c r="R90" i="42"/>
  <c r="Q90" i="42"/>
  <c r="P90" i="42"/>
  <c r="O90" i="42"/>
  <c r="N90" i="42"/>
  <c r="AC89" i="42"/>
  <c r="AB89" i="42"/>
  <c r="AA89" i="42"/>
  <c r="Y89" i="42"/>
  <c r="X89" i="42"/>
  <c r="W89" i="42"/>
  <c r="T89" i="42"/>
  <c r="S89" i="42"/>
  <c r="R89" i="42"/>
  <c r="Q89" i="42"/>
  <c r="P89" i="42"/>
  <c r="O89" i="42"/>
  <c r="N89" i="42"/>
  <c r="AC88" i="42"/>
  <c r="AB88" i="42"/>
  <c r="AA88" i="42"/>
  <c r="Y88" i="42"/>
  <c r="X88" i="42"/>
  <c r="W88" i="42"/>
  <c r="T88" i="42"/>
  <c r="S88" i="42"/>
  <c r="R88" i="42"/>
  <c r="Q88" i="42"/>
  <c r="P88" i="42"/>
  <c r="O88" i="42"/>
  <c r="N88" i="42"/>
  <c r="AC87" i="42"/>
  <c r="AB87" i="42"/>
  <c r="AA87" i="42"/>
  <c r="Y87" i="42"/>
  <c r="X87" i="42"/>
  <c r="W87" i="42"/>
  <c r="T87" i="42"/>
  <c r="S87" i="42"/>
  <c r="R87" i="42"/>
  <c r="Q87" i="42"/>
  <c r="P87" i="42"/>
  <c r="O87" i="42"/>
  <c r="N87" i="42"/>
  <c r="AC86" i="42"/>
  <c r="AB86" i="42"/>
  <c r="AA86" i="42"/>
  <c r="Y86" i="42"/>
  <c r="X86" i="42"/>
  <c r="W86" i="42"/>
  <c r="T86" i="42"/>
  <c r="S86" i="42"/>
  <c r="R86" i="42"/>
  <c r="Q86" i="42"/>
  <c r="P86" i="42"/>
  <c r="O86" i="42"/>
  <c r="N86" i="42"/>
  <c r="AC85" i="42"/>
  <c r="AB85" i="42"/>
  <c r="AA85" i="42"/>
  <c r="Y85" i="42"/>
  <c r="X85" i="42"/>
  <c r="W85" i="42"/>
  <c r="T85" i="42"/>
  <c r="S85" i="42"/>
  <c r="R85" i="42"/>
  <c r="Q85" i="42"/>
  <c r="P85" i="42"/>
  <c r="O85" i="42"/>
  <c r="N85" i="42"/>
  <c r="AC84" i="42"/>
  <c r="AB84" i="42"/>
  <c r="AA84" i="42"/>
  <c r="Y84" i="42"/>
  <c r="X84" i="42"/>
  <c r="W84" i="42"/>
  <c r="T84" i="42"/>
  <c r="S84" i="42"/>
  <c r="R84" i="42"/>
  <c r="Q84" i="42"/>
  <c r="P84" i="42"/>
  <c r="O84" i="42"/>
  <c r="N84" i="42"/>
  <c r="AC83" i="42"/>
  <c r="AB83" i="42"/>
  <c r="AA83" i="42"/>
  <c r="Y83" i="42"/>
  <c r="X83" i="42"/>
  <c r="W83" i="42"/>
  <c r="T83" i="42"/>
  <c r="S83" i="42"/>
  <c r="R83" i="42"/>
  <c r="Q83" i="42"/>
  <c r="P83" i="42"/>
  <c r="O83" i="42"/>
  <c r="N83" i="42"/>
  <c r="AC82" i="42"/>
  <c r="AB82" i="42"/>
  <c r="AA82" i="42"/>
  <c r="Y82" i="42"/>
  <c r="X82" i="42"/>
  <c r="W82" i="42"/>
  <c r="T82" i="42"/>
  <c r="S82" i="42"/>
  <c r="R82" i="42"/>
  <c r="Q82" i="42"/>
  <c r="P82" i="42"/>
  <c r="O82" i="42"/>
  <c r="N82" i="42"/>
  <c r="AC81" i="42"/>
  <c r="AB81" i="42"/>
  <c r="AA81" i="42"/>
  <c r="Y81" i="42"/>
  <c r="X81" i="42"/>
  <c r="W81" i="42"/>
  <c r="T81" i="42"/>
  <c r="S81" i="42"/>
  <c r="R81" i="42"/>
  <c r="Q81" i="42"/>
  <c r="P81" i="42"/>
  <c r="O81" i="42"/>
  <c r="N81" i="42"/>
  <c r="AC80" i="42"/>
  <c r="AB80" i="42"/>
  <c r="AA80" i="42"/>
  <c r="Y80" i="42"/>
  <c r="X80" i="42"/>
  <c r="W80" i="42"/>
  <c r="T80" i="42"/>
  <c r="S80" i="42"/>
  <c r="R80" i="42"/>
  <c r="Q80" i="42"/>
  <c r="P80" i="42"/>
  <c r="O80" i="42"/>
  <c r="N80" i="42"/>
  <c r="AC79" i="42"/>
  <c r="AB79" i="42"/>
  <c r="AA79" i="42"/>
  <c r="Y79" i="42"/>
  <c r="X79" i="42"/>
  <c r="W79" i="42"/>
  <c r="T79" i="42"/>
  <c r="S79" i="42"/>
  <c r="R79" i="42"/>
  <c r="Q79" i="42"/>
  <c r="P79" i="42"/>
  <c r="O79" i="42"/>
  <c r="N79" i="42"/>
  <c r="AC78" i="42"/>
  <c r="AB78" i="42"/>
  <c r="AA78" i="42"/>
  <c r="Y78" i="42"/>
  <c r="X78" i="42"/>
  <c r="W78" i="42"/>
  <c r="T78" i="42"/>
  <c r="S78" i="42"/>
  <c r="R78" i="42"/>
  <c r="Q78" i="42"/>
  <c r="P78" i="42"/>
  <c r="O78" i="42"/>
  <c r="N78" i="42"/>
  <c r="AC77" i="42"/>
  <c r="AB77" i="42"/>
  <c r="AA77" i="42"/>
  <c r="Y77" i="42"/>
  <c r="X77" i="42"/>
  <c r="W77" i="42"/>
  <c r="T77" i="42"/>
  <c r="S77" i="42"/>
  <c r="R77" i="42"/>
  <c r="Q77" i="42"/>
  <c r="P77" i="42"/>
  <c r="O77" i="42"/>
  <c r="N77" i="42"/>
  <c r="AC76" i="42"/>
  <c r="AB76" i="42"/>
  <c r="AA76" i="42"/>
  <c r="Y76" i="42"/>
  <c r="X76" i="42"/>
  <c r="W76" i="42"/>
  <c r="T76" i="42"/>
  <c r="S76" i="42"/>
  <c r="R76" i="42"/>
  <c r="Q76" i="42"/>
  <c r="P76" i="42"/>
  <c r="O76" i="42"/>
  <c r="N76" i="42"/>
  <c r="AC75" i="42"/>
  <c r="AB75" i="42"/>
  <c r="AA75" i="42"/>
  <c r="Y75" i="42"/>
  <c r="X75" i="42"/>
  <c r="W75" i="42"/>
  <c r="T75" i="42"/>
  <c r="S75" i="42"/>
  <c r="R75" i="42"/>
  <c r="Q75" i="42"/>
  <c r="P75" i="42"/>
  <c r="O75" i="42"/>
  <c r="N75" i="42"/>
  <c r="AC74" i="42"/>
  <c r="AB74" i="42"/>
  <c r="AA74" i="42"/>
  <c r="Y74" i="42"/>
  <c r="X74" i="42"/>
  <c r="W74" i="42"/>
  <c r="T74" i="42"/>
  <c r="S74" i="42"/>
  <c r="R74" i="42"/>
  <c r="Q74" i="42"/>
  <c r="P74" i="42"/>
  <c r="O74" i="42"/>
  <c r="N74" i="42"/>
  <c r="AC73" i="42"/>
  <c r="AB73" i="42"/>
  <c r="AA73" i="42"/>
  <c r="Y73" i="42"/>
  <c r="X73" i="42"/>
  <c r="W73" i="42"/>
  <c r="T73" i="42"/>
  <c r="S73" i="42"/>
  <c r="R73" i="42"/>
  <c r="Q73" i="42"/>
  <c r="P73" i="42"/>
  <c r="O73" i="42"/>
  <c r="N73" i="42"/>
  <c r="AC72" i="42"/>
  <c r="AB72" i="42"/>
  <c r="AA72" i="42"/>
  <c r="Y72" i="42"/>
  <c r="X72" i="42"/>
  <c r="W72" i="42"/>
  <c r="T72" i="42"/>
  <c r="S72" i="42"/>
  <c r="R72" i="42"/>
  <c r="Q72" i="42"/>
  <c r="P72" i="42"/>
  <c r="O72" i="42"/>
  <c r="N72" i="42"/>
  <c r="AC71" i="42"/>
  <c r="AB71" i="42"/>
  <c r="AA71" i="42"/>
  <c r="Y71" i="42"/>
  <c r="X71" i="42"/>
  <c r="W71" i="42"/>
  <c r="T71" i="42"/>
  <c r="S71" i="42"/>
  <c r="R71" i="42"/>
  <c r="Q71" i="42"/>
  <c r="P71" i="42"/>
  <c r="O71" i="42"/>
  <c r="N71" i="42"/>
  <c r="AC70" i="42"/>
  <c r="AB70" i="42"/>
  <c r="AA70" i="42"/>
  <c r="Y70" i="42"/>
  <c r="X70" i="42"/>
  <c r="W70" i="42"/>
  <c r="T70" i="42"/>
  <c r="S70" i="42"/>
  <c r="R70" i="42"/>
  <c r="Q70" i="42"/>
  <c r="P70" i="42"/>
  <c r="O70" i="42"/>
  <c r="N70" i="42"/>
  <c r="AC69" i="42"/>
  <c r="AB69" i="42"/>
  <c r="AA69" i="42"/>
  <c r="Y69" i="42"/>
  <c r="X69" i="42"/>
  <c r="W69" i="42"/>
  <c r="T69" i="42"/>
  <c r="S69" i="42"/>
  <c r="R69" i="42"/>
  <c r="Q69" i="42"/>
  <c r="P69" i="42"/>
  <c r="O69" i="42"/>
  <c r="N69" i="42"/>
  <c r="AC68" i="42"/>
  <c r="AB68" i="42"/>
  <c r="AA68" i="42"/>
  <c r="Y68" i="42"/>
  <c r="X68" i="42"/>
  <c r="W68" i="42"/>
  <c r="T68" i="42"/>
  <c r="S68" i="42"/>
  <c r="R68" i="42"/>
  <c r="Q68" i="42"/>
  <c r="P68" i="42"/>
  <c r="O68" i="42"/>
  <c r="N68" i="42"/>
  <c r="AC67" i="42"/>
  <c r="AB67" i="42"/>
  <c r="AA67" i="42"/>
  <c r="Y67" i="42"/>
  <c r="X67" i="42"/>
  <c r="W67" i="42"/>
  <c r="T67" i="42"/>
  <c r="S67" i="42"/>
  <c r="R67" i="42"/>
  <c r="Q67" i="42"/>
  <c r="P67" i="42"/>
  <c r="O67" i="42"/>
  <c r="N67" i="42"/>
  <c r="AC66" i="42"/>
  <c r="AB66" i="42"/>
  <c r="AA66" i="42"/>
  <c r="Y66" i="42"/>
  <c r="X66" i="42"/>
  <c r="W66" i="42"/>
  <c r="T66" i="42"/>
  <c r="S66" i="42"/>
  <c r="R66" i="42"/>
  <c r="Q66" i="42"/>
  <c r="P66" i="42"/>
  <c r="O66" i="42"/>
  <c r="N66" i="42"/>
  <c r="AC65" i="42"/>
  <c r="AB65" i="42"/>
  <c r="AA65" i="42"/>
  <c r="Y65" i="42"/>
  <c r="X65" i="42"/>
  <c r="W65" i="42"/>
  <c r="T65" i="42"/>
  <c r="S65" i="42"/>
  <c r="R65" i="42"/>
  <c r="Q65" i="42"/>
  <c r="P65" i="42"/>
  <c r="O65" i="42"/>
  <c r="N65" i="42"/>
  <c r="AC64" i="42"/>
  <c r="AB64" i="42"/>
  <c r="AA64" i="42"/>
  <c r="Y64" i="42"/>
  <c r="X64" i="42"/>
  <c r="W64" i="42"/>
  <c r="T64" i="42"/>
  <c r="S64" i="42"/>
  <c r="R64" i="42"/>
  <c r="Q64" i="42"/>
  <c r="P64" i="42"/>
  <c r="O64" i="42"/>
  <c r="N64" i="42"/>
  <c r="AC63" i="42"/>
  <c r="AB63" i="42"/>
  <c r="AA63" i="42"/>
  <c r="Y63" i="42"/>
  <c r="X63" i="42"/>
  <c r="W63" i="42"/>
  <c r="T63" i="42"/>
  <c r="S63" i="42"/>
  <c r="R63" i="42"/>
  <c r="Q63" i="42"/>
  <c r="P63" i="42"/>
  <c r="O63" i="42"/>
  <c r="N63" i="42"/>
  <c r="AC62" i="42"/>
  <c r="AB62" i="42"/>
  <c r="AA62" i="42"/>
  <c r="Y62" i="42"/>
  <c r="X62" i="42"/>
  <c r="W62" i="42"/>
  <c r="T62" i="42"/>
  <c r="S62" i="42"/>
  <c r="R62" i="42"/>
  <c r="Q62" i="42"/>
  <c r="P62" i="42"/>
  <c r="O62" i="42"/>
  <c r="N62" i="42"/>
  <c r="AC61" i="42"/>
  <c r="AB61" i="42"/>
  <c r="AA61" i="42"/>
  <c r="Y61" i="42"/>
  <c r="X61" i="42"/>
  <c r="W61" i="42"/>
  <c r="T61" i="42"/>
  <c r="S61" i="42"/>
  <c r="R61" i="42"/>
  <c r="Q61" i="42"/>
  <c r="P61" i="42"/>
  <c r="O61" i="42"/>
  <c r="N61" i="42"/>
  <c r="AC60" i="42"/>
  <c r="AB60" i="42"/>
  <c r="AA60" i="42"/>
  <c r="Y60" i="42"/>
  <c r="X60" i="42"/>
  <c r="W60" i="42"/>
  <c r="T60" i="42"/>
  <c r="S60" i="42"/>
  <c r="R60" i="42"/>
  <c r="Q60" i="42"/>
  <c r="P60" i="42"/>
  <c r="O60" i="42"/>
  <c r="N60" i="42"/>
  <c r="AC59" i="42"/>
  <c r="AB59" i="42"/>
  <c r="AA59" i="42"/>
  <c r="Y59" i="42"/>
  <c r="X59" i="42"/>
  <c r="W59" i="42"/>
  <c r="T59" i="42"/>
  <c r="S59" i="42"/>
  <c r="R59" i="42"/>
  <c r="Q59" i="42"/>
  <c r="P59" i="42"/>
  <c r="O59" i="42"/>
  <c r="N59" i="42"/>
  <c r="AC58" i="42"/>
  <c r="AB58" i="42"/>
  <c r="AA58" i="42"/>
  <c r="Y58" i="42"/>
  <c r="X58" i="42"/>
  <c r="W58" i="42"/>
  <c r="T58" i="42"/>
  <c r="S58" i="42"/>
  <c r="R58" i="42"/>
  <c r="Q58" i="42"/>
  <c r="P58" i="42"/>
  <c r="O58" i="42"/>
  <c r="N58" i="42"/>
  <c r="AC57" i="42"/>
  <c r="AB57" i="42"/>
  <c r="AA57" i="42"/>
  <c r="Y57" i="42"/>
  <c r="X57" i="42"/>
  <c r="W57" i="42"/>
  <c r="T57" i="42"/>
  <c r="S57" i="42"/>
  <c r="R57" i="42"/>
  <c r="Q57" i="42"/>
  <c r="P57" i="42"/>
  <c r="O57" i="42"/>
  <c r="N57" i="42"/>
  <c r="AC56" i="42"/>
  <c r="AB56" i="42"/>
  <c r="AA56" i="42"/>
  <c r="Y56" i="42"/>
  <c r="X56" i="42"/>
  <c r="W56" i="42"/>
  <c r="T56" i="42"/>
  <c r="S56" i="42"/>
  <c r="R56" i="42"/>
  <c r="Q56" i="42"/>
  <c r="P56" i="42"/>
  <c r="O56" i="42"/>
  <c r="N56" i="42"/>
  <c r="AC55" i="42"/>
  <c r="AB55" i="42"/>
  <c r="AA55" i="42"/>
  <c r="Y55" i="42"/>
  <c r="X55" i="42"/>
  <c r="W55" i="42"/>
  <c r="T55" i="42"/>
  <c r="S55" i="42"/>
  <c r="R55" i="42"/>
  <c r="Q55" i="42"/>
  <c r="P55" i="42"/>
  <c r="O55" i="42"/>
  <c r="N55" i="42"/>
  <c r="AC54" i="42"/>
  <c r="AB54" i="42"/>
  <c r="AA54" i="42"/>
  <c r="Y54" i="42"/>
  <c r="X54" i="42"/>
  <c r="W54" i="42"/>
  <c r="T54" i="42"/>
  <c r="S54" i="42"/>
  <c r="R54" i="42"/>
  <c r="Q54" i="42"/>
  <c r="P54" i="42"/>
  <c r="O54" i="42"/>
  <c r="N54" i="42"/>
  <c r="AC53" i="42"/>
  <c r="AB53" i="42"/>
  <c r="AA53" i="42"/>
  <c r="Y53" i="42"/>
  <c r="X53" i="42"/>
  <c r="W53" i="42"/>
  <c r="T53" i="42"/>
  <c r="S53" i="42"/>
  <c r="R53" i="42"/>
  <c r="Q53" i="42"/>
  <c r="P53" i="42"/>
  <c r="O53" i="42"/>
  <c r="N53" i="42"/>
  <c r="AC52" i="42"/>
  <c r="AB52" i="42"/>
  <c r="AA52" i="42"/>
  <c r="Y52" i="42"/>
  <c r="X52" i="42"/>
  <c r="W52" i="42"/>
  <c r="T52" i="42"/>
  <c r="S52" i="42"/>
  <c r="R52" i="42"/>
  <c r="Q52" i="42"/>
  <c r="P52" i="42"/>
  <c r="O52" i="42"/>
  <c r="N52" i="42"/>
  <c r="AC51" i="42"/>
  <c r="AB51" i="42"/>
  <c r="AA51" i="42"/>
  <c r="Y51" i="42"/>
  <c r="X51" i="42"/>
  <c r="W51" i="42"/>
  <c r="T51" i="42"/>
  <c r="S51" i="42"/>
  <c r="R51" i="42"/>
  <c r="Q51" i="42"/>
  <c r="P51" i="42"/>
  <c r="O51" i="42"/>
  <c r="N51" i="42"/>
  <c r="AC50" i="42"/>
  <c r="AB50" i="42"/>
  <c r="AA50" i="42"/>
  <c r="Y50" i="42"/>
  <c r="X50" i="42"/>
  <c r="W50" i="42"/>
  <c r="T50" i="42"/>
  <c r="S50" i="42"/>
  <c r="R50" i="42"/>
  <c r="Q50" i="42"/>
  <c r="P50" i="42"/>
  <c r="O50" i="42"/>
  <c r="N50" i="42"/>
  <c r="AC49" i="42"/>
  <c r="AB49" i="42"/>
  <c r="AA49" i="42"/>
  <c r="Y49" i="42"/>
  <c r="X49" i="42"/>
  <c r="W49" i="42"/>
  <c r="T49" i="42"/>
  <c r="S49" i="42"/>
  <c r="R49" i="42"/>
  <c r="Q49" i="42"/>
  <c r="P49" i="42"/>
  <c r="O49" i="42"/>
  <c r="N49" i="42"/>
  <c r="AC48" i="42"/>
  <c r="AB48" i="42"/>
  <c r="AA48" i="42"/>
  <c r="Y48" i="42"/>
  <c r="X48" i="42"/>
  <c r="W48" i="42"/>
  <c r="T48" i="42"/>
  <c r="S48" i="42"/>
  <c r="R48" i="42"/>
  <c r="Q48" i="42"/>
  <c r="P48" i="42"/>
  <c r="O48" i="42"/>
  <c r="N48" i="42"/>
  <c r="AC47" i="42"/>
  <c r="AB47" i="42"/>
  <c r="AA47" i="42"/>
  <c r="Y47" i="42"/>
  <c r="X47" i="42"/>
  <c r="W47" i="42"/>
  <c r="T47" i="42"/>
  <c r="S47" i="42"/>
  <c r="R47" i="42"/>
  <c r="Q47" i="42"/>
  <c r="P47" i="42"/>
  <c r="O47" i="42"/>
  <c r="N47" i="42"/>
  <c r="AC46" i="42"/>
  <c r="AB46" i="42"/>
  <c r="AA46" i="42"/>
  <c r="Y46" i="42"/>
  <c r="X46" i="42"/>
  <c r="W46" i="42"/>
  <c r="T46" i="42"/>
  <c r="S46" i="42"/>
  <c r="R46" i="42"/>
  <c r="Q46" i="42"/>
  <c r="P46" i="42"/>
  <c r="O46" i="42"/>
  <c r="N46" i="42"/>
  <c r="AC45" i="42"/>
  <c r="AB45" i="42"/>
  <c r="AA45" i="42"/>
  <c r="Y45" i="42"/>
  <c r="W45" i="42"/>
  <c r="T45" i="42"/>
  <c r="S45" i="42"/>
  <c r="R45" i="42"/>
  <c r="Q45" i="42"/>
  <c r="P45" i="42"/>
  <c r="O45" i="42"/>
  <c r="N45" i="42"/>
  <c r="AC44" i="42"/>
  <c r="AB44" i="42"/>
  <c r="AA44" i="42"/>
  <c r="Y44" i="42"/>
  <c r="X44" i="42"/>
  <c r="W44" i="42"/>
  <c r="T44" i="42"/>
  <c r="S44" i="42"/>
  <c r="R44" i="42"/>
  <c r="Q44" i="42"/>
  <c r="P44" i="42"/>
  <c r="O44" i="42"/>
  <c r="N44" i="42"/>
  <c r="AC43" i="42"/>
  <c r="AB43" i="42"/>
  <c r="AA43" i="42"/>
  <c r="Y43" i="42"/>
  <c r="X43" i="42"/>
  <c r="W43" i="42"/>
  <c r="T43" i="42"/>
  <c r="S43" i="42"/>
  <c r="R43" i="42"/>
  <c r="Q43" i="42"/>
  <c r="P43" i="42"/>
  <c r="O43" i="42"/>
  <c r="N43" i="42"/>
  <c r="AC42" i="42"/>
  <c r="AB42" i="42"/>
  <c r="AA42" i="42"/>
  <c r="Y42" i="42"/>
  <c r="X42" i="42"/>
  <c r="W42" i="42"/>
  <c r="T42" i="42"/>
  <c r="S42" i="42"/>
  <c r="R42" i="42"/>
  <c r="Q42" i="42"/>
  <c r="P42" i="42"/>
  <c r="O42" i="42"/>
  <c r="N42" i="42"/>
  <c r="AC41" i="42"/>
  <c r="AB41" i="42"/>
  <c r="AA41" i="42"/>
  <c r="Y41" i="42"/>
  <c r="X41" i="42"/>
  <c r="W41" i="42"/>
  <c r="T41" i="42"/>
  <c r="S41" i="42"/>
  <c r="R41" i="42"/>
  <c r="Q41" i="42"/>
  <c r="P41" i="42"/>
  <c r="O41" i="42"/>
  <c r="N41" i="42"/>
  <c r="AC40" i="42"/>
  <c r="AB40" i="42"/>
  <c r="AA40" i="42"/>
  <c r="Y40" i="42"/>
  <c r="X40" i="42"/>
  <c r="W40" i="42"/>
  <c r="T40" i="42"/>
  <c r="S40" i="42"/>
  <c r="R40" i="42"/>
  <c r="Q40" i="42"/>
  <c r="P40" i="42"/>
  <c r="O40" i="42"/>
  <c r="N40" i="42"/>
  <c r="AC39" i="42"/>
  <c r="AB39" i="42"/>
  <c r="AA39" i="42"/>
  <c r="Y39" i="42"/>
  <c r="X39" i="42"/>
  <c r="W39" i="42"/>
  <c r="T39" i="42"/>
  <c r="S39" i="42"/>
  <c r="R39" i="42"/>
  <c r="Q39" i="42"/>
  <c r="P39" i="42"/>
  <c r="O39" i="42"/>
  <c r="N39" i="42"/>
  <c r="AC38" i="42"/>
  <c r="AB38" i="42"/>
  <c r="AA38" i="42"/>
  <c r="Y38" i="42"/>
  <c r="X38" i="42"/>
  <c r="W38" i="42"/>
  <c r="T38" i="42"/>
  <c r="S38" i="42"/>
  <c r="R38" i="42"/>
  <c r="Q38" i="42"/>
  <c r="P38" i="42"/>
  <c r="O38" i="42"/>
  <c r="N38" i="42"/>
  <c r="AC37" i="42"/>
  <c r="AB37" i="42"/>
  <c r="AA37" i="42"/>
  <c r="Y37" i="42"/>
  <c r="X37" i="42"/>
  <c r="W37" i="42"/>
  <c r="T37" i="42"/>
  <c r="S37" i="42"/>
  <c r="R37" i="42"/>
  <c r="Q37" i="42"/>
  <c r="P37" i="42"/>
  <c r="O37" i="42"/>
  <c r="N37" i="42"/>
  <c r="AC36" i="42"/>
  <c r="AB36" i="42"/>
  <c r="AA36" i="42"/>
  <c r="Y36" i="42"/>
  <c r="X36" i="42"/>
  <c r="W36" i="42"/>
  <c r="T36" i="42"/>
  <c r="S36" i="42"/>
  <c r="R36" i="42"/>
  <c r="Q36" i="42"/>
  <c r="P36" i="42"/>
  <c r="O36" i="42"/>
  <c r="N36" i="42"/>
  <c r="AC35" i="42"/>
  <c r="AB35" i="42"/>
  <c r="AA35" i="42"/>
  <c r="Y35" i="42"/>
  <c r="X35" i="42"/>
  <c r="W35" i="42"/>
  <c r="T35" i="42"/>
  <c r="S35" i="42"/>
  <c r="R35" i="42"/>
  <c r="Q35" i="42"/>
  <c r="P35" i="42"/>
  <c r="O35" i="42"/>
  <c r="N35" i="42"/>
  <c r="AC34" i="42"/>
  <c r="AB34" i="42"/>
  <c r="AA34" i="42"/>
  <c r="Y34" i="42"/>
  <c r="X34" i="42"/>
  <c r="W34" i="42"/>
  <c r="T34" i="42"/>
  <c r="S34" i="42"/>
  <c r="R34" i="42"/>
  <c r="Q34" i="42"/>
  <c r="P34" i="42"/>
  <c r="O34" i="42"/>
  <c r="N34" i="42"/>
  <c r="AC33" i="42"/>
  <c r="AB33" i="42"/>
  <c r="AA33" i="42"/>
  <c r="Y33" i="42"/>
  <c r="X33" i="42"/>
  <c r="W33" i="42"/>
  <c r="T33" i="42"/>
  <c r="S33" i="42"/>
  <c r="R33" i="42"/>
  <c r="Q33" i="42"/>
  <c r="P33" i="42"/>
  <c r="O33" i="42"/>
  <c r="N33" i="42"/>
  <c r="AC32" i="42"/>
  <c r="AB32" i="42"/>
  <c r="AA32" i="42"/>
  <c r="Y32" i="42"/>
  <c r="X32" i="42"/>
  <c r="W32" i="42"/>
  <c r="T32" i="42"/>
  <c r="S32" i="42"/>
  <c r="R32" i="42"/>
  <c r="Q32" i="42"/>
  <c r="P32" i="42"/>
  <c r="O32" i="42"/>
  <c r="N32" i="42"/>
  <c r="AC31" i="42"/>
  <c r="AB31" i="42"/>
  <c r="AA31" i="42"/>
  <c r="Y31" i="42"/>
  <c r="X31" i="42"/>
  <c r="W31" i="42"/>
  <c r="T31" i="42"/>
  <c r="S31" i="42"/>
  <c r="R31" i="42"/>
  <c r="Q31" i="42"/>
  <c r="P31" i="42"/>
  <c r="O31" i="42"/>
  <c r="N31" i="42"/>
  <c r="AC30" i="42"/>
  <c r="AB30" i="42"/>
  <c r="AA30" i="42"/>
  <c r="Y30" i="42"/>
  <c r="X30" i="42"/>
  <c r="W30" i="42"/>
  <c r="T30" i="42"/>
  <c r="S30" i="42"/>
  <c r="R30" i="42"/>
  <c r="Q30" i="42"/>
  <c r="P30" i="42"/>
  <c r="O30" i="42"/>
  <c r="N30" i="42"/>
  <c r="AC29" i="42"/>
  <c r="AB29" i="42"/>
  <c r="AA29" i="42"/>
  <c r="Y29" i="42"/>
  <c r="X29" i="42"/>
  <c r="W29" i="42"/>
  <c r="T29" i="42"/>
  <c r="S29" i="42"/>
  <c r="R29" i="42"/>
  <c r="Q29" i="42"/>
  <c r="P29" i="42"/>
  <c r="O29" i="42"/>
  <c r="N29" i="42"/>
  <c r="AC28" i="42"/>
  <c r="AB28" i="42"/>
  <c r="AA28" i="42"/>
  <c r="Y28" i="42"/>
  <c r="X28" i="42"/>
  <c r="W28" i="42"/>
  <c r="T28" i="42"/>
  <c r="S28" i="42"/>
  <c r="R28" i="42"/>
  <c r="Q28" i="42"/>
  <c r="P28" i="42"/>
  <c r="O28" i="42"/>
  <c r="N28" i="42"/>
  <c r="AC27" i="42"/>
  <c r="AB27" i="42"/>
  <c r="AA27" i="42"/>
  <c r="Y27" i="42"/>
  <c r="X27" i="42"/>
  <c r="W27" i="42"/>
  <c r="T27" i="42"/>
  <c r="S27" i="42"/>
  <c r="R27" i="42"/>
  <c r="Q27" i="42"/>
  <c r="P27" i="42"/>
  <c r="O27" i="42"/>
  <c r="N27" i="42"/>
  <c r="AC26" i="42"/>
  <c r="AB26" i="42"/>
  <c r="AA26" i="42"/>
  <c r="Y26" i="42"/>
  <c r="X26" i="42"/>
  <c r="W26" i="42"/>
  <c r="T26" i="42"/>
  <c r="S26" i="42"/>
  <c r="R26" i="42"/>
  <c r="Q26" i="42"/>
  <c r="P26" i="42"/>
  <c r="O26" i="42"/>
  <c r="N26" i="42"/>
  <c r="AC25" i="42"/>
  <c r="AB25" i="42"/>
  <c r="AA25" i="42"/>
  <c r="Y25" i="42"/>
  <c r="X25" i="42"/>
  <c r="W25" i="42"/>
  <c r="T25" i="42"/>
  <c r="S25" i="42"/>
  <c r="R25" i="42"/>
  <c r="Q25" i="42"/>
  <c r="P25" i="42"/>
  <c r="O25" i="42"/>
  <c r="N25" i="42"/>
  <c r="AC24" i="42"/>
  <c r="AB24" i="42"/>
  <c r="AA24" i="42"/>
  <c r="Y24" i="42"/>
  <c r="X24" i="42"/>
  <c r="W24" i="42"/>
  <c r="T24" i="42"/>
  <c r="S24" i="42"/>
  <c r="R24" i="42"/>
  <c r="Q24" i="42"/>
  <c r="P24" i="42"/>
  <c r="O24" i="42"/>
  <c r="N24" i="42"/>
  <c r="AC23" i="42"/>
  <c r="AB23" i="42"/>
  <c r="AA23" i="42"/>
  <c r="Y23" i="42"/>
  <c r="X23" i="42"/>
  <c r="W23" i="42"/>
  <c r="T23" i="42"/>
  <c r="S23" i="42"/>
  <c r="R23" i="42"/>
  <c r="Q23" i="42"/>
  <c r="P23" i="42"/>
  <c r="O23" i="42"/>
  <c r="N23" i="42"/>
  <c r="AC22" i="42"/>
  <c r="AB22" i="42"/>
  <c r="AA22" i="42"/>
  <c r="Y22" i="42"/>
  <c r="X22" i="42"/>
  <c r="W22" i="42"/>
  <c r="T22" i="42"/>
  <c r="S22" i="42"/>
  <c r="R22" i="42"/>
  <c r="Q22" i="42"/>
  <c r="P22" i="42"/>
  <c r="O22" i="42"/>
  <c r="N22" i="42"/>
  <c r="AC21" i="42"/>
  <c r="AB21" i="42"/>
  <c r="AA21" i="42"/>
  <c r="Y21" i="42"/>
  <c r="X21" i="42"/>
  <c r="W21" i="42"/>
  <c r="T21" i="42"/>
  <c r="S21" i="42"/>
  <c r="R21" i="42"/>
  <c r="Q21" i="42"/>
  <c r="P21" i="42"/>
  <c r="O21" i="42"/>
  <c r="N21" i="42"/>
  <c r="AC20" i="42"/>
  <c r="AB20" i="42"/>
  <c r="AA20" i="42"/>
  <c r="Y20" i="42"/>
  <c r="X20" i="42"/>
  <c r="W20" i="42"/>
  <c r="T20" i="42"/>
  <c r="S20" i="42"/>
  <c r="R20" i="42"/>
  <c r="Q20" i="42"/>
  <c r="P20" i="42"/>
  <c r="O20" i="42"/>
  <c r="N20" i="42"/>
  <c r="AC19" i="42"/>
  <c r="AB19" i="42"/>
  <c r="AA19" i="42"/>
  <c r="Y19" i="42"/>
  <c r="X19" i="42"/>
  <c r="W19" i="42"/>
  <c r="T19" i="42"/>
  <c r="S19" i="42"/>
  <c r="R19" i="42"/>
  <c r="Q19" i="42"/>
  <c r="P19" i="42"/>
  <c r="O19" i="42"/>
  <c r="N19" i="42"/>
  <c r="AC18" i="42"/>
  <c r="AB18" i="42"/>
  <c r="AA18" i="42"/>
  <c r="Y18" i="42"/>
  <c r="X18" i="42"/>
  <c r="W18" i="42"/>
  <c r="T18" i="42"/>
  <c r="S18" i="42"/>
  <c r="R18" i="42"/>
  <c r="Q18" i="42"/>
  <c r="P18" i="42"/>
  <c r="O18" i="42"/>
  <c r="N18" i="42"/>
  <c r="AC17" i="42"/>
  <c r="AB17" i="42"/>
  <c r="AA17" i="42"/>
  <c r="Y17" i="42"/>
  <c r="X17" i="42"/>
  <c r="W17" i="42"/>
  <c r="T17" i="42"/>
  <c r="S17" i="42"/>
  <c r="R17" i="42"/>
  <c r="Q17" i="42"/>
  <c r="P17" i="42"/>
  <c r="O17" i="42"/>
  <c r="N17" i="42"/>
  <c r="AC16" i="42"/>
  <c r="AB16" i="42"/>
  <c r="AA16" i="42"/>
  <c r="Y16" i="42"/>
  <c r="X16" i="42"/>
  <c r="W16" i="42"/>
  <c r="T16" i="42"/>
  <c r="S16" i="42"/>
  <c r="R16" i="42"/>
  <c r="Q16" i="42"/>
  <c r="P16" i="42"/>
  <c r="O16" i="42"/>
  <c r="N16" i="42"/>
  <c r="AC15" i="42"/>
  <c r="AB15" i="42"/>
  <c r="AA15" i="42"/>
  <c r="Y15" i="42"/>
  <c r="X15" i="42"/>
  <c r="W15" i="42"/>
  <c r="T15" i="42"/>
  <c r="S15" i="42"/>
  <c r="R15" i="42"/>
  <c r="Q15" i="42"/>
  <c r="P15" i="42"/>
  <c r="O15" i="42"/>
  <c r="N15" i="42"/>
  <c r="AC14" i="42"/>
  <c r="AB14" i="42"/>
  <c r="AA14" i="42"/>
  <c r="Y14" i="42"/>
  <c r="X14" i="42"/>
  <c r="W14" i="42"/>
  <c r="T14" i="42"/>
  <c r="S14" i="42"/>
  <c r="R14" i="42"/>
  <c r="Q14" i="42"/>
  <c r="P14" i="42"/>
  <c r="O14" i="42"/>
  <c r="N14" i="42"/>
  <c r="AC13" i="42"/>
  <c r="AB13" i="42"/>
  <c r="AA13" i="42"/>
  <c r="Y13" i="42"/>
  <c r="X13" i="42"/>
  <c r="W13" i="42"/>
  <c r="T13" i="42"/>
  <c r="S13" i="42"/>
  <c r="R13" i="42"/>
  <c r="Q13" i="42"/>
  <c r="P13" i="42"/>
  <c r="O13" i="42"/>
  <c r="N13" i="42"/>
  <c r="AC12" i="42"/>
  <c r="AB12" i="42"/>
  <c r="AA12" i="42"/>
  <c r="Y12" i="42"/>
  <c r="X12" i="42"/>
  <c r="W12" i="42"/>
  <c r="T12" i="42"/>
  <c r="S12" i="42"/>
  <c r="R12" i="42"/>
  <c r="Q12" i="42"/>
  <c r="P12" i="42"/>
  <c r="O12" i="42"/>
  <c r="N12" i="42"/>
  <c r="AC11" i="42"/>
  <c r="AB11" i="42"/>
  <c r="AA11" i="42"/>
  <c r="Y11" i="42"/>
  <c r="X11" i="42"/>
  <c r="W11" i="42"/>
  <c r="T11" i="42"/>
  <c r="S11" i="42"/>
  <c r="R11" i="42"/>
  <c r="Q11" i="42"/>
  <c r="P11" i="42"/>
  <c r="O11" i="42"/>
  <c r="N11" i="42"/>
  <c r="AC10" i="42"/>
  <c r="AB10" i="42"/>
  <c r="AA10" i="42"/>
  <c r="Y10" i="42"/>
  <c r="X10" i="42"/>
  <c r="W10" i="42"/>
  <c r="T10" i="42"/>
  <c r="S10" i="42"/>
  <c r="R10" i="42"/>
  <c r="Q10" i="42"/>
  <c r="P10" i="42"/>
  <c r="O10" i="42"/>
  <c r="N10" i="42"/>
  <c r="AC9" i="42"/>
  <c r="AB9" i="42"/>
  <c r="AA9" i="42"/>
  <c r="Y9" i="42"/>
  <c r="X9" i="42"/>
  <c r="W9" i="42"/>
  <c r="T9" i="42"/>
  <c r="S9" i="42"/>
  <c r="R9" i="42"/>
  <c r="Q9" i="42"/>
  <c r="P9" i="42"/>
  <c r="O9" i="42"/>
  <c r="N9" i="42"/>
  <c r="AC8" i="42"/>
  <c r="AB8" i="42"/>
  <c r="AA8" i="42"/>
  <c r="Y8" i="42"/>
  <c r="X8" i="42"/>
  <c r="W8" i="42"/>
  <c r="S8" i="42"/>
  <c r="R8" i="42"/>
  <c r="Q8" i="42"/>
  <c r="P8" i="42"/>
  <c r="O8" i="42"/>
  <c r="N8" i="42"/>
  <c r="AC7" i="42"/>
  <c r="AB7" i="42"/>
  <c r="AA7" i="42"/>
  <c r="Y7" i="42"/>
  <c r="X7" i="42"/>
  <c r="W7" i="42"/>
  <c r="S7" i="42"/>
  <c r="R7" i="42"/>
  <c r="Q7" i="42"/>
  <c r="P7" i="42"/>
  <c r="O7" i="42"/>
  <c r="N7" i="42"/>
  <c r="AC6" i="42"/>
  <c r="AB6" i="42"/>
  <c r="AA6" i="42"/>
  <c r="Y6" i="42"/>
  <c r="X6" i="42"/>
  <c r="W6" i="42"/>
  <c r="S6" i="42"/>
  <c r="R6" i="42"/>
  <c r="Q6" i="42"/>
  <c r="P6" i="42"/>
  <c r="O6" i="42"/>
  <c r="N6" i="42"/>
  <c r="AC5" i="42"/>
  <c r="AB5" i="42"/>
  <c r="AA5" i="42"/>
  <c r="Y5" i="42"/>
  <c r="X5" i="42"/>
  <c r="W5" i="42"/>
  <c r="S5" i="42"/>
  <c r="R5" i="42"/>
  <c r="Q5" i="42"/>
  <c r="P5" i="42"/>
  <c r="O5" i="42"/>
  <c r="N5" i="42"/>
  <c r="AC189" i="41"/>
  <c r="AB189" i="41"/>
  <c r="AA189" i="41"/>
  <c r="Y189" i="41"/>
  <c r="X189" i="41"/>
  <c r="W189" i="41"/>
  <c r="T189" i="41"/>
  <c r="S189" i="41"/>
  <c r="R189" i="41"/>
  <c r="Q189" i="41"/>
  <c r="P189" i="41"/>
  <c r="O189" i="41"/>
  <c r="N189" i="41"/>
  <c r="AC188" i="41"/>
  <c r="AB188" i="41"/>
  <c r="AA188" i="41"/>
  <c r="Y188" i="41"/>
  <c r="X188" i="41"/>
  <c r="W188" i="41"/>
  <c r="T188" i="41"/>
  <c r="S188" i="41"/>
  <c r="R188" i="41"/>
  <c r="Q188" i="41"/>
  <c r="P188" i="41"/>
  <c r="O188" i="41"/>
  <c r="N188" i="41"/>
  <c r="AC187" i="41"/>
  <c r="AB187" i="41"/>
  <c r="AA187" i="41"/>
  <c r="Y187" i="41"/>
  <c r="X187" i="41"/>
  <c r="W187" i="41"/>
  <c r="T187" i="41"/>
  <c r="S187" i="41"/>
  <c r="R187" i="41"/>
  <c r="Q187" i="41"/>
  <c r="P187" i="41"/>
  <c r="O187" i="41"/>
  <c r="N187" i="41"/>
  <c r="AC186" i="41"/>
  <c r="AB186" i="41"/>
  <c r="AA186" i="41"/>
  <c r="Y186" i="41"/>
  <c r="X186" i="41"/>
  <c r="W186" i="41"/>
  <c r="T186" i="41"/>
  <c r="S186" i="41"/>
  <c r="R186" i="41"/>
  <c r="Q186" i="41"/>
  <c r="P186" i="41"/>
  <c r="O186" i="41"/>
  <c r="N186" i="41"/>
  <c r="AC185" i="41"/>
  <c r="AB185" i="41"/>
  <c r="AA185" i="41"/>
  <c r="Y185" i="41"/>
  <c r="X185" i="41"/>
  <c r="W185" i="41"/>
  <c r="T185" i="41"/>
  <c r="S185" i="41"/>
  <c r="R185" i="41"/>
  <c r="Q185" i="41"/>
  <c r="P185" i="41"/>
  <c r="O185" i="41"/>
  <c r="N185" i="41"/>
  <c r="AC184" i="41"/>
  <c r="AB184" i="41"/>
  <c r="AA184" i="41"/>
  <c r="Y184" i="41"/>
  <c r="X184" i="41"/>
  <c r="W184" i="41"/>
  <c r="T184" i="41"/>
  <c r="S184" i="41"/>
  <c r="R184" i="41"/>
  <c r="Q184" i="41"/>
  <c r="P184" i="41"/>
  <c r="O184" i="41"/>
  <c r="N184" i="41"/>
  <c r="AC183" i="41"/>
  <c r="AB183" i="41"/>
  <c r="AA183" i="41"/>
  <c r="Y183" i="41"/>
  <c r="X183" i="41"/>
  <c r="W183" i="41"/>
  <c r="T183" i="41"/>
  <c r="S183" i="41"/>
  <c r="R183" i="41"/>
  <c r="Q183" i="41"/>
  <c r="P183" i="41"/>
  <c r="O183" i="41"/>
  <c r="N183" i="41"/>
  <c r="AC182" i="41"/>
  <c r="AB182" i="41"/>
  <c r="AA182" i="41"/>
  <c r="Y182" i="41"/>
  <c r="X182" i="41"/>
  <c r="W182" i="41"/>
  <c r="T182" i="41"/>
  <c r="S182" i="41"/>
  <c r="R182" i="41"/>
  <c r="Q182" i="41"/>
  <c r="P182" i="41"/>
  <c r="O182" i="41"/>
  <c r="N182" i="41"/>
  <c r="AC181" i="41"/>
  <c r="AB181" i="41"/>
  <c r="AA181" i="41"/>
  <c r="Y181" i="41"/>
  <c r="X181" i="41"/>
  <c r="W181" i="41"/>
  <c r="T181" i="41"/>
  <c r="S181" i="41"/>
  <c r="R181" i="41"/>
  <c r="Q181" i="41"/>
  <c r="P181" i="41"/>
  <c r="O181" i="41"/>
  <c r="N181" i="41"/>
  <c r="AC180" i="41"/>
  <c r="AB180" i="41"/>
  <c r="AA180" i="41"/>
  <c r="Y180" i="41"/>
  <c r="X180" i="41"/>
  <c r="W180" i="41"/>
  <c r="T180" i="41"/>
  <c r="S180" i="41"/>
  <c r="R180" i="41"/>
  <c r="Q180" i="41"/>
  <c r="P180" i="41"/>
  <c r="O180" i="41"/>
  <c r="N180" i="41"/>
  <c r="AC179" i="41"/>
  <c r="AB179" i="41"/>
  <c r="AA179" i="41"/>
  <c r="Y179" i="41"/>
  <c r="X179" i="41"/>
  <c r="W179" i="41"/>
  <c r="T179" i="41"/>
  <c r="S179" i="41"/>
  <c r="R179" i="41"/>
  <c r="Q179" i="41"/>
  <c r="P179" i="41"/>
  <c r="O179" i="41"/>
  <c r="N179" i="41"/>
  <c r="AC178" i="41"/>
  <c r="AB178" i="41"/>
  <c r="AA178" i="41"/>
  <c r="Y178" i="41"/>
  <c r="X178" i="41"/>
  <c r="W178" i="41"/>
  <c r="T178" i="41"/>
  <c r="S178" i="41"/>
  <c r="R178" i="41"/>
  <c r="Q178" i="41"/>
  <c r="P178" i="41"/>
  <c r="O178" i="41"/>
  <c r="N178" i="41"/>
  <c r="AC177" i="41"/>
  <c r="AB177" i="41"/>
  <c r="AA177" i="41"/>
  <c r="Y177" i="41"/>
  <c r="X177" i="41"/>
  <c r="W177" i="41"/>
  <c r="T177" i="41"/>
  <c r="S177" i="41"/>
  <c r="R177" i="41"/>
  <c r="Q177" i="41"/>
  <c r="P177" i="41"/>
  <c r="O177" i="41"/>
  <c r="N177" i="41"/>
  <c r="AC176" i="41"/>
  <c r="AB176" i="41"/>
  <c r="AA176" i="41"/>
  <c r="Y176" i="41"/>
  <c r="X176" i="41"/>
  <c r="W176" i="41"/>
  <c r="T176" i="41"/>
  <c r="S176" i="41"/>
  <c r="R176" i="41"/>
  <c r="Q176" i="41"/>
  <c r="P176" i="41"/>
  <c r="O176" i="41"/>
  <c r="N176" i="41"/>
  <c r="AC175" i="41"/>
  <c r="AB175" i="41"/>
  <c r="AA175" i="41"/>
  <c r="Y175" i="41"/>
  <c r="X175" i="41"/>
  <c r="W175" i="41"/>
  <c r="T175" i="41"/>
  <c r="S175" i="41"/>
  <c r="R175" i="41"/>
  <c r="Q175" i="41"/>
  <c r="P175" i="41"/>
  <c r="O175" i="41"/>
  <c r="N175" i="41"/>
  <c r="AC174" i="41"/>
  <c r="AB174" i="41"/>
  <c r="AA174" i="41"/>
  <c r="Y174" i="41"/>
  <c r="X174" i="41"/>
  <c r="W174" i="41"/>
  <c r="T174" i="41"/>
  <c r="S174" i="41"/>
  <c r="R174" i="41"/>
  <c r="Q174" i="41"/>
  <c r="P174" i="41"/>
  <c r="O174" i="41"/>
  <c r="N174" i="41"/>
  <c r="AC173" i="41"/>
  <c r="AB173" i="41"/>
  <c r="AA173" i="41"/>
  <c r="Y173" i="41"/>
  <c r="X173" i="41"/>
  <c r="W173" i="41"/>
  <c r="T173" i="41"/>
  <c r="S173" i="41"/>
  <c r="R173" i="41"/>
  <c r="Q173" i="41"/>
  <c r="P173" i="41"/>
  <c r="O173" i="41"/>
  <c r="N173" i="41"/>
  <c r="AC172" i="41"/>
  <c r="AB172" i="41"/>
  <c r="AA172" i="41"/>
  <c r="Y172" i="41"/>
  <c r="X172" i="41"/>
  <c r="W172" i="41"/>
  <c r="T172" i="41"/>
  <c r="S172" i="41"/>
  <c r="R172" i="41"/>
  <c r="Q172" i="41"/>
  <c r="P172" i="41"/>
  <c r="O172" i="41"/>
  <c r="N172" i="41"/>
  <c r="AC171" i="41"/>
  <c r="AB171" i="41"/>
  <c r="AA171" i="41"/>
  <c r="Y171" i="41"/>
  <c r="X171" i="41"/>
  <c r="W171" i="41"/>
  <c r="T171" i="41"/>
  <c r="S171" i="41"/>
  <c r="R171" i="41"/>
  <c r="Q171" i="41"/>
  <c r="P171" i="41"/>
  <c r="O171" i="41"/>
  <c r="N171" i="41"/>
  <c r="AC170" i="41"/>
  <c r="AB170" i="41"/>
  <c r="AA170" i="41"/>
  <c r="Y170" i="41"/>
  <c r="X170" i="41"/>
  <c r="W170" i="41"/>
  <c r="T170" i="41"/>
  <c r="S170" i="41"/>
  <c r="R170" i="41"/>
  <c r="Q170" i="41"/>
  <c r="P170" i="41"/>
  <c r="O170" i="41"/>
  <c r="N170" i="41"/>
  <c r="AC169" i="41"/>
  <c r="AB169" i="41"/>
  <c r="AA169" i="41"/>
  <c r="Y169" i="41"/>
  <c r="X169" i="41"/>
  <c r="W169" i="41"/>
  <c r="T169" i="41"/>
  <c r="S169" i="41"/>
  <c r="R169" i="41"/>
  <c r="Q169" i="41"/>
  <c r="P169" i="41"/>
  <c r="O169" i="41"/>
  <c r="N169" i="41"/>
  <c r="AC168" i="41"/>
  <c r="AB168" i="41"/>
  <c r="AA168" i="41"/>
  <c r="Y168" i="41"/>
  <c r="X168" i="41"/>
  <c r="W168" i="41"/>
  <c r="T168" i="41"/>
  <c r="S168" i="41"/>
  <c r="R168" i="41"/>
  <c r="Q168" i="41"/>
  <c r="P168" i="41"/>
  <c r="O168" i="41"/>
  <c r="N168" i="41"/>
  <c r="AC167" i="41"/>
  <c r="AB167" i="41"/>
  <c r="AA167" i="41"/>
  <c r="Y167" i="41"/>
  <c r="X167" i="41"/>
  <c r="W167" i="41"/>
  <c r="T167" i="41"/>
  <c r="S167" i="41"/>
  <c r="R167" i="41"/>
  <c r="Q167" i="41"/>
  <c r="P167" i="41"/>
  <c r="O167" i="41"/>
  <c r="N167" i="41"/>
  <c r="AC166" i="41"/>
  <c r="AB166" i="41"/>
  <c r="AA166" i="41"/>
  <c r="Y166" i="41"/>
  <c r="X166" i="41"/>
  <c r="W166" i="41"/>
  <c r="T166" i="41"/>
  <c r="S166" i="41"/>
  <c r="R166" i="41"/>
  <c r="Q166" i="41"/>
  <c r="P166" i="41"/>
  <c r="O166" i="41"/>
  <c r="N166" i="41"/>
  <c r="AC165" i="41"/>
  <c r="AB165" i="41"/>
  <c r="AA165" i="41"/>
  <c r="Y165" i="41"/>
  <c r="X165" i="41"/>
  <c r="W165" i="41"/>
  <c r="T165" i="41"/>
  <c r="S165" i="41"/>
  <c r="R165" i="41"/>
  <c r="Q165" i="41"/>
  <c r="P165" i="41"/>
  <c r="O165" i="41"/>
  <c r="N165" i="41"/>
  <c r="AC164" i="41"/>
  <c r="AB164" i="41"/>
  <c r="AA164" i="41"/>
  <c r="Y164" i="41"/>
  <c r="X164" i="41"/>
  <c r="W164" i="41"/>
  <c r="T164" i="41"/>
  <c r="S164" i="41"/>
  <c r="R164" i="41"/>
  <c r="Q164" i="41"/>
  <c r="P164" i="41"/>
  <c r="O164" i="41"/>
  <c r="N164" i="41"/>
  <c r="AC163" i="41"/>
  <c r="AB163" i="41"/>
  <c r="AA163" i="41"/>
  <c r="Y163" i="41"/>
  <c r="X163" i="41"/>
  <c r="W163" i="41"/>
  <c r="T163" i="41"/>
  <c r="S163" i="41"/>
  <c r="R163" i="41"/>
  <c r="Q163" i="41"/>
  <c r="P163" i="41"/>
  <c r="O163" i="41"/>
  <c r="N163" i="41"/>
  <c r="AC162" i="41"/>
  <c r="AB162" i="41"/>
  <c r="AA162" i="41"/>
  <c r="Y162" i="41"/>
  <c r="X162" i="41"/>
  <c r="W162" i="41"/>
  <c r="T162" i="41"/>
  <c r="S162" i="41"/>
  <c r="R162" i="41"/>
  <c r="Q162" i="41"/>
  <c r="P162" i="41"/>
  <c r="O162" i="41"/>
  <c r="N162" i="41"/>
  <c r="AC161" i="41"/>
  <c r="AB161" i="41"/>
  <c r="AA161" i="41"/>
  <c r="Y161" i="41"/>
  <c r="X161" i="41"/>
  <c r="W161" i="41"/>
  <c r="T161" i="41"/>
  <c r="S161" i="41"/>
  <c r="R161" i="41"/>
  <c r="Q161" i="41"/>
  <c r="P161" i="41"/>
  <c r="O161" i="41"/>
  <c r="N161" i="41"/>
  <c r="AC160" i="41"/>
  <c r="AB160" i="41"/>
  <c r="AA160" i="41"/>
  <c r="Y160" i="41"/>
  <c r="X160" i="41"/>
  <c r="W160" i="41"/>
  <c r="T160" i="41"/>
  <c r="S160" i="41"/>
  <c r="R160" i="41"/>
  <c r="Q160" i="41"/>
  <c r="P160" i="41"/>
  <c r="O160" i="41"/>
  <c r="N160" i="41"/>
  <c r="AC159" i="41"/>
  <c r="AB159" i="41"/>
  <c r="AA159" i="41"/>
  <c r="Y159" i="41"/>
  <c r="X159" i="41"/>
  <c r="W159" i="41"/>
  <c r="T159" i="41"/>
  <c r="S159" i="41"/>
  <c r="R159" i="41"/>
  <c r="Q159" i="41"/>
  <c r="P159" i="41"/>
  <c r="O159" i="41"/>
  <c r="N159" i="41"/>
  <c r="AC158" i="41"/>
  <c r="AB158" i="41"/>
  <c r="AA158" i="41"/>
  <c r="Y158" i="41"/>
  <c r="X158" i="41"/>
  <c r="W158" i="41"/>
  <c r="T158" i="41"/>
  <c r="S158" i="41"/>
  <c r="R158" i="41"/>
  <c r="Q158" i="41"/>
  <c r="P158" i="41"/>
  <c r="O158" i="41"/>
  <c r="N158" i="41"/>
  <c r="AC157" i="41"/>
  <c r="AB157" i="41"/>
  <c r="AA157" i="41"/>
  <c r="Y157" i="41"/>
  <c r="X157" i="41"/>
  <c r="W157" i="41"/>
  <c r="T157" i="41"/>
  <c r="S157" i="41"/>
  <c r="R157" i="41"/>
  <c r="Q157" i="41"/>
  <c r="P157" i="41"/>
  <c r="O157" i="41"/>
  <c r="N157" i="41"/>
  <c r="AC156" i="41"/>
  <c r="AB156" i="41"/>
  <c r="AA156" i="41"/>
  <c r="Y156" i="41"/>
  <c r="X156" i="41"/>
  <c r="W156" i="41"/>
  <c r="T156" i="41"/>
  <c r="S156" i="41"/>
  <c r="R156" i="41"/>
  <c r="Q156" i="41"/>
  <c r="P156" i="41"/>
  <c r="O156" i="41"/>
  <c r="N156" i="41"/>
  <c r="AC155" i="41"/>
  <c r="AB155" i="41"/>
  <c r="AA155" i="41"/>
  <c r="Y155" i="41"/>
  <c r="X155" i="41"/>
  <c r="W155" i="41"/>
  <c r="T155" i="41"/>
  <c r="S155" i="41"/>
  <c r="R155" i="41"/>
  <c r="Q155" i="41"/>
  <c r="P155" i="41"/>
  <c r="O155" i="41"/>
  <c r="N155" i="41"/>
  <c r="AC154" i="41"/>
  <c r="AB154" i="41"/>
  <c r="AA154" i="41"/>
  <c r="Y154" i="41"/>
  <c r="X154" i="41"/>
  <c r="W154" i="41"/>
  <c r="T154" i="41"/>
  <c r="S154" i="41"/>
  <c r="R154" i="41"/>
  <c r="Q154" i="41"/>
  <c r="P154" i="41"/>
  <c r="O154" i="41"/>
  <c r="N154" i="41"/>
  <c r="AC153" i="41"/>
  <c r="AB153" i="41"/>
  <c r="AA153" i="41"/>
  <c r="Y153" i="41"/>
  <c r="X153" i="41"/>
  <c r="W153" i="41"/>
  <c r="T153" i="41"/>
  <c r="S153" i="41"/>
  <c r="R153" i="41"/>
  <c r="Q153" i="41"/>
  <c r="P153" i="41"/>
  <c r="O153" i="41"/>
  <c r="N153" i="41"/>
  <c r="AC152" i="41"/>
  <c r="AB152" i="41"/>
  <c r="AA152" i="41"/>
  <c r="Y152" i="41"/>
  <c r="X152" i="41"/>
  <c r="W152" i="41"/>
  <c r="T152" i="41"/>
  <c r="S152" i="41"/>
  <c r="R152" i="41"/>
  <c r="Q152" i="41"/>
  <c r="P152" i="41"/>
  <c r="O152" i="41"/>
  <c r="N152" i="41"/>
  <c r="AC151" i="41"/>
  <c r="AB151" i="41"/>
  <c r="AA151" i="41"/>
  <c r="Y151" i="41"/>
  <c r="X151" i="41"/>
  <c r="W151" i="41"/>
  <c r="T151" i="41"/>
  <c r="S151" i="41"/>
  <c r="R151" i="41"/>
  <c r="Q151" i="41"/>
  <c r="P151" i="41"/>
  <c r="O151" i="41"/>
  <c r="N151" i="41"/>
  <c r="AC150" i="41"/>
  <c r="AB150" i="41"/>
  <c r="AA150" i="41"/>
  <c r="Y150" i="41"/>
  <c r="X150" i="41"/>
  <c r="W150" i="41"/>
  <c r="T150" i="41"/>
  <c r="S150" i="41"/>
  <c r="R150" i="41"/>
  <c r="Q150" i="41"/>
  <c r="P150" i="41"/>
  <c r="O150" i="41"/>
  <c r="N150" i="41"/>
  <c r="AC149" i="41"/>
  <c r="AB149" i="41"/>
  <c r="AA149" i="41"/>
  <c r="Y149" i="41"/>
  <c r="X149" i="41"/>
  <c r="W149" i="41"/>
  <c r="T149" i="41"/>
  <c r="S149" i="41"/>
  <c r="R149" i="41"/>
  <c r="Q149" i="41"/>
  <c r="P149" i="41"/>
  <c r="O149" i="41"/>
  <c r="N149" i="41"/>
  <c r="AC148" i="41"/>
  <c r="AB148" i="41"/>
  <c r="AA148" i="41"/>
  <c r="Y148" i="41"/>
  <c r="X148" i="41"/>
  <c r="W148" i="41"/>
  <c r="T148" i="41"/>
  <c r="S148" i="41"/>
  <c r="R148" i="41"/>
  <c r="Q148" i="41"/>
  <c r="P148" i="41"/>
  <c r="O148" i="41"/>
  <c r="N148" i="41"/>
  <c r="AC147" i="41"/>
  <c r="AB147" i="41"/>
  <c r="AA147" i="41"/>
  <c r="Y147" i="41"/>
  <c r="X147" i="41"/>
  <c r="W147" i="41"/>
  <c r="T147" i="41"/>
  <c r="S147" i="41"/>
  <c r="R147" i="41"/>
  <c r="Q147" i="41"/>
  <c r="P147" i="41"/>
  <c r="O147" i="41"/>
  <c r="N147" i="41"/>
  <c r="AC146" i="41"/>
  <c r="AB146" i="41"/>
  <c r="AA146" i="41"/>
  <c r="Y146" i="41"/>
  <c r="X146" i="41"/>
  <c r="W146" i="41"/>
  <c r="T146" i="41"/>
  <c r="S146" i="41"/>
  <c r="R146" i="41"/>
  <c r="Q146" i="41"/>
  <c r="P146" i="41"/>
  <c r="O146" i="41"/>
  <c r="N146" i="41"/>
  <c r="AC145" i="41"/>
  <c r="AB145" i="41"/>
  <c r="AA145" i="41"/>
  <c r="Y145" i="41"/>
  <c r="X145" i="41"/>
  <c r="W145" i="41"/>
  <c r="T145" i="41"/>
  <c r="S145" i="41"/>
  <c r="R145" i="41"/>
  <c r="Q145" i="41"/>
  <c r="P145" i="41"/>
  <c r="O145" i="41"/>
  <c r="N145" i="41"/>
  <c r="AC144" i="41"/>
  <c r="AB144" i="41"/>
  <c r="AA144" i="41"/>
  <c r="Y144" i="41"/>
  <c r="X144" i="41"/>
  <c r="W144" i="41"/>
  <c r="T144" i="41"/>
  <c r="S144" i="41"/>
  <c r="R144" i="41"/>
  <c r="Q144" i="41"/>
  <c r="P144" i="41"/>
  <c r="O144" i="41"/>
  <c r="N144" i="41"/>
  <c r="AC143" i="41"/>
  <c r="AB143" i="41"/>
  <c r="AA143" i="41"/>
  <c r="Y143" i="41"/>
  <c r="X143" i="41"/>
  <c r="W143" i="41"/>
  <c r="T143" i="41"/>
  <c r="S143" i="41"/>
  <c r="R143" i="41"/>
  <c r="Q143" i="41"/>
  <c r="P143" i="41"/>
  <c r="O143" i="41"/>
  <c r="N143" i="41"/>
  <c r="AC142" i="41"/>
  <c r="AB142" i="41"/>
  <c r="AA142" i="41"/>
  <c r="Y142" i="41"/>
  <c r="X142" i="41"/>
  <c r="W142" i="41"/>
  <c r="T142" i="41"/>
  <c r="S142" i="41"/>
  <c r="R142" i="41"/>
  <c r="Q142" i="41"/>
  <c r="P142" i="41"/>
  <c r="O142" i="41"/>
  <c r="N142" i="41"/>
  <c r="AC141" i="41"/>
  <c r="AB141" i="41"/>
  <c r="AA141" i="41"/>
  <c r="Y141" i="41"/>
  <c r="X141" i="41"/>
  <c r="W141" i="41"/>
  <c r="T141" i="41"/>
  <c r="S141" i="41"/>
  <c r="R141" i="41"/>
  <c r="Q141" i="41"/>
  <c r="P141" i="41"/>
  <c r="O141" i="41"/>
  <c r="N141" i="41"/>
  <c r="AC140" i="41"/>
  <c r="AB140" i="41"/>
  <c r="AA140" i="41"/>
  <c r="Y140" i="41"/>
  <c r="X140" i="41"/>
  <c r="W140" i="41"/>
  <c r="T140" i="41"/>
  <c r="S140" i="41"/>
  <c r="R140" i="41"/>
  <c r="Q140" i="41"/>
  <c r="P140" i="41"/>
  <c r="O140" i="41"/>
  <c r="N140" i="41"/>
  <c r="AC139" i="41"/>
  <c r="AB139" i="41"/>
  <c r="AA139" i="41"/>
  <c r="Y139" i="41"/>
  <c r="X139" i="41"/>
  <c r="W139" i="41"/>
  <c r="T139" i="41"/>
  <c r="S139" i="41"/>
  <c r="R139" i="41"/>
  <c r="Q139" i="41"/>
  <c r="P139" i="41"/>
  <c r="O139" i="41"/>
  <c r="N139" i="41"/>
  <c r="AC138" i="41"/>
  <c r="AB138" i="41"/>
  <c r="AA138" i="41"/>
  <c r="Y138" i="41"/>
  <c r="X138" i="41"/>
  <c r="W138" i="41"/>
  <c r="T138" i="41"/>
  <c r="S138" i="41"/>
  <c r="R138" i="41"/>
  <c r="Q138" i="41"/>
  <c r="P138" i="41"/>
  <c r="O138" i="41"/>
  <c r="N138" i="41"/>
  <c r="AC137" i="41"/>
  <c r="AB137" i="41"/>
  <c r="AA137" i="41"/>
  <c r="Y137" i="41"/>
  <c r="X137" i="41"/>
  <c r="W137" i="41"/>
  <c r="T137" i="41"/>
  <c r="S137" i="41"/>
  <c r="R137" i="41"/>
  <c r="Q137" i="41"/>
  <c r="P137" i="41"/>
  <c r="O137" i="41"/>
  <c r="N137" i="41"/>
  <c r="AC136" i="41"/>
  <c r="AB136" i="41"/>
  <c r="AA136" i="41"/>
  <c r="Y136" i="41"/>
  <c r="X136" i="41"/>
  <c r="W136" i="41"/>
  <c r="T136" i="41"/>
  <c r="S136" i="41"/>
  <c r="R136" i="41"/>
  <c r="Q136" i="41"/>
  <c r="P136" i="41"/>
  <c r="O136" i="41"/>
  <c r="N136" i="41"/>
  <c r="AC135" i="41"/>
  <c r="AB135" i="41"/>
  <c r="AA135" i="41"/>
  <c r="Y135" i="41"/>
  <c r="X135" i="41"/>
  <c r="W135" i="41"/>
  <c r="T135" i="41"/>
  <c r="S135" i="41"/>
  <c r="R135" i="41"/>
  <c r="Q135" i="41"/>
  <c r="P135" i="41"/>
  <c r="O135" i="41"/>
  <c r="N135" i="41"/>
  <c r="AC134" i="41"/>
  <c r="AB134" i="41"/>
  <c r="AA134" i="41"/>
  <c r="Y134" i="41"/>
  <c r="X134" i="41"/>
  <c r="W134" i="41"/>
  <c r="T134" i="41"/>
  <c r="S134" i="41"/>
  <c r="R134" i="41"/>
  <c r="Q134" i="41"/>
  <c r="P134" i="41"/>
  <c r="O134" i="41"/>
  <c r="N134" i="41"/>
  <c r="AC133" i="41"/>
  <c r="AB133" i="41"/>
  <c r="AA133" i="41"/>
  <c r="Y133" i="41"/>
  <c r="X133" i="41"/>
  <c r="W133" i="41"/>
  <c r="T133" i="41"/>
  <c r="S133" i="41"/>
  <c r="R133" i="41"/>
  <c r="Q133" i="41"/>
  <c r="P133" i="41"/>
  <c r="O133" i="41"/>
  <c r="N133" i="41"/>
  <c r="AC132" i="41"/>
  <c r="AB132" i="41"/>
  <c r="AA132" i="41"/>
  <c r="Y132" i="41"/>
  <c r="X132" i="41"/>
  <c r="W132" i="41"/>
  <c r="T132" i="41"/>
  <c r="S132" i="41"/>
  <c r="R132" i="41"/>
  <c r="Q132" i="41"/>
  <c r="P132" i="41"/>
  <c r="O132" i="41"/>
  <c r="N132" i="41"/>
  <c r="AC131" i="41"/>
  <c r="AB131" i="41"/>
  <c r="AA131" i="41"/>
  <c r="Y131" i="41"/>
  <c r="X131" i="41"/>
  <c r="W131" i="41"/>
  <c r="T131" i="41"/>
  <c r="S131" i="41"/>
  <c r="R131" i="41"/>
  <c r="Q131" i="41"/>
  <c r="P131" i="41"/>
  <c r="O131" i="41"/>
  <c r="N131" i="41"/>
  <c r="AC130" i="41"/>
  <c r="AB130" i="41"/>
  <c r="AA130" i="41"/>
  <c r="Y130" i="41"/>
  <c r="X130" i="41"/>
  <c r="W130" i="41"/>
  <c r="T130" i="41"/>
  <c r="S130" i="41"/>
  <c r="R130" i="41"/>
  <c r="Q130" i="41"/>
  <c r="P130" i="41"/>
  <c r="O130" i="41"/>
  <c r="N130" i="41"/>
  <c r="AC129" i="41"/>
  <c r="AB129" i="41"/>
  <c r="AA129" i="41"/>
  <c r="Y129" i="41"/>
  <c r="X129" i="41"/>
  <c r="W129" i="41"/>
  <c r="T129" i="41"/>
  <c r="S129" i="41"/>
  <c r="R129" i="41"/>
  <c r="Q129" i="41"/>
  <c r="P129" i="41"/>
  <c r="O129" i="41"/>
  <c r="N129" i="41"/>
  <c r="AC128" i="41"/>
  <c r="AB128" i="41"/>
  <c r="AA128" i="41"/>
  <c r="Y128" i="41"/>
  <c r="X128" i="41"/>
  <c r="W128" i="41"/>
  <c r="T128" i="41"/>
  <c r="S128" i="41"/>
  <c r="R128" i="41"/>
  <c r="Q128" i="41"/>
  <c r="P128" i="41"/>
  <c r="O128" i="41"/>
  <c r="N128" i="41"/>
  <c r="AC127" i="41"/>
  <c r="AB127" i="41"/>
  <c r="AA127" i="41"/>
  <c r="Y127" i="41"/>
  <c r="X127" i="41"/>
  <c r="W127" i="41"/>
  <c r="T127" i="41"/>
  <c r="S127" i="41"/>
  <c r="R127" i="41"/>
  <c r="Q127" i="41"/>
  <c r="P127" i="41"/>
  <c r="O127" i="41"/>
  <c r="N127" i="41"/>
  <c r="AC126" i="41"/>
  <c r="AB126" i="41"/>
  <c r="AA126" i="41"/>
  <c r="Y126" i="41"/>
  <c r="X126" i="41"/>
  <c r="W126" i="41"/>
  <c r="T126" i="41"/>
  <c r="S126" i="41"/>
  <c r="R126" i="41"/>
  <c r="Q126" i="41"/>
  <c r="P126" i="41"/>
  <c r="O126" i="41"/>
  <c r="N126" i="41"/>
  <c r="AC125" i="41"/>
  <c r="AB125" i="41"/>
  <c r="AA125" i="41"/>
  <c r="Y125" i="41"/>
  <c r="X125" i="41"/>
  <c r="W125" i="41"/>
  <c r="T125" i="41"/>
  <c r="S125" i="41"/>
  <c r="R125" i="41"/>
  <c r="Q125" i="41"/>
  <c r="P125" i="41"/>
  <c r="O125" i="41"/>
  <c r="N125" i="41"/>
  <c r="AC124" i="41"/>
  <c r="AB124" i="41"/>
  <c r="AA124" i="41"/>
  <c r="Y124" i="41"/>
  <c r="X124" i="41"/>
  <c r="W124" i="41"/>
  <c r="T124" i="41"/>
  <c r="S124" i="41"/>
  <c r="R124" i="41"/>
  <c r="Q124" i="41"/>
  <c r="P124" i="41"/>
  <c r="O124" i="41"/>
  <c r="N124" i="41"/>
  <c r="AC123" i="41"/>
  <c r="AB123" i="41"/>
  <c r="AA123" i="41"/>
  <c r="Y123" i="41"/>
  <c r="X123" i="41"/>
  <c r="W123" i="41"/>
  <c r="T123" i="41"/>
  <c r="S123" i="41"/>
  <c r="R123" i="41"/>
  <c r="Q123" i="41"/>
  <c r="P123" i="41"/>
  <c r="O123" i="41"/>
  <c r="N123" i="41"/>
  <c r="AC122" i="41"/>
  <c r="AB122" i="41"/>
  <c r="AA122" i="41"/>
  <c r="Y122" i="41"/>
  <c r="X122" i="41"/>
  <c r="W122" i="41"/>
  <c r="T122" i="41"/>
  <c r="S122" i="41"/>
  <c r="R122" i="41"/>
  <c r="Q122" i="41"/>
  <c r="P122" i="41"/>
  <c r="O122" i="41"/>
  <c r="N122" i="41"/>
  <c r="AC121" i="41"/>
  <c r="AB121" i="41"/>
  <c r="AA121" i="41"/>
  <c r="Y121" i="41"/>
  <c r="X121" i="41"/>
  <c r="W121" i="41"/>
  <c r="T121" i="41"/>
  <c r="S121" i="41"/>
  <c r="R121" i="41"/>
  <c r="Q121" i="41"/>
  <c r="P121" i="41"/>
  <c r="O121" i="41"/>
  <c r="N121" i="41"/>
  <c r="AC120" i="41"/>
  <c r="AB120" i="41"/>
  <c r="AA120" i="41"/>
  <c r="Y120" i="41"/>
  <c r="X120" i="41"/>
  <c r="W120" i="41"/>
  <c r="T120" i="41"/>
  <c r="S120" i="41"/>
  <c r="R120" i="41"/>
  <c r="Q120" i="41"/>
  <c r="P120" i="41"/>
  <c r="O120" i="41"/>
  <c r="N120" i="41"/>
  <c r="AC119" i="41"/>
  <c r="AB119" i="41"/>
  <c r="AA119" i="41"/>
  <c r="Y119" i="41"/>
  <c r="X119" i="41"/>
  <c r="W119" i="41"/>
  <c r="T119" i="41"/>
  <c r="S119" i="41"/>
  <c r="R119" i="41"/>
  <c r="Q119" i="41"/>
  <c r="P119" i="41"/>
  <c r="O119" i="41"/>
  <c r="N119" i="41"/>
  <c r="AC118" i="41"/>
  <c r="AB118" i="41"/>
  <c r="AA118" i="41"/>
  <c r="Y118" i="41"/>
  <c r="X118" i="41"/>
  <c r="W118" i="41"/>
  <c r="T118" i="41"/>
  <c r="S118" i="41"/>
  <c r="R118" i="41"/>
  <c r="Q118" i="41"/>
  <c r="P118" i="41"/>
  <c r="O118" i="41"/>
  <c r="N118" i="41"/>
  <c r="AC117" i="41"/>
  <c r="AB117" i="41"/>
  <c r="AA117" i="41"/>
  <c r="Y117" i="41"/>
  <c r="X117" i="41"/>
  <c r="W117" i="41"/>
  <c r="T117" i="41"/>
  <c r="S117" i="41"/>
  <c r="R117" i="41"/>
  <c r="Q117" i="41"/>
  <c r="P117" i="41"/>
  <c r="O117" i="41"/>
  <c r="N117" i="41"/>
  <c r="AC116" i="41"/>
  <c r="AB116" i="41"/>
  <c r="AA116" i="41"/>
  <c r="Y116" i="41"/>
  <c r="X116" i="41"/>
  <c r="W116" i="41"/>
  <c r="T116" i="41"/>
  <c r="S116" i="41"/>
  <c r="R116" i="41"/>
  <c r="Q116" i="41"/>
  <c r="P116" i="41"/>
  <c r="O116" i="41"/>
  <c r="N116" i="41"/>
  <c r="AC115" i="41"/>
  <c r="AB115" i="41"/>
  <c r="AA115" i="41"/>
  <c r="Y115" i="41"/>
  <c r="X115" i="41"/>
  <c r="W115" i="41"/>
  <c r="T115" i="41"/>
  <c r="S115" i="41"/>
  <c r="R115" i="41"/>
  <c r="Q115" i="41"/>
  <c r="P115" i="41"/>
  <c r="O115" i="41"/>
  <c r="N115" i="41"/>
  <c r="AC114" i="41"/>
  <c r="AB114" i="41"/>
  <c r="AA114" i="41"/>
  <c r="Y114" i="41"/>
  <c r="X114" i="41"/>
  <c r="W114" i="41"/>
  <c r="T114" i="41"/>
  <c r="S114" i="41"/>
  <c r="R114" i="41"/>
  <c r="Q114" i="41"/>
  <c r="P114" i="41"/>
  <c r="O114" i="41"/>
  <c r="N114" i="41"/>
  <c r="AC113" i="41"/>
  <c r="AB113" i="41"/>
  <c r="AA113" i="41"/>
  <c r="Y113" i="41"/>
  <c r="X113" i="41"/>
  <c r="W113" i="41"/>
  <c r="T113" i="41"/>
  <c r="S113" i="41"/>
  <c r="R113" i="41"/>
  <c r="Q113" i="41"/>
  <c r="P113" i="41"/>
  <c r="O113" i="41"/>
  <c r="N113" i="41"/>
  <c r="AC112" i="41"/>
  <c r="AB112" i="41"/>
  <c r="AA112" i="41"/>
  <c r="Y112" i="41"/>
  <c r="X112" i="41"/>
  <c r="W112" i="41"/>
  <c r="T112" i="41"/>
  <c r="S112" i="41"/>
  <c r="R112" i="41"/>
  <c r="Q112" i="41"/>
  <c r="P112" i="41"/>
  <c r="O112" i="41"/>
  <c r="N112" i="41"/>
  <c r="AC111" i="41"/>
  <c r="AB111" i="41"/>
  <c r="AA111" i="41"/>
  <c r="Y111" i="41"/>
  <c r="X111" i="41"/>
  <c r="W111" i="41"/>
  <c r="T111" i="41"/>
  <c r="S111" i="41"/>
  <c r="R111" i="41"/>
  <c r="Q111" i="41"/>
  <c r="P111" i="41"/>
  <c r="O111" i="41"/>
  <c r="N111" i="41"/>
  <c r="AC110" i="41"/>
  <c r="AB110" i="41"/>
  <c r="AA110" i="41"/>
  <c r="Y110" i="41"/>
  <c r="X110" i="41"/>
  <c r="W110" i="41"/>
  <c r="T110" i="41"/>
  <c r="S110" i="41"/>
  <c r="R110" i="41"/>
  <c r="Q110" i="41"/>
  <c r="P110" i="41"/>
  <c r="O110" i="41"/>
  <c r="N110" i="41"/>
  <c r="AC109" i="41"/>
  <c r="AB109" i="41"/>
  <c r="AA109" i="41"/>
  <c r="Y109" i="41"/>
  <c r="X109" i="41"/>
  <c r="W109" i="41"/>
  <c r="T109" i="41"/>
  <c r="S109" i="41"/>
  <c r="R109" i="41"/>
  <c r="Q109" i="41"/>
  <c r="P109" i="41"/>
  <c r="O109" i="41"/>
  <c r="N109" i="41"/>
  <c r="AC108" i="41"/>
  <c r="AB108" i="41"/>
  <c r="AA108" i="41"/>
  <c r="Y108" i="41"/>
  <c r="X108" i="41"/>
  <c r="W108" i="41"/>
  <c r="T108" i="41"/>
  <c r="S108" i="41"/>
  <c r="R108" i="41"/>
  <c r="Q108" i="41"/>
  <c r="P108" i="41"/>
  <c r="O108" i="41"/>
  <c r="N108" i="41"/>
  <c r="AC107" i="41"/>
  <c r="AB107" i="41"/>
  <c r="AA107" i="41"/>
  <c r="Y107" i="41"/>
  <c r="X107" i="41"/>
  <c r="W107" i="41"/>
  <c r="T107" i="41"/>
  <c r="S107" i="41"/>
  <c r="R107" i="41"/>
  <c r="Q107" i="41"/>
  <c r="P107" i="41"/>
  <c r="O107" i="41"/>
  <c r="N107" i="41"/>
  <c r="AC106" i="41"/>
  <c r="AB106" i="41"/>
  <c r="AA106" i="41"/>
  <c r="Y106" i="41"/>
  <c r="X106" i="41"/>
  <c r="W106" i="41"/>
  <c r="T106" i="41"/>
  <c r="S106" i="41"/>
  <c r="R106" i="41"/>
  <c r="Q106" i="41"/>
  <c r="P106" i="41"/>
  <c r="O106" i="41"/>
  <c r="N106" i="41"/>
  <c r="AC105" i="41"/>
  <c r="AB105" i="41"/>
  <c r="AA105" i="41"/>
  <c r="Y105" i="41"/>
  <c r="X105" i="41"/>
  <c r="W105" i="41"/>
  <c r="T105" i="41"/>
  <c r="S105" i="41"/>
  <c r="R105" i="41"/>
  <c r="Q105" i="41"/>
  <c r="P105" i="41"/>
  <c r="O105" i="41"/>
  <c r="N105" i="41"/>
  <c r="AC104" i="41"/>
  <c r="AB104" i="41"/>
  <c r="AA104" i="41"/>
  <c r="Y104" i="41"/>
  <c r="X104" i="41"/>
  <c r="W104" i="41"/>
  <c r="T104" i="41"/>
  <c r="S104" i="41"/>
  <c r="R104" i="41"/>
  <c r="Q104" i="41"/>
  <c r="P104" i="41"/>
  <c r="O104" i="41"/>
  <c r="N104" i="41"/>
  <c r="AC103" i="41"/>
  <c r="AB103" i="41"/>
  <c r="AA103" i="41"/>
  <c r="Y103" i="41"/>
  <c r="X103" i="41"/>
  <c r="W103" i="41"/>
  <c r="T103" i="41"/>
  <c r="S103" i="41"/>
  <c r="R103" i="41"/>
  <c r="Q103" i="41"/>
  <c r="P103" i="41"/>
  <c r="O103" i="41"/>
  <c r="N103" i="41"/>
  <c r="AC102" i="41"/>
  <c r="AB102" i="41"/>
  <c r="AA102" i="41"/>
  <c r="Y102" i="41"/>
  <c r="X102" i="41"/>
  <c r="W102" i="41"/>
  <c r="T102" i="41"/>
  <c r="S102" i="41"/>
  <c r="R102" i="41"/>
  <c r="Q102" i="41"/>
  <c r="P102" i="41"/>
  <c r="O102" i="41"/>
  <c r="N102" i="41"/>
  <c r="AC101" i="41"/>
  <c r="AB101" i="41"/>
  <c r="AA101" i="41"/>
  <c r="Y101" i="41"/>
  <c r="X101" i="41"/>
  <c r="W101" i="41"/>
  <c r="T101" i="41"/>
  <c r="S101" i="41"/>
  <c r="R101" i="41"/>
  <c r="Q101" i="41"/>
  <c r="P101" i="41"/>
  <c r="O101" i="41"/>
  <c r="N101" i="41"/>
  <c r="AC100" i="41"/>
  <c r="AB100" i="41"/>
  <c r="AA100" i="41"/>
  <c r="Y100" i="41"/>
  <c r="X100" i="41"/>
  <c r="W100" i="41"/>
  <c r="T100" i="41"/>
  <c r="S100" i="41"/>
  <c r="R100" i="41"/>
  <c r="Q100" i="41"/>
  <c r="P100" i="41"/>
  <c r="O100" i="41"/>
  <c r="N100" i="41"/>
  <c r="AC99" i="41"/>
  <c r="AB99" i="41"/>
  <c r="AA99" i="41"/>
  <c r="Y99" i="41"/>
  <c r="X99" i="41"/>
  <c r="W99" i="41"/>
  <c r="T99" i="41"/>
  <c r="S99" i="41"/>
  <c r="R99" i="41"/>
  <c r="Q99" i="41"/>
  <c r="P99" i="41"/>
  <c r="O99" i="41"/>
  <c r="N99" i="41"/>
  <c r="AC98" i="41"/>
  <c r="AB98" i="41"/>
  <c r="AA98" i="41"/>
  <c r="Y98" i="41"/>
  <c r="X98" i="41"/>
  <c r="W98" i="41"/>
  <c r="T98" i="41"/>
  <c r="S98" i="41"/>
  <c r="R98" i="41"/>
  <c r="Q98" i="41"/>
  <c r="P98" i="41"/>
  <c r="O98" i="41"/>
  <c r="N98" i="41"/>
  <c r="AC97" i="41"/>
  <c r="AB97" i="41"/>
  <c r="AA97" i="41"/>
  <c r="Y97" i="41"/>
  <c r="X97" i="41"/>
  <c r="W97" i="41"/>
  <c r="T97" i="41"/>
  <c r="S97" i="41"/>
  <c r="R97" i="41"/>
  <c r="Q97" i="41"/>
  <c r="P97" i="41"/>
  <c r="O97" i="41"/>
  <c r="N97" i="41"/>
  <c r="AC96" i="41"/>
  <c r="AB96" i="41"/>
  <c r="AA96" i="41"/>
  <c r="Y96" i="41"/>
  <c r="X96" i="41"/>
  <c r="W96" i="41"/>
  <c r="T96" i="41"/>
  <c r="S96" i="41"/>
  <c r="R96" i="41"/>
  <c r="Q96" i="41"/>
  <c r="P96" i="41"/>
  <c r="O96" i="41"/>
  <c r="N96" i="41"/>
  <c r="AC95" i="41"/>
  <c r="AB95" i="41"/>
  <c r="AA95" i="41"/>
  <c r="Y95" i="41"/>
  <c r="X95" i="41"/>
  <c r="W95" i="41"/>
  <c r="T95" i="41"/>
  <c r="S95" i="41"/>
  <c r="R95" i="41"/>
  <c r="Q95" i="41"/>
  <c r="P95" i="41"/>
  <c r="O95" i="41"/>
  <c r="N95" i="41"/>
  <c r="AC94" i="41"/>
  <c r="AB94" i="41"/>
  <c r="AA94" i="41"/>
  <c r="Y94" i="41"/>
  <c r="X94" i="41"/>
  <c r="W94" i="41"/>
  <c r="T94" i="41"/>
  <c r="S94" i="41"/>
  <c r="R94" i="41"/>
  <c r="Q94" i="41"/>
  <c r="P94" i="41"/>
  <c r="O94" i="41"/>
  <c r="N94" i="41"/>
  <c r="AC93" i="41"/>
  <c r="AB93" i="41"/>
  <c r="AA93" i="41"/>
  <c r="Y93" i="41"/>
  <c r="X93" i="41"/>
  <c r="W93" i="41"/>
  <c r="T93" i="41"/>
  <c r="S93" i="41"/>
  <c r="R93" i="41"/>
  <c r="Q93" i="41"/>
  <c r="P93" i="41"/>
  <c r="O93" i="41"/>
  <c r="N93" i="41"/>
  <c r="AC92" i="41"/>
  <c r="AB92" i="41"/>
  <c r="AA92" i="41"/>
  <c r="Y92" i="41"/>
  <c r="X92" i="41"/>
  <c r="W92" i="41"/>
  <c r="T92" i="41"/>
  <c r="S92" i="41"/>
  <c r="R92" i="41"/>
  <c r="Q92" i="41"/>
  <c r="P92" i="41"/>
  <c r="O92" i="41"/>
  <c r="N92" i="41"/>
  <c r="AC91" i="41"/>
  <c r="AB91" i="41"/>
  <c r="AA91" i="41"/>
  <c r="Y91" i="41"/>
  <c r="X91" i="41"/>
  <c r="W91" i="41"/>
  <c r="T91" i="41"/>
  <c r="S91" i="41"/>
  <c r="R91" i="41"/>
  <c r="Q91" i="41"/>
  <c r="P91" i="41"/>
  <c r="O91" i="41"/>
  <c r="N91" i="41"/>
  <c r="AC90" i="41"/>
  <c r="AB90" i="41"/>
  <c r="AA90" i="41"/>
  <c r="Y90" i="41"/>
  <c r="X90" i="41"/>
  <c r="W90" i="41"/>
  <c r="T90" i="41"/>
  <c r="S90" i="41"/>
  <c r="R90" i="41"/>
  <c r="Q90" i="41"/>
  <c r="P90" i="41"/>
  <c r="O90" i="41"/>
  <c r="N90" i="41"/>
  <c r="AC89" i="41"/>
  <c r="AB89" i="41"/>
  <c r="AA89" i="41"/>
  <c r="Y89" i="41"/>
  <c r="X89" i="41"/>
  <c r="W89" i="41"/>
  <c r="T89" i="41"/>
  <c r="S89" i="41"/>
  <c r="R89" i="41"/>
  <c r="Q89" i="41"/>
  <c r="P89" i="41"/>
  <c r="O89" i="41"/>
  <c r="N89" i="41"/>
  <c r="AC88" i="41"/>
  <c r="AB88" i="41"/>
  <c r="AA88" i="41"/>
  <c r="Y88" i="41"/>
  <c r="X88" i="41"/>
  <c r="W88" i="41"/>
  <c r="T88" i="41"/>
  <c r="S88" i="41"/>
  <c r="R88" i="41"/>
  <c r="Q88" i="41"/>
  <c r="P88" i="41"/>
  <c r="O88" i="41"/>
  <c r="N88" i="41"/>
  <c r="AC87" i="41"/>
  <c r="AB87" i="41"/>
  <c r="AA87" i="41"/>
  <c r="Y87" i="41"/>
  <c r="X87" i="41"/>
  <c r="W87" i="41"/>
  <c r="T87" i="41"/>
  <c r="S87" i="41"/>
  <c r="R87" i="41"/>
  <c r="Q87" i="41"/>
  <c r="P87" i="41"/>
  <c r="O87" i="41"/>
  <c r="N87" i="41"/>
  <c r="AC86" i="41"/>
  <c r="AB86" i="41"/>
  <c r="AA86" i="41"/>
  <c r="Y86" i="41"/>
  <c r="X86" i="41"/>
  <c r="W86" i="41"/>
  <c r="T86" i="41"/>
  <c r="S86" i="41"/>
  <c r="R86" i="41"/>
  <c r="Q86" i="41"/>
  <c r="P86" i="41"/>
  <c r="O86" i="41"/>
  <c r="N86" i="41"/>
  <c r="AC85" i="41"/>
  <c r="AB85" i="41"/>
  <c r="AA85" i="41"/>
  <c r="Y85" i="41"/>
  <c r="X85" i="41"/>
  <c r="W85" i="41"/>
  <c r="T85" i="41"/>
  <c r="S85" i="41"/>
  <c r="R85" i="41"/>
  <c r="Q85" i="41"/>
  <c r="P85" i="41"/>
  <c r="O85" i="41"/>
  <c r="N85" i="41"/>
  <c r="AC84" i="41"/>
  <c r="AB84" i="41"/>
  <c r="AA84" i="41"/>
  <c r="Y84" i="41"/>
  <c r="X84" i="41"/>
  <c r="W84" i="41"/>
  <c r="T84" i="41"/>
  <c r="S84" i="41"/>
  <c r="R84" i="41"/>
  <c r="Q84" i="41"/>
  <c r="P84" i="41"/>
  <c r="O84" i="41"/>
  <c r="N84" i="41"/>
  <c r="AC83" i="41"/>
  <c r="AB83" i="41"/>
  <c r="AA83" i="41"/>
  <c r="Y83" i="41"/>
  <c r="X83" i="41"/>
  <c r="W83" i="41"/>
  <c r="T83" i="41"/>
  <c r="S83" i="41"/>
  <c r="R83" i="41"/>
  <c r="Q83" i="41"/>
  <c r="P83" i="41"/>
  <c r="O83" i="41"/>
  <c r="N83" i="41"/>
  <c r="AC82" i="41"/>
  <c r="AB82" i="41"/>
  <c r="AA82" i="41"/>
  <c r="Y82" i="41"/>
  <c r="X82" i="41"/>
  <c r="W82" i="41"/>
  <c r="T82" i="41"/>
  <c r="S82" i="41"/>
  <c r="R82" i="41"/>
  <c r="Q82" i="41"/>
  <c r="P82" i="41"/>
  <c r="O82" i="41"/>
  <c r="N82" i="41"/>
  <c r="AC81" i="41"/>
  <c r="AB81" i="41"/>
  <c r="AA81" i="41"/>
  <c r="Y81" i="41"/>
  <c r="X81" i="41"/>
  <c r="W81" i="41"/>
  <c r="T81" i="41"/>
  <c r="S81" i="41"/>
  <c r="R81" i="41"/>
  <c r="Q81" i="41"/>
  <c r="P81" i="41"/>
  <c r="O81" i="41"/>
  <c r="N81" i="41"/>
  <c r="AC80" i="41"/>
  <c r="AB80" i="41"/>
  <c r="AA80" i="41"/>
  <c r="Y80" i="41"/>
  <c r="X80" i="41"/>
  <c r="W80" i="41"/>
  <c r="T80" i="41"/>
  <c r="S80" i="41"/>
  <c r="R80" i="41"/>
  <c r="Q80" i="41"/>
  <c r="P80" i="41"/>
  <c r="O80" i="41"/>
  <c r="N80" i="41"/>
  <c r="AC79" i="41"/>
  <c r="AB79" i="41"/>
  <c r="AA79" i="41"/>
  <c r="Y79" i="41"/>
  <c r="X79" i="41"/>
  <c r="W79" i="41"/>
  <c r="T79" i="41"/>
  <c r="S79" i="41"/>
  <c r="R79" i="41"/>
  <c r="Q79" i="41"/>
  <c r="P79" i="41"/>
  <c r="O79" i="41"/>
  <c r="N79" i="41"/>
  <c r="AC78" i="41"/>
  <c r="AB78" i="41"/>
  <c r="AA78" i="41"/>
  <c r="Y78" i="41"/>
  <c r="X78" i="41"/>
  <c r="W78" i="41"/>
  <c r="T78" i="41"/>
  <c r="S78" i="41"/>
  <c r="R78" i="41"/>
  <c r="Q78" i="41"/>
  <c r="P78" i="41"/>
  <c r="O78" i="41"/>
  <c r="N78" i="41"/>
  <c r="AC77" i="41"/>
  <c r="AB77" i="41"/>
  <c r="AA77" i="41"/>
  <c r="Y77" i="41"/>
  <c r="X77" i="41"/>
  <c r="W77" i="41"/>
  <c r="T77" i="41"/>
  <c r="S77" i="41"/>
  <c r="R77" i="41"/>
  <c r="Q77" i="41"/>
  <c r="P77" i="41"/>
  <c r="O77" i="41"/>
  <c r="N77" i="41"/>
  <c r="AC76" i="41"/>
  <c r="AB76" i="41"/>
  <c r="AA76" i="41"/>
  <c r="Y76" i="41"/>
  <c r="X76" i="41"/>
  <c r="W76" i="41"/>
  <c r="T76" i="41"/>
  <c r="S76" i="41"/>
  <c r="R76" i="41"/>
  <c r="Q76" i="41"/>
  <c r="P76" i="41"/>
  <c r="O76" i="41"/>
  <c r="N76" i="41"/>
  <c r="AC75" i="41"/>
  <c r="AB75" i="41"/>
  <c r="AA75" i="41"/>
  <c r="Y75" i="41"/>
  <c r="X75" i="41"/>
  <c r="W75" i="41"/>
  <c r="T75" i="41"/>
  <c r="S75" i="41"/>
  <c r="R75" i="41"/>
  <c r="Q75" i="41"/>
  <c r="P75" i="41"/>
  <c r="O75" i="41"/>
  <c r="N75" i="41"/>
  <c r="AC74" i="41"/>
  <c r="AB74" i="41"/>
  <c r="AA74" i="41"/>
  <c r="Y74" i="41"/>
  <c r="X74" i="41"/>
  <c r="W74" i="41"/>
  <c r="T74" i="41"/>
  <c r="S74" i="41"/>
  <c r="R74" i="41"/>
  <c r="Q74" i="41"/>
  <c r="P74" i="41"/>
  <c r="O74" i="41"/>
  <c r="N74" i="41"/>
  <c r="AC73" i="41"/>
  <c r="AB73" i="41"/>
  <c r="AA73" i="41"/>
  <c r="Y73" i="41"/>
  <c r="X73" i="41"/>
  <c r="W73" i="41"/>
  <c r="T73" i="41"/>
  <c r="S73" i="41"/>
  <c r="R73" i="41"/>
  <c r="Q73" i="41"/>
  <c r="P73" i="41"/>
  <c r="O73" i="41"/>
  <c r="N73" i="41"/>
  <c r="AC72" i="41"/>
  <c r="AB72" i="41"/>
  <c r="AA72" i="41"/>
  <c r="Y72" i="41"/>
  <c r="X72" i="41"/>
  <c r="W72" i="41"/>
  <c r="T72" i="41"/>
  <c r="S72" i="41"/>
  <c r="R72" i="41"/>
  <c r="Q72" i="41"/>
  <c r="P72" i="41"/>
  <c r="O72" i="41"/>
  <c r="N72" i="41"/>
  <c r="AC71" i="41"/>
  <c r="AB71" i="41"/>
  <c r="AA71" i="41"/>
  <c r="Y71" i="41"/>
  <c r="X71" i="41"/>
  <c r="W71" i="41"/>
  <c r="T71" i="41"/>
  <c r="S71" i="41"/>
  <c r="R71" i="41"/>
  <c r="Q71" i="41"/>
  <c r="P71" i="41"/>
  <c r="O71" i="41"/>
  <c r="N71" i="41"/>
  <c r="AC70" i="41"/>
  <c r="AB70" i="41"/>
  <c r="AA70" i="41"/>
  <c r="Y70" i="41"/>
  <c r="X70" i="41"/>
  <c r="W70" i="41"/>
  <c r="T70" i="41"/>
  <c r="S70" i="41"/>
  <c r="R70" i="41"/>
  <c r="Q70" i="41"/>
  <c r="P70" i="41"/>
  <c r="O70" i="41"/>
  <c r="N70" i="41"/>
  <c r="AC69" i="41"/>
  <c r="AB69" i="41"/>
  <c r="AA69" i="41"/>
  <c r="Y69" i="41"/>
  <c r="X69" i="41"/>
  <c r="W69" i="41"/>
  <c r="T69" i="41"/>
  <c r="S69" i="41"/>
  <c r="R69" i="41"/>
  <c r="Q69" i="41"/>
  <c r="P69" i="41"/>
  <c r="O69" i="41"/>
  <c r="N69" i="41"/>
  <c r="AC68" i="41"/>
  <c r="AB68" i="41"/>
  <c r="AA68" i="41"/>
  <c r="Y68" i="41"/>
  <c r="X68" i="41"/>
  <c r="W68" i="41"/>
  <c r="T68" i="41"/>
  <c r="S68" i="41"/>
  <c r="R68" i="41"/>
  <c r="Q68" i="41"/>
  <c r="P68" i="41"/>
  <c r="O68" i="41"/>
  <c r="N68" i="41"/>
  <c r="AC67" i="41"/>
  <c r="AB67" i="41"/>
  <c r="AA67" i="41"/>
  <c r="Y67" i="41"/>
  <c r="X67" i="41"/>
  <c r="W67" i="41"/>
  <c r="T67" i="41"/>
  <c r="S67" i="41"/>
  <c r="R67" i="41"/>
  <c r="Q67" i="41"/>
  <c r="P67" i="41"/>
  <c r="O67" i="41"/>
  <c r="N67" i="41"/>
  <c r="AC66" i="41"/>
  <c r="AB66" i="41"/>
  <c r="AA66" i="41"/>
  <c r="Y66" i="41"/>
  <c r="X66" i="41"/>
  <c r="W66" i="41"/>
  <c r="T66" i="41"/>
  <c r="S66" i="41"/>
  <c r="R66" i="41"/>
  <c r="Q66" i="41"/>
  <c r="P66" i="41"/>
  <c r="O66" i="41"/>
  <c r="N66" i="41"/>
  <c r="AC65" i="41"/>
  <c r="AB65" i="41"/>
  <c r="AA65" i="41"/>
  <c r="Y65" i="41"/>
  <c r="X65" i="41"/>
  <c r="W65" i="41"/>
  <c r="T65" i="41"/>
  <c r="S65" i="41"/>
  <c r="R65" i="41"/>
  <c r="Q65" i="41"/>
  <c r="P65" i="41"/>
  <c r="O65" i="41"/>
  <c r="N65" i="41"/>
  <c r="AC64" i="41"/>
  <c r="AB64" i="41"/>
  <c r="AA64" i="41"/>
  <c r="Y64" i="41"/>
  <c r="X64" i="41"/>
  <c r="W64" i="41"/>
  <c r="T64" i="41"/>
  <c r="S64" i="41"/>
  <c r="R64" i="41"/>
  <c r="Q64" i="41"/>
  <c r="P64" i="41"/>
  <c r="O64" i="41"/>
  <c r="N64" i="41"/>
  <c r="AC63" i="41"/>
  <c r="AB63" i="41"/>
  <c r="AA63" i="41"/>
  <c r="Y63" i="41"/>
  <c r="X63" i="41"/>
  <c r="W63" i="41"/>
  <c r="T63" i="41"/>
  <c r="S63" i="41"/>
  <c r="R63" i="41"/>
  <c r="Q63" i="41"/>
  <c r="P63" i="41"/>
  <c r="O63" i="41"/>
  <c r="N63" i="41"/>
  <c r="AC62" i="41"/>
  <c r="AB62" i="41"/>
  <c r="AA62" i="41"/>
  <c r="Y62" i="41"/>
  <c r="X62" i="41"/>
  <c r="W62" i="41"/>
  <c r="T62" i="41"/>
  <c r="S62" i="41"/>
  <c r="R62" i="41"/>
  <c r="Q62" i="41"/>
  <c r="P62" i="41"/>
  <c r="O62" i="41"/>
  <c r="N62" i="41"/>
  <c r="AC61" i="41"/>
  <c r="AB61" i="41"/>
  <c r="AA61" i="41"/>
  <c r="Y61" i="41"/>
  <c r="X61" i="41"/>
  <c r="W61" i="41"/>
  <c r="T61" i="41"/>
  <c r="S61" i="41"/>
  <c r="R61" i="41"/>
  <c r="Q61" i="41"/>
  <c r="P61" i="41"/>
  <c r="O61" i="41"/>
  <c r="N61" i="41"/>
  <c r="AC60" i="41"/>
  <c r="AB60" i="41"/>
  <c r="AA60" i="41"/>
  <c r="Y60" i="41"/>
  <c r="X60" i="41"/>
  <c r="W60" i="41"/>
  <c r="T60" i="41"/>
  <c r="S60" i="41"/>
  <c r="R60" i="41"/>
  <c r="Q60" i="41"/>
  <c r="P60" i="41"/>
  <c r="O60" i="41"/>
  <c r="N60" i="41"/>
  <c r="AC59" i="41"/>
  <c r="AB59" i="41"/>
  <c r="AA59" i="41"/>
  <c r="Y59" i="41"/>
  <c r="X59" i="41"/>
  <c r="W59" i="41"/>
  <c r="T59" i="41"/>
  <c r="S59" i="41"/>
  <c r="R59" i="41"/>
  <c r="Q59" i="41"/>
  <c r="P59" i="41"/>
  <c r="O59" i="41"/>
  <c r="N59" i="41"/>
  <c r="AC58" i="41"/>
  <c r="AB58" i="41"/>
  <c r="AA58" i="41"/>
  <c r="Y58" i="41"/>
  <c r="X58" i="41"/>
  <c r="W58" i="41"/>
  <c r="T58" i="41"/>
  <c r="S58" i="41"/>
  <c r="R58" i="41"/>
  <c r="Q58" i="41"/>
  <c r="P58" i="41"/>
  <c r="O58" i="41"/>
  <c r="N58" i="41"/>
  <c r="AC57" i="41"/>
  <c r="AB57" i="41"/>
  <c r="AA57" i="41"/>
  <c r="Y57" i="41"/>
  <c r="X57" i="41"/>
  <c r="W57" i="41"/>
  <c r="T57" i="41"/>
  <c r="S57" i="41"/>
  <c r="R57" i="41"/>
  <c r="Q57" i="41"/>
  <c r="P57" i="41"/>
  <c r="O57" i="41"/>
  <c r="N57" i="41"/>
  <c r="AC56" i="41"/>
  <c r="AB56" i="41"/>
  <c r="AA56" i="41"/>
  <c r="Y56" i="41"/>
  <c r="X56" i="41"/>
  <c r="W56" i="41"/>
  <c r="T56" i="41"/>
  <c r="S56" i="41"/>
  <c r="R56" i="41"/>
  <c r="Q56" i="41"/>
  <c r="P56" i="41"/>
  <c r="O56" i="41"/>
  <c r="N56" i="41"/>
  <c r="AC55" i="41"/>
  <c r="AB55" i="41"/>
  <c r="AA55" i="41"/>
  <c r="Y55" i="41"/>
  <c r="X55" i="41"/>
  <c r="W55" i="41"/>
  <c r="T55" i="41"/>
  <c r="S55" i="41"/>
  <c r="R55" i="41"/>
  <c r="Q55" i="41"/>
  <c r="P55" i="41"/>
  <c r="O55" i="41"/>
  <c r="N55" i="41"/>
  <c r="AC54" i="41"/>
  <c r="AB54" i="41"/>
  <c r="AA54" i="41"/>
  <c r="Y54" i="41"/>
  <c r="X54" i="41"/>
  <c r="W54" i="41"/>
  <c r="T54" i="41"/>
  <c r="S54" i="41"/>
  <c r="R54" i="41"/>
  <c r="Q54" i="41"/>
  <c r="P54" i="41"/>
  <c r="O54" i="41"/>
  <c r="N54" i="41"/>
  <c r="AC53" i="41"/>
  <c r="AB53" i="41"/>
  <c r="AA53" i="41"/>
  <c r="Y53" i="41"/>
  <c r="X53" i="41"/>
  <c r="W53" i="41"/>
  <c r="T53" i="41"/>
  <c r="S53" i="41"/>
  <c r="R53" i="41"/>
  <c r="Q53" i="41"/>
  <c r="P53" i="41"/>
  <c r="O53" i="41"/>
  <c r="N53" i="41"/>
  <c r="AC52" i="41"/>
  <c r="AB52" i="41"/>
  <c r="AA52" i="41"/>
  <c r="Y52" i="41"/>
  <c r="X52" i="41"/>
  <c r="W52" i="41"/>
  <c r="T52" i="41"/>
  <c r="S52" i="41"/>
  <c r="R52" i="41"/>
  <c r="Q52" i="41"/>
  <c r="P52" i="41"/>
  <c r="O52" i="41"/>
  <c r="N52" i="41"/>
  <c r="AC51" i="41"/>
  <c r="AB51" i="41"/>
  <c r="AA51" i="41"/>
  <c r="Y51" i="41"/>
  <c r="X51" i="41"/>
  <c r="W51" i="41"/>
  <c r="T51" i="41"/>
  <c r="S51" i="41"/>
  <c r="R51" i="41"/>
  <c r="Q51" i="41"/>
  <c r="P51" i="41"/>
  <c r="O51" i="41"/>
  <c r="N51" i="41"/>
  <c r="AC50" i="41"/>
  <c r="AB50" i="41"/>
  <c r="AA50" i="41"/>
  <c r="Y50" i="41"/>
  <c r="X50" i="41"/>
  <c r="W50" i="41"/>
  <c r="T50" i="41"/>
  <c r="S50" i="41"/>
  <c r="R50" i="41"/>
  <c r="Q50" i="41"/>
  <c r="P50" i="41"/>
  <c r="O50" i="41"/>
  <c r="N50" i="41"/>
  <c r="AC49" i="41"/>
  <c r="AB49" i="41"/>
  <c r="AA49" i="41"/>
  <c r="Y49" i="41"/>
  <c r="X49" i="41"/>
  <c r="W49" i="41"/>
  <c r="T49" i="41"/>
  <c r="S49" i="41"/>
  <c r="R49" i="41"/>
  <c r="Q49" i="41"/>
  <c r="P49" i="41"/>
  <c r="O49" i="41"/>
  <c r="N49" i="41"/>
  <c r="AC48" i="41"/>
  <c r="AB48" i="41"/>
  <c r="AA48" i="41"/>
  <c r="Y48" i="41"/>
  <c r="X48" i="41"/>
  <c r="W48" i="41"/>
  <c r="T48" i="41"/>
  <c r="S48" i="41"/>
  <c r="R48" i="41"/>
  <c r="Q48" i="41"/>
  <c r="P48" i="41"/>
  <c r="O48" i="41"/>
  <c r="N48" i="41"/>
  <c r="AC47" i="41"/>
  <c r="AB47" i="41"/>
  <c r="AA47" i="41"/>
  <c r="Y47" i="41"/>
  <c r="X47" i="41"/>
  <c r="W47" i="41"/>
  <c r="T47" i="41"/>
  <c r="S47" i="41"/>
  <c r="R47" i="41"/>
  <c r="Q47" i="41"/>
  <c r="P47" i="41"/>
  <c r="O47" i="41"/>
  <c r="N47" i="41"/>
  <c r="AC46" i="41"/>
  <c r="AB46" i="41"/>
  <c r="AA46" i="41"/>
  <c r="Y46" i="41"/>
  <c r="X46" i="41"/>
  <c r="W46" i="41"/>
  <c r="T46" i="41"/>
  <c r="S46" i="41"/>
  <c r="R46" i="41"/>
  <c r="Q46" i="41"/>
  <c r="P46" i="41"/>
  <c r="O46" i="41"/>
  <c r="N46" i="41"/>
  <c r="AC45" i="41"/>
  <c r="AB45" i="41"/>
  <c r="AA45" i="41"/>
  <c r="Y45" i="41"/>
  <c r="W45" i="41"/>
  <c r="T45" i="41"/>
  <c r="S45" i="41"/>
  <c r="R45" i="41"/>
  <c r="Q45" i="41"/>
  <c r="P45" i="41"/>
  <c r="O45" i="41"/>
  <c r="N45" i="41"/>
  <c r="AC44" i="41"/>
  <c r="AB44" i="41"/>
  <c r="AA44" i="41"/>
  <c r="Y44" i="41"/>
  <c r="X44" i="41"/>
  <c r="W44" i="41"/>
  <c r="T44" i="41"/>
  <c r="S44" i="41"/>
  <c r="R44" i="41"/>
  <c r="Q44" i="41"/>
  <c r="P44" i="41"/>
  <c r="O44" i="41"/>
  <c r="N44" i="41"/>
  <c r="AC43" i="41"/>
  <c r="AB43" i="41"/>
  <c r="AA43" i="41"/>
  <c r="Y43" i="41"/>
  <c r="X43" i="41"/>
  <c r="W43" i="41"/>
  <c r="T43" i="41"/>
  <c r="S43" i="41"/>
  <c r="R43" i="41"/>
  <c r="Q43" i="41"/>
  <c r="P43" i="41"/>
  <c r="O43" i="41"/>
  <c r="N43" i="41"/>
  <c r="AC42" i="41"/>
  <c r="AB42" i="41"/>
  <c r="AA42" i="41"/>
  <c r="Y42" i="41"/>
  <c r="X42" i="41"/>
  <c r="W42" i="41"/>
  <c r="T42" i="41"/>
  <c r="S42" i="41"/>
  <c r="R42" i="41"/>
  <c r="Q42" i="41"/>
  <c r="P42" i="41"/>
  <c r="O42" i="41"/>
  <c r="N42" i="41"/>
  <c r="AC41" i="41"/>
  <c r="AB41" i="41"/>
  <c r="AA41" i="41"/>
  <c r="Y41" i="41"/>
  <c r="X41" i="41"/>
  <c r="W41" i="41"/>
  <c r="T41" i="41"/>
  <c r="S41" i="41"/>
  <c r="R41" i="41"/>
  <c r="Q41" i="41"/>
  <c r="P41" i="41"/>
  <c r="O41" i="41"/>
  <c r="N41" i="41"/>
  <c r="AC40" i="41"/>
  <c r="AB40" i="41"/>
  <c r="AA40" i="41"/>
  <c r="Y40" i="41"/>
  <c r="X40" i="41"/>
  <c r="W40" i="41"/>
  <c r="T40" i="41"/>
  <c r="S40" i="41"/>
  <c r="R40" i="41"/>
  <c r="Q40" i="41"/>
  <c r="P40" i="41"/>
  <c r="O40" i="41"/>
  <c r="N40" i="41"/>
  <c r="AC39" i="41"/>
  <c r="AB39" i="41"/>
  <c r="AA39" i="41"/>
  <c r="Y39" i="41"/>
  <c r="X39" i="41"/>
  <c r="W39" i="41"/>
  <c r="T39" i="41"/>
  <c r="S39" i="41"/>
  <c r="R39" i="41"/>
  <c r="Q39" i="41"/>
  <c r="P39" i="41"/>
  <c r="O39" i="41"/>
  <c r="N39" i="41"/>
  <c r="AC38" i="41"/>
  <c r="AB38" i="41"/>
  <c r="AA38" i="41"/>
  <c r="Y38" i="41"/>
  <c r="X38" i="41"/>
  <c r="W38" i="41"/>
  <c r="T38" i="41"/>
  <c r="S38" i="41"/>
  <c r="R38" i="41"/>
  <c r="Q38" i="41"/>
  <c r="P38" i="41"/>
  <c r="O38" i="41"/>
  <c r="N38" i="41"/>
  <c r="AC37" i="41"/>
  <c r="AB37" i="41"/>
  <c r="AA37" i="41"/>
  <c r="Y37" i="41"/>
  <c r="X37" i="41"/>
  <c r="W37" i="41"/>
  <c r="T37" i="41"/>
  <c r="S37" i="41"/>
  <c r="R37" i="41"/>
  <c r="Q37" i="41"/>
  <c r="P37" i="41"/>
  <c r="O37" i="41"/>
  <c r="N37" i="41"/>
  <c r="AC36" i="41"/>
  <c r="AB36" i="41"/>
  <c r="AA36" i="41"/>
  <c r="Y36" i="41"/>
  <c r="X36" i="41"/>
  <c r="W36" i="41"/>
  <c r="T36" i="41"/>
  <c r="S36" i="41"/>
  <c r="R36" i="41"/>
  <c r="Q36" i="41"/>
  <c r="P36" i="41"/>
  <c r="O36" i="41"/>
  <c r="N36" i="41"/>
  <c r="AC35" i="41"/>
  <c r="AB35" i="41"/>
  <c r="AA35" i="41"/>
  <c r="Y35" i="41"/>
  <c r="X35" i="41"/>
  <c r="W35" i="41"/>
  <c r="T35" i="41"/>
  <c r="S35" i="41"/>
  <c r="R35" i="41"/>
  <c r="Q35" i="41"/>
  <c r="P35" i="41"/>
  <c r="O35" i="41"/>
  <c r="N35" i="41"/>
  <c r="AC34" i="41"/>
  <c r="AB34" i="41"/>
  <c r="AA34" i="41"/>
  <c r="Y34" i="41"/>
  <c r="X34" i="41"/>
  <c r="W34" i="41"/>
  <c r="T34" i="41"/>
  <c r="S34" i="41"/>
  <c r="R34" i="41"/>
  <c r="Q34" i="41"/>
  <c r="P34" i="41"/>
  <c r="O34" i="41"/>
  <c r="N34" i="41"/>
  <c r="AC33" i="41"/>
  <c r="AB33" i="41"/>
  <c r="AA33" i="41"/>
  <c r="Y33" i="41"/>
  <c r="X33" i="41"/>
  <c r="W33" i="41"/>
  <c r="T33" i="41"/>
  <c r="S33" i="41"/>
  <c r="R33" i="41"/>
  <c r="Q33" i="41"/>
  <c r="P33" i="41"/>
  <c r="O33" i="41"/>
  <c r="N33" i="41"/>
  <c r="AC32" i="41"/>
  <c r="AB32" i="41"/>
  <c r="AA32" i="41"/>
  <c r="Y32" i="41"/>
  <c r="X32" i="41"/>
  <c r="W32" i="41"/>
  <c r="T32" i="41"/>
  <c r="S32" i="41"/>
  <c r="R32" i="41"/>
  <c r="Q32" i="41"/>
  <c r="P32" i="41"/>
  <c r="O32" i="41"/>
  <c r="N32" i="41"/>
  <c r="AC31" i="41"/>
  <c r="AB31" i="41"/>
  <c r="AA31" i="41"/>
  <c r="Y31" i="41"/>
  <c r="X31" i="41"/>
  <c r="W31" i="41"/>
  <c r="T31" i="41"/>
  <c r="S31" i="41"/>
  <c r="R31" i="41"/>
  <c r="Q31" i="41"/>
  <c r="P31" i="41"/>
  <c r="O31" i="41"/>
  <c r="N31" i="41"/>
  <c r="AC30" i="41"/>
  <c r="AB30" i="41"/>
  <c r="AA30" i="41"/>
  <c r="Y30" i="41"/>
  <c r="X30" i="41"/>
  <c r="W30" i="41"/>
  <c r="T30" i="41"/>
  <c r="S30" i="41"/>
  <c r="R30" i="41"/>
  <c r="Q30" i="41"/>
  <c r="P30" i="41"/>
  <c r="O30" i="41"/>
  <c r="N30" i="41"/>
  <c r="AC29" i="41"/>
  <c r="AB29" i="41"/>
  <c r="AA29" i="41"/>
  <c r="Y29" i="41"/>
  <c r="X29" i="41"/>
  <c r="W29" i="41"/>
  <c r="T29" i="41"/>
  <c r="S29" i="41"/>
  <c r="R29" i="41"/>
  <c r="Q29" i="41"/>
  <c r="P29" i="41"/>
  <c r="O29" i="41"/>
  <c r="N29" i="41"/>
  <c r="AC28" i="41"/>
  <c r="AB28" i="41"/>
  <c r="AA28" i="41"/>
  <c r="Y28" i="41"/>
  <c r="X28" i="41"/>
  <c r="W28" i="41"/>
  <c r="T28" i="41"/>
  <c r="S28" i="41"/>
  <c r="R28" i="41"/>
  <c r="Q28" i="41"/>
  <c r="P28" i="41"/>
  <c r="O28" i="41"/>
  <c r="N28" i="41"/>
  <c r="AC27" i="41"/>
  <c r="AB27" i="41"/>
  <c r="AA27" i="41"/>
  <c r="Y27" i="41"/>
  <c r="X27" i="41"/>
  <c r="W27" i="41"/>
  <c r="T27" i="41"/>
  <c r="S27" i="41"/>
  <c r="R27" i="41"/>
  <c r="Q27" i="41"/>
  <c r="P27" i="41"/>
  <c r="O27" i="41"/>
  <c r="N27" i="41"/>
  <c r="AC26" i="41"/>
  <c r="AB26" i="41"/>
  <c r="AA26" i="41"/>
  <c r="Y26" i="41"/>
  <c r="X26" i="41"/>
  <c r="W26" i="41"/>
  <c r="T26" i="41"/>
  <c r="S26" i="41"/>
  <c r="R26" i="41"/>
  <c r="Q26" i="41"/>
  <c r="P26" i="41"/>
  <c r="O26" i="41"/>
  <c r="N26" i="41"/>
  <c r="AC25" i="41"/>
  <c r="AB25" i="41"/>
  <c r="AA25" i="41"/>
  <c r="Y25" i="41"/>
  <c r="X25" i="41"/>
  <c r="W25" i="41"/>
  <c r="T25" i="41"/>
  <c r="S25" i="41"/>
  <c r="R25" i="41"/>
  <c r="Q25" i="41"/>
  <c r="P25" i="41"/>
  <c r="O25" i="41"/>
  <c r="N25" i="41"/>
  <c r="AC24" i="41"/>
  <c r="AB24" i="41"/>
  <c r="AA24" i="41"/>
  <c r="Y24" i="41"/>
  <c r="X24" i="41"/>
  <c r="W24" i="41"/>
  <c r="T24" i="41"/>
  <c r="S24" i="41"/>
  <c r="R24" i="41"/>
  <c r="Q24" i="41"/>
  <c r="P24" i="41"/>
  <c r="O24" i="41"/>
  <c r="N24" i="41"/>
  <c r="AC23" i="41"/>
  <c r="AB23" i="41"/>
  <c r="AA23" i="41"/>
  <c r="Y23" i="41"/>
  <c r="X23" i="41"/>
  <c r="W23" i="41"/>
  <c r="T23" i="41"/>
  <c r="S23" i="41"/>
  <c r="R23" i="41"/>
  <c r="Q23" i="41"/>
  <c r="P23" i="41"/>
  <c r="O23" i="41"/>
  <c r="N23" i="41"/>
  <c r="AC22" i="41"/>
  <c r="AB22" i="41"/>
  <c r="AA22" i="41"/>
  <c r="Y22" i="41"/>
  <c r="X22" i="41"/>
  <c r="W22" i="41"/>
  <c r="T22" i="41"/>
  <c r="S22" i="41"/>
  <c r="R22" i="41"/>
  <c r="Q22" i="41"/>
  <c r="P22" i="41"/>
  <c r="O22" i="41"/>
  <c r="N22" i="41"/>
  <c r="AC21" i="41"/>
  <c r="AB21" i="41"/>
  <c r="AA21" i="41"/>
  <c r="Y21" i="41"/>
  <c r="X21" i="41"/>
  <c r="W21" i="41"/>
  <c r="T21" i="41"/>
  <c r="S21" i="41"/>
  <c r="R21" i="41"/>
  <c r="Q21" i="41"/>
  <c r="P21" i="41"/>
  <c r="O21" i="41"/>
  <c r="N21" i="41"/>
  <c r="AC20" i="41"/>
  <c r="AB20" i="41"/>
  <c r="AA20" i="41"/>
  <c r="Y20" i="41"/>
  <c r="X20" i="41"/>
  <c r="W20" i="41"/>
  <c r="T20" i="41"/>
  <c r="S20" i="41"/>
  <c r="R20" i="41"/>
  <c r="Q20" i="41"/>
  <c r="P20" i="41"/>
  <c r="O20" i="41"/>
  <c r="N20" i="41"/>
  <c r="AC19" i="41"/>
  <c r="AB19" i="41"/>
  <c r="AA19" i="41"/>
  <c r="Y19" i="41"/>
  <c r="X19" i="41"/>
  <c r="W19" i="41"/>
  <c r="T19" i="41"/>
  <c r="S19" i="41"/>
  <c r="R19" i="41"/>
  <c r="Q19" i="41"/>
  <c r="P19" i="41"/>
  <c r="O19" i="41"/>
  <c r="N19" i="41"/>
  <c r="AC18" i="41"/>
  <c r="AB18" i="41"/>
  <c r="AA18" i="41"/>
  <c r="Y18" i="41"/>
  <c r="X18" i="41"/>
  <c r="W18" i="41"/>
  <c r="T18" i="41"/>
  <c r="S18" i="41"/>
  <c r="R18" i="41"/>
  <c r="Q18" i="41"/>
  <c r="P18" i="41"/>
  <c r="O18" i="41"/>
  <c r="N18" i="41"/>
  <c r="AC17" i="41"/>
  <c r="AB17" i="41"/>
  <c r="AA17" i="41"/>
  <c r="Y17" i="41"/>
  <c r="X17" i="41"/>
  <c r="W17" i="41"/>
  <c r="T17" i="41"/>
  <c r="S17" i="41"/>
  <c r="R17" i="41"/>
  <c r="Q17" i="41"/>
  <c r="P17" i="41"/>
  <c r="O17" i="41"/>
  <c r="N17" i="41"/>
  <c r="AC16" i="41"/>
  <c r="AB16" i="41"/>
  <c r="AA16" i="41"/>
  <c r="Y16" i="41"/>
  <c r="X16" i="41"/>
  <c r="W16" i="41"/>
  <c r="T16" i="41"/>
  <c r="S16" i="41"/>
  <c r="R16" i="41"/>
  <c r="Q16" i="41"/>
  <c r="P16" i="41"/>
  <c r="O16" i="41"/>
  <c r="N16" i="41"/>
  <c r="AC15" i="41"/>
  <c r="AB15" i="41"/>
  <c r="AA15" i="41"/>
  <c r="Y15" i="41"/>
  <c r="X15" i="41"/>
  <c r="W15" i="41"/>
  <c r="T15" i="41"/>
  <c r="S15" i="41"/>
  <c r="R15" i="41"/>
  <c r="Q15" i="41"/>
  <c r="P15" i="41"/>
  <c r="O15" i="41"/>
  <c r="N15" i="41"/>
  <c r="AC14" i="41"/>
  <c r="AB14" i="41"/>
  <c r="AA14" i="41"/>
  <c r="Y14" i="41"/>
  <c r="X14" i="41"/>
  <c r="W14" i="41"/>
  <c r="T14" i="41"/>
  <c r="S14" i="41"/>
  <c r="R14" i="41"/>
  <c r="Q14" i="41"/>
  <c r="P14" i="41"/>
  <c r="O14" i="41"/>
  <c r="N14" i="41"/>
  <c r="AC13" i="41"/>
  <c r="AB13" i="41"/>
  <c r="AA13" i="41"/>
  <c r="Y13" i="41"/>
  <c r="X13" i="41"/>
  <c r="W13" i="41"/>
  <c r="T13" i="41"/>
  <c r="S13" i="41"/>
  <c r="R13" i="41"/>
  <c r="Q13" i="41"/>
  <c r="P13" i="41"/>
  <c r="O13" i="41"/>
  <c r="N13" i="41"/>
  <c r="AC12" i="41"/>
  <c r="AB12" i="41"/>
  <c r="AA12" i="41"/>
  <c r="Y12" i="41"/>
  <c r="X12" i="41"/>
  <c r="W12" i="41"/>
  <c r="T12" i="41"/>
  <c r="S12" i="41"/>
  <c r="R12" i="41"/>
  <c r="Q12" i="41"/>
  <c r="P12" i="41"/>
  <c r="O12" i="41"/>
  <c r="N12" i="41"/>
  <c r="AC11" i="41"/>
  <c r="AB11" i="41"/>
  <c r="AA11" i="41"/>
  <c r="Y11" i="41"/>
  <c r="X11" i="41"/>
  <c r="W11" i="41"/>
  <c r="T11" i="41"/>
  <c r="S11" i="41"/>
  <c r="R11" i="41"/>
  <c r="Q11" i="41"/>
  <c r="P11" i="41"/>
  <c r="O11" i="41"/>
  <c r="N11" i="41"/>
  <c r="AC10" i="41"/>
  <c r="AB10" i="41"/>
  <c r="AA10" i="41"/>
  <c r="Y10" i="41"/>
  <c r="X10" i="41"/>
  <c r="W10" i="41"/>
  <c r="S10" i="41"/>
  <c r="R10" i="41"/>
  <c r="Q10" i="41"/>
  <c r="P10" i="41"/>
  <c r="O10" i="41"/>
  <c r="N10" i="41"/>
  <c r="AC9" i="41"/>
  <c r="AB9" i="41"/>
  <c r="AA9" i="41"/>
  <c r="Y9" i="41"/>
  <c r="X9" i="41"/>
  <c r="W9" i="41"/>
  <c r="S9" i="41"/>
  <c r="R9" i="41"/>
  <c r="Q9" i="41"/>
  <c r="P9" i="41"/>
  <c r="O9" i="41"/>
  <c r="N9" i="41"/>
  <c r="AC8" i="41"/>
  <c r="AB8" i="41"/>
  <c r="AA8" i="41"/>
  <c r="Y8" i="41"/>
  <c r="X8" i="41"/>
  <c r="W8" i="41"/>
  <c r="S8" i="41"/>
  <c r="R8" i="41"/>
  <c r="Q8" i="41"/>
  <c r="P8" i="41"/>
  <c r="O8" i="41"/>
  <c r="N8" i="41"/>
  <c r="AC7" i="41"/>
  <c r="AB7" i="41"/>
  <c r="AA7" i="41"/>
  <c r="Y7" i="41"/>
  <c r="X7" i="41"/>
  <c r="W7" i="41"/>
  <c r="S7" i="41"/>
  <c r="R7" i="41"/>
  <c r="Q7" i="41"/>
  <c r="P7" i="41"/>
  <c r="O7" i="41"/>
  <c r="N7" i="41"/>
  <c r="AC6" i="41"/>
  <c r="AB6" i="41"/>
  <c r="AA6" i="41"/>
  <c r="Y6" i="41"/>
  <c r="X6" i="41"/>
  <c r="W6" i="41"/>
  <c r="S6" i="41"/>
  <c r="R6" i="41"/>
  <c r="Q6" i="41"/>
  <c r="P6" i="41"/>
  <c r="O6" i="41"/>
  <c r="N6" i="41"/>
  <c r="AC5" i="41"/>
  <c r="AB5" i="41"/>
  <c r="AA5" i="41"/>
  <c r="Y5" i="41"/>
  <c r="X5" i="41"/>
  <c r="W5" i="41"/>
  <c r="S5" i="41"/>
  <c r="R5" i="41"/>
  <c r="Q5" i="41"/>
  <c r="P5" i="41"/>
  <c r="O5" i="41"/>
  <c r="N5" i="41"/>
  <c r="AC189" i="40"/>
  <c r="AB189" i="40"/>
  <c r="AA189" i="40"/>
  <c r="Y189" i="40"/>
  <c r="X189" i="40"/>
  <c r="W189" i="40"/>
  <c r="T189" i="40"/>
  <c r="S189" i="40"/>
  <c r="R189" i="40"/>
  <c r="Q189" i="40"/>
  <c r="P189" i="40"/>
  <c r="O189" i="40"/>
  <c r="N189" i="40"/>
  <c r="AC188" i="40"/>
  <c r="AB188" i="40"/>
  <c r="AA188" i="40"/>
  <c r="Y188" i="40"/>
  <c r="X188" i="40"/>
  <c r="W188" i="40"/>
  <c r="T188" i="40"/>
  <c r="S188" i="40"/>
  <c r="R188" i="40"/>
  <c r="Q188" i="40"/>
  <c r="P188" i="40"/>
  <c r="O188" i="40"/>
  <c r="N188" i="40"/>
  <c r="AC187" i="40"/>
  <c r="AB187" i="40"/>
  <c r="AA187" i="40"/>
  <c r="Y187" i="40"/>
  <c r="X187" i="40"/>
  <c r="W187" i="40"/>
  <c r="T187" i="40"/>
  <c r="S187" i="40"/>
  <c r="R187" i="40"/>
  <c r="Q187" i="40"/>
  <c r="P187" i="40"/>
  <c r="O187" i="40"/>
  <c r="N187" i="40"/>
  <c r="AC186" i="40"/>
  <c r="AB186" i="40"/>
  <c r="AA186" i="40"/>
  <c r="Y186" i="40"/>
  <c r="X186" i="40"/>
  <c r="W186" i="40"/>
  <c r="T186" i="40"/>
  <c r="S186" i="40"/>
  <c r="R186" i="40"/>
  <c r="Q186" i="40"/>
  <c r="P186" i="40"/>
  <c r="O186" i="40"/>
  <c r="N186" i="40"/>
  <c r="AC185" i="40"/>
  <c r="AB185" i="40"/>
  <c r="AA185" i="40"/>
  <c r="Y185" i="40"/>
  <c r="X185" i="40"/>
  <c r="W185" i="40"/>
  <c r="T185" i="40"/>
  <c r="S185" i="40"/>
  <c r="R185" i="40"/>
  <c r="Q185" i="40"/>
  <c r="P185" i="40"/>
  <c r="O185" i="40"/>
  <c r="N185" i="40"/>
  <c r="AC184" i="40"/>
  <c r="AB184" i="40"/>
  <c r="AA184" i="40"/>
  <c r="Y184" i="40"/>
  <c r="X184" i="40"/>
  <c r="W184" i="40"/>
  <c r="T184" i="40"/>
  <c r="S184" i="40"/>
  <c r="R184" i="40"/>
  <c r="Q184" i="40"/>
  <c r="P184" i="40"/>
  <c r="O184" i="40"/>
  <c r="N184" i="40"/>
  <c r="AC183" i="40"/>
  <c r="AB183" i="40"/>
  <c r="AA183" i="40"/>
  <c r="Y183" i="40"/>
  <c r="X183" i="40"/>
  <c r="W183" i="40"/>
  <c r="T183" i="40"/>
  <c r="S183" i="40"/>
  <c r="R183" i="40"/>
  <c r="Q183" i="40"/>
  <c r="P183" i="40"/>
  <c r="O183" i="40"/>
  <c r="N183" i="40"/>
  <c r="AC182" i="40"/>
  <c r="AB182" i="40"/>
  <c r="AA182" i="40"/>
  <c r="Y182" i="40"/>
  <c r="X182" i="40"/>
  <c r="W182" i="40"/>
  <c r="T182" i="40"/>
  <c r="S182" i="40"/>
  <c r="R182" i="40"/>
  <c r="Q182" i="40"/>
  <c r="P182" i="40"/>
  <c r="O182" i="40"/>
  <c r="N182" i="40"/>
  <c r="AC181" i="40"/>
  <c r="AB181" i="40"/>
  <c r="AA181" i="40"/>
  <c r="Y181" i="40"/>
  <c r="X181" i="40"/>
  <c r="W181" i="40"/>
  <c r="T181" i="40"/>
  <c r="S181" i="40"/>
  <c r="R181" i="40"/>
  <c r="Q181" i="40"/>
  <c r="P181" i="40"/>
  <c r="O181" i="40"/>
  <c r="N181" i="40"/>
  <c r="AC180" i="40"/>
  <c r="AB180" i="40"/>
  <c r="AA180" i="40"/>
  <c r="Y180" i="40"/>
  <c r="X180" i="40"/>
  <c r="W180" i="40"/>
  <c r="T180" i="40"/>
  <c r="S180" i="40"/>
  <c r="R180" i="40"/>
  <c r="Q180" i="40"/>
  <c r="P180" i="40"/>
  <c r="O180" i="40"/>
  <c r="N180" i="40"/>
  <c r="AC179" i="40"/>
  <c r="AB179" i="40"/>
  <c r="AA179" i="40"/>
  <c r="Y179" i="40"/>
  <c r="X179" i="40"/>
  <c r="W179" i="40"/>
  <c r="T179" i="40"/>
  <c r="S179" i="40"/>
  <c r="R179" i="40"/>
  <c r="Q179" i="40"/>
  <c r="P179" i="40"/>
  <c r="O179" i="40"/>
  <c r="N179" i="40"/>
  <c r="AC178" i="40"/>
  <c r="AB178" i="40"/>
  <c r="AA178" i="40"/>
  <c r="Y178" i="40"/>
  <c r="X178" i="40"/>
  <c r="W178" i="40"/>
  <c r="T178" i="40"/>
  <c r="S178" i="40"/>
  <c r="R178" i="40"/>
  <c r="Q178" i="40"/>
  <c r="P178" i="40"/>
  <c r="O178" i="40"/>
  <c r="N178" i="40"/>
  <c r="AC177" i="40"/>
  <c r="AB177" i="40"/>
  <c r="AA177" i="40"/>
  <c r="Y177" i="40"/>
  <c r="X177" i="40"/>
  <c r="W177" i="40"/>
  <c r="T177" i="40"/>
  <c r="S177" i="40"/>
  <c r="R177" i="40"/>
  <c r="Q177" i="40"/>
  <c r="P177" i="40"/>
  <c r="O177" i="40"/>
  <c r="N177" i="40"/>
  <c r="AC176" i="40"/>
  <c r="AB176" i="40"/>
  <c r="AA176" i="40"/>
  <c r="Y176" i="40"/>
  <c r="X176" i="40"/>
  <c r="W176" i="40"/>
  <c r="T176" i="40"/>
  <c r="S176" i="40"/>
  <c r="R176" i="40"/>
  <c r="Q176" i="40"/>
  <c r="P176" i="40"/>
  <c r="O176" i="40"/>
  <c r="N176" i="40"/>
  <c r="AC175" i="40"/>
  <c r="AB175" i="40"/>
  <c r="AA175" i="40"/>
  <c r="Y175" i="40"/>
  <c r="X175" i="40"/>
  <c r="W175" i="40"/>
  <c r="T175" i="40"/>
  <c r="S175" i="40"/>
  <c r="R175" i="40"/>
  <c r="Q175" i="40"/>
  <c r="P175" i="40"/>
  <c r="O175" i="40"/>
  <c r="N175" i="40"/>
  <c r="AC174" i="40"/>
  <c r="AB174" i="40"/>
  <c r="AA174" i="40"/>
  <c r="Y174" i="40"/>
  <c r="X174" i="40"/>
  <c r="W174" i="40"/>
  <c r="T174" i="40"/>
  <c r="S174" i="40"/>
  <c r="R174" i="40"/>
  <c r="Q174" i="40"/>
  <c r="P174" i="40"/>
  <c r="O174" i="40"/>
  <c r="N174" i="40"/>
  <c r="AC173" i="40"/>
  <c r="AB173" i="40"/>
  <c r="AA173" i="40"/>
  <c r="Y173" i="40"/>
  <c r="X173" i="40"/>
  <c r="W173" i="40"/>
  <c r="T173" i="40"/>
  <c r="S173" i="40"/>
  <c r="R173" i="40"/>
  <c r="Q173" i="40"/>
  <c r="P173" i="40"/>
  <c r="O173" i="40"/>
  <c r="N173" i="40"/>
  <c r="AC172" i="40"/>
  <c r="AB172" i="40"/>
  <c r="AA172" i="40"/>
  <c r="Y172" i="40"/>
  <c r="X172" i="40"/>
  <c r="W172" i="40"/>
  <c r="T172" i="40"/>
  <c r="S172" i="40"/>
  <c r="R172" i="40"/>
  <c r="Q172" i="40"/>
  <c r="P172" i="40"/>
  <c r="O172" i="40"/>
  <c r="N172" i="40"/>
  <c r="AC171" i="40"/>
  <c r="AB171" i="40"/>
  <c r="AA171" i="40"/>
  <c r="Y171" i="40"/>
  <c r="X171" i="40"/>
  <c r="W171" i="40"/>
  <c r="T171" i="40"/>
  <c r="S171" i="40"/>
  <c r="R171" i="40"/>
  <c r="Q171" i="40"/>
  <c r="P171" i="40"/>
  <c r="O171" i="40"/>
  <c r="N171" i="40"/>
  <c r="AC170" i="40"/>
  <c r="AB170" i="40"/>
  <c r="AA170" i="40"/>
  <c r="Y170" i="40"/>
  <c r="X170" i="40"/>
  <c r="W170" i="40"/>
  <c r="T170" i="40"/>
  <c r="S170" i="40"/>
  <c r="R170" i="40"/>
  <c r="Q170" i="40"/>
  <c r="P170" i="40"/>
  <c r="O170" i="40"/>
  <c r="N170" i="40"/>
  <c r="AC169" i="40"/>
  <c r="AB169" i="40"/>
  <c r="AA169" i="40"/>
  <c r="Y169" i="40"/>
  <c r="X169" i="40"/>
  <c r="W169" i="40"/>
  <c r="T169" i="40"/>
  <c r="S169" i="40"/>
  <c r="R169" i="40"/>
  <c r="Q169" i="40"/>
  <c r="P169" i="40"/>
  <c r="O169" i="40"/>
  <c r="N169" i="40"/>
  <c r="AC168" i="40"/>
  <c r="AB168" i="40"/>
  <c r="AA168" i="40"/>
  <c r="Y168" i="40"/>
  <c r="X168" i="40"/>
  <c r="W168" i="40"/>
  <c r="T168" i="40"/>
  <c r="S168" i="40"/>
  <c r="R168" i="40"/>
  <c r="Q168" i="40"/>
  <c r="P168" i="40"/>
  <c r="O168" i="40"/>
  <c r="N168" i="40"/>
  <c r="AC167" i="40"/>
  <c r="AB167" i="40"/>
  <c r="AA167" i="40"/>
  <c r="Y167" i="40"/>
  <c r="X167" i="40"/>
  <c r="W167" i="40"/>
  <c r="T167" i="40"/>
  <c r="S167" i="40"/>
  <c r="R167" i="40"/>
  <c r="Q167" i="40"/>
  <c r="P167" i="40"/>
  <c r="O167" i="40"/>
  <c r="N167" i="40"/>
  <c r="AC166" i="40"/>
  <c r="AB166" i="40"/>
  <c r="AA166" i="40"/>
  <c r="Y166" i="40"/>
  <c r="X166" i="40"/>
  <c r="W166" i="40"/>
  <c r="T166" i="40"/>
  <c r="S166" i="40"/>
  <c r="R166" i="40"/>
  <c r="Q166" i="40"/>
  <c r="P166" i="40"/>
  <c r="O166" i="40"/>
  <c r="N166" i="40"/>
  <c r="AC165" i="40"/>
  <c r="AB165" i="40"/>
  <c r="AA165" i="40"/>
  <c r="Y165" i="40"/>
  <c r="X165" i="40"/>
  <c r="W165" i="40"/>
  <c r="T165" i="40"/>
  <c r="S165" i="40"/>
  <c r="R165" i="40"/>
  <c r="Q165" i="40"/>
  <c r="P165" i="40"/>
  <c r="O165" i="40"/>
  <c r="N165" i="40"/>
  <c r="AC164" i="40"/>
  <c r="AB164" i="40"/>
  <c r="AA164" i="40"/>
  <c r="Y164" i="40"/>
  <c r="X164" i="40"/>
  <c r="W164" i="40"/>
  <c r="T164" i="40"/>
  <c r="S164" i="40"/>
  <c r="R164" i="40"/>
  <c r="Q164" i="40"/>
  <c r="P164" i="40"/>
  <c r="O164" i="40"/>
  <c r="N164" i="40"/>
  <c r="AC163" i="40"/>
  <c r="AB163" i="40"/>
  <c r="AA163" i="40"/>
  <c r="Y163" i="40"/>
  <c r="X163" i="40"/>
  <c r="W163" i="40"/>
  <c r="T163" i="40"/>
  <c r="S163" i="40"/>
  <c r="R163" i="40"/>
  <c r="Q163" i="40"/>
  <c r="P163" i="40"/>
  <c r="O163" i="40"/>
  <c r="N163" i="40"/>
  <c r="AC162" i="40"/>
  <c r="AB162" i="40"/>
  <c r="AA162" i="40"/>
  <c r="Y162" i="40"/>
  <c r="X162" i="40"/>
  <c r="W162" i="40"/>
  <c r="T162" i="40"/>
  <c r="S162" i="40"/>
  <c r="R162" i="40"/>
  <c r="Q162" i="40"/>
  <c r="P162" i="40"/>
  <c r="O162" i="40"/>
  <c r="N162" i="40"/>
  <c r="AC161" i="40"/>
  <c r="AB161" i="40"/>
  <c r="AA161" i="40"/>
  <c r="Y161" i="40"/>
  <c r="X161" i="40"/>
  <c r="W161" i="40"/>
  <c r="T161" i="40"/>
  <c r="S161" i="40"/>
  <c r="R161" i="40"/>
  <c r="Q161" i="40"/>
  <c r="P161" i="40"/>
  <c r="O161" i="40"/>
  <c r="N161" i="40"/>
  <c r="AC160" i="40"/>
  <c r="AB160" i="40"/>
  <c r="AA160" i="40"/>
  <c r="Y160" i="40"/>
  <c r="X160" i="40"/>
  <c r="W160" i="40"/>
  <c r="T160" i="40"/>
  <c r="S160" i="40"/>
  <c r="R160" i="40"/>
  <c r="Q160" i="40"/>
  <c r="P160" i="40"/>
  <c r="O160" i="40"/>
  <c r="N160" i="40"/>
  <c r="AC159" i="40"/>
  <c r="AB159" i="40"/>
  <c r="AA159" i="40"/>
  <c r="Y159" i="40"/>
  <c r="X159" i="40"/>
  <c r="W159" i="40"/>
  <c r="T159" i="40"/>
  <c r="S159" i="40"/>
  <c r="R159" i="40"/>
  <c r="Q159" i="40"/>
  <c r="P159" i="40"/>
  <c r="O159" i="40"/>
  <c r="N159" i="40"/>
  <c r="AC158" i="40"/>
  <c r="AB158" i="40"/>
  <c r="AA158" i="40"/>
  <c r="Y158" i="40"/>
  <c r="X158" i="40"/>
  <c r="W158" i="40"/>
  <c r="T158" i="40"/>
  <c r="S158" i="40"/>
  <c r="R158" i="40"/>
  <c r="Q158" i="40"/>
  <c r="P158" i="40"/>
  <c r="O158" i="40"/>
  <c r="N158" i="40"/>
  <c r="AC157" i="40"/>
  <c r="AB157" i="40"/>
  <c r="AA157" i="40"/>
  <c r="Y157" i="40"/>
  <c r="X157" i="40"/>
  <c r="W157" i="40"/>
  <c r="T157" i="40"/>
  <c r="S157" i="40"/>
  <c r="R157" i="40"/>
  <c r="Q157" i="40"/>
  <c r="P157" i="40"/>
  <c r="O157" i="40"/>
  <c r="N157" i="40"/>
  <c r="AC156" i="40"/>
  <c r="AB156" i="40"/>
  <c r="AA156" i="40"/>
  <c r="Y156" i="40"/>
  <c r="X156" i="40"/>
  <c r="W156" i="40"/>
  <c r="T156" i="40"/>
  <c r="S156" i="40"/>
  <c r="R156" i="40"/>
  <c r="Q156" i="40"/>
  <c r="P156" i="40"/>
  <c r="O156" i="40"/>
  <c r="N156" i="40"/>
  <c r="AC155" i="40"/>
  <c r="AB155" i="40"/>
  <c r="AA155" i="40"/>
  <c r="Y155" i="40"/>
  <c r="X155" i="40"/>
  <c r="W155" i="40"/>
  <c r="T155" i="40"/>
  <c r="S155" i="40"/>
  <c r="R155" i="40"/>
  <c r="Q155" i="40"/>
  <c r="P155" i="40"/>
  <c r="O155" i="40"/>
  <c r="N155" i="40"/>
  <c r="AC154" i="40"/>
  <c r="AB154" i="40"/>
  <c r="AA154" i="40"/>
  <c r="Y154" i="40"/>
  <c r="X154" i="40"/>
  <c r="W154" i="40"/>
  <c r="T154" i="40"/>
  <c r="S154" i="40"/>
  <c r="R154" i="40"/>
  <c r="Q154" i="40"/>
  <c r="P154" i="40"/>
  <c r="O154" i="40"/>
  <c r="N154" i="40"/>
  <c r="AC153" i="40"/>
  <c r="AB153" i="40"/>
  <c r="AA153" i="40"/>
  <c r="Y153" i="40"/>
  <c r="X153" i="40"/>
  <c r="W153" i="40"/>
  <c r="T153" i="40"/>
  <c r="S153" i="40"/>
  <c r="R153" i="40"/>
  <c r="Q153" i="40"/>
  <c r="P153" i="40"/>
  <c r="O153" i="40"/>
  <c r="N153" i="40"/>
  <c r="AC152" i="40"/>
  <c r="AB152" i="40"/>
  <c r="AA152" i="40"/>
  <c r="Y152" i="40"/>
  <c r="X152" i="40"/>
  <c r="W152" i="40"/>
  <c r="T152" i="40"/>
  <c r="S152" i="40"/>
  <c r="R152" i="40"/>
  <c r="Q152" i="40"/>
  <c r="P152" i="40"/>
  <c r="O152" i="40"/>
  <c r="N152" i="40"/>
  <c r="AC151" i="40"/>
  <c r="AB151" i="40"/>
  <c r="AA151" i="40"/>
  <c r="Y151" i="40"/>
  <c r="X151" i="40"/>
  <c r="W151" i="40"/>
  <c r="T151" i="40"/>
  <c r="S151" i="40"/>
  <c r="R151" i="40"/>
  <c r="Q151" i="40"/>
  <c r="P151" i="40"/>
  <c r="O151" i="40"/>
  <c r="N151" i="40"/>
  <c r="AC150" i="40"/>
  <c r="AB150" i="40"/>
  <c r="AA150" i="40"/>
  <c r="Y150" i="40"/>
  <c r="X150" i="40"/>
  <c r="W150" i="40"/>
  <c r="T150" i="40"/>
  <c r="S150" i="40"/>
  <c r="R150" i="40"/>
  <c r="Q150" i="40"/>
  <c r="P150" i="40"/>
  <c r="O150" i="40"/>
  <c r="N150" i="40"/>
  <c r="AC149" i="40"/>
  <c r="AB149" i="40"/>
  <c r="AA149" i="40"/>
  <c r="Y149" i="40"/>
  <c r="X149" i="40"/>
  <c r="W149" i="40"/>
  <c r="T149" i="40"/>
  <c r="S149" i="40"/>
  <c r="R149" i="40"/>
  <c r="Q149" i="40"/>
  <c r="P149" i="40"/>
  <c r="O149" i="40"/>
  <c r="N149" i="40"/>
  <c r="AC148" i="40"/>
  <c r="AB148" i="40"/>
  <c r="AA148" i="40"/>
  <c r="Y148" i="40"/>
  <c r="X148" i="40"/>
  <c r="W148" i="40"/>
  <c r="T148" i="40"/>
  <c r="S148" i="40"/>
  <c r="R148" i="40"/>
  <c r="Q148" i="40"/>
  <c r="P148" i="40"/>
  <c r="O148" i="40"/>
  <c r="N148" i="40"/>
  <c r="AC147" i="40"/>
  <c r="AB147" i="40"/>
  <c r="AA147" i="40"/>
  <c r="Y147" i="40"/>
  <c r="X147" i="40"/>
  <c r="W147" i="40"/>
  <c r="T147" i="40"/>
  <c r="S147" i="40"/>
  <c r="R147" i="40"/>
  <c r="Q147" i="40"/>
  <c r="P147" i="40"/>
  <c r="O147" i="40"/>
  <c r="N147" i="40"/>
  <c r="AC146" i="40"/>
  <c r="AB146" i="40"/>
  <c r="AA146" i="40"/>
  <c r="Y146" i="40"/>
  <c r="X146" i="40"/>
  <c r="W146" i="40"/>
  <c r="T146" i="40"/>
  <c r="S146" i="40"/>
  <c r="R146" i="40"/>
  <c r="Q146" i="40"/>
  <c r="P146" i="40"/>
  <c r="O146" i="40"/>
  <c r="N146" i="40"/>
  <c r="AC145" i="40"/>
  <c r="AB145" i="40"/>
  <c r="AA145" i="40"/>
  <c r="Y145" i="40"/>
  <c r="X145" i="40"/>
  <c r="W145" i="40"/>
  <c r="T145" i="40"/>
  <c r="S145" i="40"/>
  <c r="R145" i="40"/>
  <c r="Q145" i="40"/>
  <c r="P145" i="40"/>
  <c r="O145" i="40"/>
  <c r="N145" i="40"/>
  <c r="AC144" i="40"/>
  <c r="AB144" i="40"/>
  <c r="AA144" i="40"/>
  <c r="Y144" i="40"/>
  <c r="X144" i="40"/>
  <c r="W144" i="40"/>
  <c r="T144" i="40"/>
  <c r="S144" i="40"/>
  <c r="R144" i="40"/>
  <c r="Q144" i="40"/>
  <c r="P144" i="40"/>
  <c r="O144" i="40"/>
  <c r="N144" i="40"/>
  <c r="AC143" i="40"/>
  <c r="AB143" i="40"/>
  <c r="AA143" i="40"/>
  <c r="Y143" i="40"/>
  <c r="X143" i="40"/>
  <c r="W143" i="40"/>
  <c r="T143" i="40"/>
  <c r="S143" i="40"/>
  <c r="R143" i="40"/>
  <c r="Q143" i="40"/>
  <c r="P143" i="40"/>
  <c r="O143" i="40"/>
  <c r="N143" i="40"/>
  <c r="AC142" i="40"/>
  <c r="AB142" i="40"/>
  <c r="AA142" i="40"/>
  <c r="Y142" i="40"/>
  <c r="X142" i="40"/>
  <c r="W142" i="40"/>
  <c r="T142" i="40"/>
  <c r="S142" i="40"/>
  <c r="R142" i="40"/>
  <c r="Q142" i="40"/>
  <c r="P142" i="40"/>
  <c r="O142" i="40"/>
  <c r="N142" i="40"/>
  <c r="AC141" i="40"/>
  <c r="AB141" i="40"/>
  <c r="AA141" i="40"/>
  <c r="Y141" i="40"/>
  <c r="X141" i="40"/>
  <c r="W141" i="40"/>
  <c r="T141" i="40"/>
  <c r="S141" i="40"/>
  <c r="R141" i="40"/>
  <c r="Q141" i="40"/>
  <c r="P141" i="40"/>
  <c r="O141" i="40"/>
  <c r="N141" i="40"/>
  <c r="AC140" i="40"/>
  <c r="AB140" i="40"/>
  <c r="AA140" i="40"/>
  <c r="Y140" i="40"/>
  <c r="X140" i="40"/>
  <c r="W140" i="40"/>
  <c r="T140" i="40"/>
  <c r="S140" i="40"/>
  <c r="R140" i="40"/>
  <c r="Q140" i="40"/>
  <c r="P140" i="40"/>
  <c r="O140" i="40"/>
  <c r="N140" i="40"/>
  <c r="AC139" i="40"/>
  <c r="AB139" i="40"/>
  <c r="AA139" i="40"/>
  <c r="Y139" i="40"/>
  <c r="X139" i="40"/>
  <c r="W139" i="40"/>
  <c r="T139" i="40"/>
  <c r="S139" i="40"/>
  <c r="R139" i="40"/>
  <c r="Q139" i="40"/>
  <c r="P139" i="40"/>
  <c r="O139" i="40"/>
  <c r="N139" i="40"/>
  <c r="AC138" i="40"/>
  <c r="AB138" i="40"/>
  <c r="AA138" i="40"/>
  <c r="Y138" i="40"/>
  <c r="X138" i="40"/>
  <c r="W138" i="40"/>
  <c r="T138" i="40"/>
  <c r="S138" i="40"/>
  <c r="R138" i="40"/>
  <c r="Q138" i="40"/>
  <c r="P138" i="40"/>
  <c r="O138" i="40"/>
  <c r="N138" i="40"/>
  <c r="AC137" i="40"/>
  <c r="AB137" i="40"/>
  <c r="AA137" i="40"/>
  <c r="Y137" i="40"/>
  <c r="X137" i="40"/>
  <c r="W137" i="40"/>
  <c r="T137" i="40"/>
  <c r="S137" i="40"/>
  <c r="R137" i="40"/>
  <c r="Q137" i="40"/>
  <c r="P137" i="40"/>
  <c r="O137" i="40"/>
  <c r="N137" i="40"/>
  <c r="AC136" i="40"/>
  <c r="AB136" i="40"/>
  <c r="AA136" i="40"/>
  <c r="Y136" i="40"/>
  <c r="X136" i="40"/>
  <c r="W136" i="40"/>
  <c r="T136" i="40"/>
  <c r="S136" i="40"/>
  <c r="R136" i="40"/>
  <c r="Q136" i="40"/>
  <c r="P136" i="40"/>
  <c r="O136" i="40"/>
  <c r="N136" i="40"/>
  <c r="AC135" i="40"/>
  <c r="AB135" i="40"/>
  <c r="AA135" i="40"/>
  <c r="Y135" i="40"/>
  <c r="X135" i="40"/>
  <c r="W135" i="40"/>
  <c r="T135" i="40"/>
  <c r="S135" i="40"/>
  <c r="R135" i="40"/>
  <c r="Q135" i="40"/>
  <c r="P135" i="40"/>
  <c r="O135" i="40"/>
  <c r="N135" i="40"/>
  <c r="AC134" i="40"/>
  <c r="AB134" i="40"/>
  <c r="AA134" i="40"/>
  <c r="Y134" i="40"/>
  <c r="X134" i="40"/>
  <c r="W134" i="40"/>
  <c r="T134" i="40"/>
  <c r="S134" i="40"/>
  <c r="R134" i="40"/>
  <c r="Q134" i="40"/>
  <c r="P134" i="40"/>
  <c r="O134" i="40"/>
  <c r="N134" i="40"/>
  <c r="AC133" i="40"/>
  <c r="AB133" i="40"/>
  <c r="AA133" i="40"/>
  <c r="Y133" i="40"/>
  <c r="X133" i="40"/>
  <c r="W133" i="40"/>
  <c r="T133" i="40"/>
  <c r="S133" i="40"/>
  <c r="R133" i="40"/>
  <c r="Q133" i="40"/>
  <c r="P133" i="40"/>
  <c r="O133" i="40"/>
  <c r="N133" i="40"/>
  <c r="AC132" i="40"/>
  <c r="AB132" i="40"/>
  <c r="AA132" i="40"/>
  <c r="Y132" i="40"/>
  <c r="X132" i="40"/>
  <c r="W132" i="40"/>
  <c r="T132" i="40"/>
  <c r="S132" i="40"/>
  <c r="R132" i="40"/>
  <c r="Q132" i="40"/>
  <c r="P132" i="40"/>
  <c r="O132" i="40"/>
  <c r="N132" i="40"/>
  <c r="AC131" i="40"/>
  <c r="AB131" i="40"/>
  <c r="AA131" i="40"/>
  <c r="Y131" i="40"/>
  <c r="X131" i="40"/>
  <c r="W131" i="40"/>
  <c r="T131" i="40"/>
  <c r="S131" i="40"/>
  <c r="R131" i="40"/>
  <c r="Q131" i="40"/>
  <c r="P131" i="40"/>
  <c r="O131" i="40"/>
  <c r="N131" i="40"/>
  <c r="AC130" i="40"/>
  <c r="AB130" i="40"/>
  <c r="AA130" i="40"/>
  <c r="Y130" i="40"/>
  <c r="X130" i="40"/>
  <c r="W130" i="40"/>
  <c r="T130" i="40"/>
  <c r="S130" i="40"/>
  <c r="R130" i="40"/>
  <c r="Q130" i="40"/>
  <c r="P130" i="40"/>
  <c r="O130" i="40"/>
  <c r="N130" i="40"/>
  <c r="AC129" i="40"/>
  <c r="AB129" i="40"/>
  <c r="AA129" i="40"/>
  <c r="Y129" i="40"/>
  <c r="X129" i="40"/>
  <c r="W129" i="40"/>
  <c r="T129" i="40"/>
  <c r="S129" i="40"/>
  <c r="R129" i="40"/>
  <c r="Q129" i="40"/>
  <c r="P129" i="40"/>
  <c r="O129" i="40"/>
  <c r="N129" i="40"/>
  <c r="AC128" i="40"/>
  <c r="AB128" i="40"/>
  <c r="AA128" i="40"/>
  <c r="Y128" i="40"/>
  <c r="X128" i="40"/>
  <c r="W128" i="40"/>
  <c r="T128" i="40"/>
  <c r="S128" i="40"/>
  <c r="R128" i="40"/>
  <c r="Q128" i="40"/>
  <c r="P128" i="40"/>
  <c r="O128" i="40"/>
  <c r="N128" i="40"/>
  <c r="AC127" i="40"/>
  <c r="AB127" i="40"/>
  <c r="AA127" i="40"/>
  <c r="Y127" i="40"/>
  <c r="X127" i="40"/>
  <c r="W127" i="40"/>
  <c r="T127" i="40"/>
  <c r="S127" i="40"/>
  <c r="R127" i="40"/>
  <c r="Q127" i="40"/>
  <c r="P127" i="40"/>
  <c r="O127" i="40"/>
  <c r="N127" i="40"/>
  <c r="AC126" i="40"/>
  <c r="AB126" i="40"/>
  <c r="AA126" i="40"/>
  <c r="Y126" i="40"/>
  <c r="X126" i="40"/>
  <c r="W126" i="40"/>
  <c r="T126" i="40"/>
  <c r="S126" i="40"/>
  <c r="R126" i="40"/>
  <c r="Q126" i="40"/>
  <c r="P126" i="40"/>
  <c r="O126" i="40"/>
  <c r="N126" i="40"/>
  <c r="AC125" i="40"/>
  <c r="AB125" i="40"/>
  <c r="AA125" i="40"/>
  <c r="Y125" i="40"/>
  <c r="X125" i="40"/>
  <c r="W125" i="40"/>
  <c r="T125" i="40"/>
  <c r="S125" i="40"/>
  <c r="R125" i="40"/>
  <c r="Q125" i="40"/>
  <c r="P125" i="40"/>
  <c r="O125" i="40"/>
  <c r="N125" i="40"/>
  <c r="AC124" i="40"/>
  <c r="AB124" i="40"/>
  <c r="AA124" i="40"/>
  <c r="Y124" i="40"/>
  <c r="X124" i="40"/>
  <c r="W124" i="40"/>
  <c r="T124" i="40"/>
  <c r="S124" i="40"/>
  <c r="R124" i="40"/>
  <c r="Q124" i="40"/>
  <c r="P124" i="40"/>
  <c r="O124" i="40"/>
  <c r="N124" i="40"/>
  <c r="AC123" i="40"/>
  <c r="AB123" i="40"/>
  <c r="AA123" i="40"/>
  <c r="Y123" i="40"/>
  <c r="X123" i="40"/>
  <c r="W123" i="40"/>
  <c r="T123" i="40"/>
  <c r="S123" i="40"/>
  <c r="R123" i="40"/>
  <c r="Q123" i="40"/>
  <c r="P123" i="40"/>
  <c r="O123" i="40"/>
  <c r="N123" i="40"/>
  <c r="AC122" i="40"/>
  <c r="AB122" i="40"/>
  <c r="AA122" i="40"/>
  <c r="Y122" i="40"/>
  <c r="X122" i="40"/>
  <c r="W122" i="40"/>
  <c r="T122" i="40"/>
  <c r="S122" i="40"/>
  <c r="R122" i="40"/>
  <c r="Q122" i="40"/>
  <c r="P122" i="40"/>
  <c r="O122" i="40"/>
  <c r="N122" i="40"/>
  <c r="AC121" i="40"/>
  <c r="AB121" i="40"/>
  <c r="AA121" i="40"/>
  <c r="Y121" i="40"/>
  <c r="X121" i="40"/>
  <c r="W121" i="40"/>
  <c r="T121" i="40"/>
  <c r="S121" i="40"/>
  <c r="R121" i="40"/>
  <c r="Q121" i="40"/>
  <c r="P121" i="40"/>
  <c r="O121" i="40"/>
  <c r="N121" i="40"/>
  <c r="AC120" i="40"/>
  <c r="AB120" i="40"/>
  <c r="AA120" i="40"/>
  <c r="Y120" i="40"/>
  <c r="X120" i="40"/>
  <c r="W120" i="40"/>
  <c r="T120" i="40"/>
  <c r="S120" i="40"/>
  <c r="R120" i="40"/>
  <c r="Q120" i="40"/>
  <c r="P120" i="40"/>
  <c r="O120" i="40"/>
  <c r="N120" i="40"/>
  <c r="AC119" i="40"/>
  <c r="AB119" i="40"/>
  <c r="AA119" i="40"/>
  <c r="Y119" i="40"/>
  <c r="X119" i="40"/>
  <c r="W119" i="40"/>
  <c r="T119" i="40"/>
  <c r="S119" i="40"/>
  <c r="R119" i="40"/>
  <c r="Q119" i="40"/>
  <c r="P119" i="40"/>
  <c r="O119" i="40"/>
  <c r="N119" i="40"/>
  <c r="AC118" i="40"/>
  <c r="AB118" i="40"/>
  <c r="AA118" i="40"/>
  <c r="Y118" i="40"/>
  <c r="X118" i="40"/>
  <c r="W118" i="40"/>
  <c r="T118" i="40"/>
  <c r="S118" i="40"/>
  <c r="R118" i="40"/>
  <c r="Q118" i="40"/>
  <c r="P118" i="40"/>
  <c r="O118" i="40"/>
  <c r="N118" i="40"/>
  <c r="AC117" i="40"/>
  <c r="AB117" i="40"/>
  <c r="AA117" i="40"/>
  <c r="Y117" i="40"/>
  <c r="X117" i="40"/>
  <c r="W117" i="40"/>
  <c r="T117" i="40"/>
  <c r="S117" i="40"/>
  <c r="R117" i="40"/>
  <c r="Q117" i="40"/>
  <c r="P117" i="40"/>
  <c r="O117" i="40"/>
  <c r="N117" i="40"/>
  <c r="AC116" i="40"/>
  <c r="AB116" i="40"/>
  <c r="AA116" i="40"/>
  <c r="Y116" i="40"/>
  <c r="X116" i="40"/>
  <c r="W116" i="40"/>
  <c r="T116" i="40"/>
  <c r="S116" i="40"/>
  <c r="R116" i="40"/>
  <c r="Q116" i="40"/>
  <c r="P116" i="40"/>
  <c r="O116" i="40"/>
  <c r="N116" i="40"/>
  <c r="AC115" i="40"/>
  <c r="AB115" i="40"/>
  <c r="AA115" i="40"/>
  <c r="Y115" i="40"/>
  <c r="X115" i="40"/>
  <c r="W115" i="40"/>
  <c r="T115" i="40"/>
  <c r="S115" i="40"/>
  <c r="R115" i="40"/>
  <c r="Q115" i="40"/>
  <c r="P115" i="40"/>
  <c r="O115" i="40"/>
  <c r="N115" i="40"/>
  <c r="AC114" i="40"/>
  <c r="AB114" i="40"/>
  <c r="AA114" i="40"/>
  <c r="Y114" i="40"/>
  <c r="X114" i="40"/>
  <c r="W114" i="40"/>
  <c r="T114" i="40"/>
  <c r="S114" i="40"/>
  <c r="R114" i="40"/>
  <c r="Q114" i="40"/>
  <c r="P114" i="40"/>
  <c r="O114" i="40"/>
  <c r="N114" i="40"/>
  <c r="AC113" i="40"/>
  <c r="AB113" i="40"/>
  <c r="AA113" i="40"/>
  <c r="Y113" i="40"/>
  <c r="X113" i="40"/>
  <c r="W113" i="40"/>
  <c r="T113" i="40"/>
  <c r="S113" i="40"/>
  <c r="R113" i="40"/>
  <c r="Q113" i="40"/>
  <c r="P113" i="40"/>
  <c r="O113" i="40"/>
  <c r="N113" i="40"/>
  <c r="AC112" i="40"/>
  <c r="AB112" i="40"/>
  <c r="AA112" i="40"/>
  <c r="Y112" i="40"/>
  <c r="X112" i="40"/>
  <c r="W112" i="40"/>
  <c r="T112" i="40"/>
  <c r="S112" i="40"/>
  <c r="R112" i="40"/>
  <c r="Q112" i="40"/>
  <c r="P112" i="40"/>
  <c r="O112" i="40"/>
  <c r="N112" i="40"/>
  <c r="AC111" i="40"/>
  <c r="AB111" i="40"/>
  <c r="AA111" i="40"/>
  <c r="Y111" i="40"/>
  <c r="X111" i="40"/>
  <c r="W111" i="40"/>
  <c r="T111" i="40"/>
  <c r="S111" i="40"/>
  <c r="R111" i="40"/>
  <c r="Q111" i="40"/>
  <c r="P111" i="40"/>
  <c r="O111" i="40"/>
  <c r="N111" i="40"/>
  <c r="AC110" i="40"/>
  <c r="AB110" i="40"/>
  <c r="AA110" i="40"/>
  <c r="Y110" i="40"/>
  <c r="X110" i="40"/>
  <c r="W110" i="40"/>
  <c r="T110" i="40"/>
  <c r="S110" i="40"/>
  <c r="R110" i="40"/>
  <c r="Q110" i="40"/>
  <c r="P110" i="40"/>
  <c r="O110" i="40"/>
  <c r="N110" i="40"/>
  <c r="AC109" i="40"/>
  <c r="AB109" i="40"/>
  <c r="AA109" i="40"/>
  <c r="Y109" i="40"/>
  <c r="X109" i="40"/>
  <c r="W109" i="40"/>
  <c r="T109" i="40"/>
  <c r="S109" i="40"/>
  <c r="R109" i="40"/>
  <c r="Q109" i="40"/>
  <c r="P109" i="40"/>
  <c r="O109" i="40"/>
  <c r="N109" i="40"/>
  <c r="AC108" i="40"/>
  <c r="AB108" i="40"/>
  <c r="AA108" i="40"/>
  <c r="Y108" i="40"/>
  <c r="X108" i="40"/>
  <c r="W108" i="40"/>
  <c r="T108" i="40"/>
  <c r="S108" i="40"/>
  <c r="R108" i="40"/>
  <c r="Q108" i="40"/>
  <c r="P108" i="40"/>
  <c r="O108" i="40"/>
  <c r="N108" i="40"/>
  <c r="AC107" i="40"/>
  <c r="AB107" i="40"/>
  <c r="AA107" i="40"/>
  <c r="Y107" i="40"/>
  <c r="X107" i="40"/>
  <c r="W107" i="40"/>
  <c r="T107" i="40"/>
  <c r="S107" i="40"/>
  <c r="R107" i="40"/>
  <c r="Q107" i="40"/>
  <c r="P107" i="40"/>
  <c r="O107" i="40"/>
  <c r="N107" i="40"/>
  <c r="AC106" i="40"/>
  <c r="AB106" i="40"/>
  <c r="AA106" i="40"/>
  <c r="Y106" i="40"/>
  <c r="X106" i="40"/>
  <c r="W106" i="40"/>
  <c r="T106" i="40"/>
  <c r="S106" i="40"/>
  <c r="R106" i="40"/>
  <c r="Q106" i="40"/>
  <c r="P106" i="40"/>
  <c r="O106" i="40"/>
  <c r="N106" i="40"/>
  <c r="AC105" i="40"/>
  <c r="AB105" i="40"/>
  <c r="AA105" i="40"/>
  <c r="Y105" i="40"/>
  <c r="X105" i="40"/>
  <c r="W105" i="40"/>
  <c r="T105" i="40"/>
  <c r="S105" i="40"/>
  <c r="R105" i="40"/>
  <c r="Q105" i="40"/>
  <c r="P105" i="40"/>
  <c r="O105" i="40"/>
  <c r="N105" i="40"/>
  <c r="AC104" i="40"/>
  <c r="AB104" i="40"/>
  <c r="AA104" i="40"/>
  <c r="Y104" i="40"/>
  <c r="X104" i="40"/>
  <c r="W104" i="40"/>
  <c r="T104" i="40"/>
  <c r="S104" i="40"/>
  <c r="R104" i="40"/>
  <c r="Q104" i="40"/>
  <c r="P104" i="40"/>
  <c r="O104" i="40"/>
  <c r="N104" i="40"/>
  <c r="AC103" i="40"/>
  <c r="AB103" i="40"/>
  <c r="AA103" i="40"/>
  <c r="Y103" i="40"/>
  <c r="X103" i="40"/>
  <c r="W103" i="40"/>
  <c r="T103" i="40"/>
  <c r="S103" i="40"/>
  <c r="R103" i="40"/>
  <c r="Q103" i="40"/>
  <c r="P103" i="40"/>
  <c r="O103" i="40"/>
  <c r="N103" i="40"/>
  <c r="AC102" i="40"/>
  <c r="AB102" i="40"/>
  <c r="AA102" i="40"/>
  <c r="Y102" i="40"/>
  <c r="X102" i="40"/>
  <c r="W102" i="40"/>
  <c r="T102" i="40"/>
  <c r="S102" i="40"/>
  <c r="R102" i="40"/>
  <c r="Q102" i="40"/>
  <c r="P102" i="40"/>
  <c r="O102" i="40"/>
  <c r="N102" i="40"/>
  <c r="AC101" i="40"/>
  <c r="AB101" i="40"/>
  <c r="AA101" i="40"/>
  <c r="Y101" i="40"/>
  <c r="X101" i="40"/>
  <c r="W101" i="40"/>
  <c r="T101" i="40"/>
  <c r="S101" i="40"/>
  <c r="R101" i="40"/>
  <c r="Q101" i="40"/>
  <c r="P101" i="40"/>
  <c r="O101" i="40"/>
  <c r="N101" i="40"/>
  <c r="AC100" i="40"/>
  <c r="AB100" i="40"/>
  <c r="AA100" i="40"/>
  <c r="Y100" i="40"/>
  <c r="X100" i="40"/>
  <c r="W100" i="40"/>
  <c r="T100" i="40"/>
  <c r="S100" i="40"/>
  <c r="R100" i="40"/>
  <c r="Q100" i="40"/>
  <c r="P100" i="40"/>
  <c r="O100" i="40"/>
  <c r="N100" i="40"/>
  <c r="AC99" i="40"/>
  <c r="AB99" i="40"/>
  <c r="AA99" i="40"/>
  <c r="Y99" i="40"/>
  <c r="X99" i="40"/>
  <c r="W99" i="40"/>
  <c r="T99" i="40"/>
  <c r="S99" i="40"/>
  <c r="R99" i="40"/>
  <c r="Q99" i="40"/>
  <c r="P99" i="40"/>
  <c r="O99" i="40"/>
  <c r="N99" i="40"/>
  <c r="AC98" i="40"/>
  <c r="AB98" i="40"/>
  <c r="AA98" i="40"/>
  <c r="Y98" i="40"/>
  <c r="X98" i="40"/>
  <c r="W98" i="40"/>
  <c r="T98" i="40"/>
  <c r="S98" i="40"/>
  <c r="R98" i="40"/>
  <c r="Q98" i="40"/>
  <c r="P98" i="40"/>
  <c r="O98" i="40"/>
  <c r="N98" i="40"/>
  <c r="AC97" i="40"/>
  <c r="AB97" i="40"/>
  <c r="AA97" i="40"/>
  <c r="Y97" i="40"/>
  <c r="X97" i="40"/>
  <c r="W97" i="40"/>
  <c r="T97" i="40"/>
  <c r="S97" i="40"/>
  <c r="R97" i="40"/>
  <c r="Q97" i="40"/>
  <c r="P97" i="40"/>
  <c r="O97" i="40"/>
  <c r="N97" i="40"/>
  <c r="AC96" i="40"/>
  <c r="AB96" i="40"/>
  <c r="AA96" i="40"/>
  <c r="Y96" i="40"/>
  <c r="X96" i="40"/>
  <c r="W96" i="40"/>
  <c r="T96" i="40"/>
  <c r="S96" i="40"/>
  <c r="R96" i="40"/>
  <c r="Q96" i="40"/>
  <c r="P96" i="40"/>
  <c r="O96" i="40"/>
  <c r="N96" i="40"/>
  <c r="AC95" i="40"/>
  <c r="AB95" i="40"/>
  <c r="AA95" i="40"/>
  <c r="Y95" i="40"/>
  <c r="X95" i="40"/>
  <c r="W95" i="40"/>
  <c r="T95" i="40"/>
  <c r="S95" i="40"/>
  <c r="R95" i="40"/>
  <c r="Q95" i="40"/>
  <c r="P95" i="40"/>
  <c r="O95" i="40"/>
  <c r="N95" i="40"/>
  <c r="AC94" i="40"/>
  <c r="AB94" i="40"/>
  <c r="AA94" i="40"/>
  <c r="Y94" i="40"/>
  <c r="X94" i="40"/>
  <c r="W94" i="40"/>
  <c r="T94" i="40"/>
  <c r="S94" i="40"/>
  <c r="R94" i="40"/>
  <c r="Q94" i="40"/>
  <c r="P94" i="40"/>
  <c r="O94" i="40"/>
  <c r="N94" i="40"/>
  <c r="AC93" i="40"/>
  <c r="AB93" i="40"/>
  <c r="AA93" i="40"/>
  <c r="Y93" i="40"/>
  <c r="X93" i="40"/>
  <c r="W93" i="40"/>
  <c r="T93" i="40"/>
  <c r="S93" i="40"/>
  <c r="R93" i="40"/>
  <c r="Q93" i="40"/>
  <c r="P93" i="40"/>
  <c r="O93" i="40"/>
  <c r="N93" i="40"/>
  <c r="AC92" i="40"/>
  <c r="AB92" i="40"/>
  <c r="AA92" i="40"/>
  <c r="Y92" i="40"/>
  <c r="X92" i="40"/>
  <c r="W92" i="40"/>
  <c r="T92" i="40"/>
  <c r="S92" i="40"/>
  <c r="R92" i="40"/>
  <c r="Q92" i="40"/>
  <c r="P92" i="40"/>
  <c r="O92" i="40"/>
  <c r="N92" i="40"/>
  <c r="AC91" i="40"/>
  <c r="AB91" i="40"/>
  <c r="AA91" i="40"/>
  <c r="Y91" i="40"/>
  <c r="X91" i="40"/>
  <c r="W91" i="40"/>
  <c r="T91" i="40"/>
  <c r="S91" i="40"/>
  <c r="R91" i="40"/>
  <c r="Q91" i="40"/>
  <c r="P91" i="40"/>
  <c r="O91" i="40"/>
  <c r="N91" i="40"/>
  <c r="AC90" i="40"/>
  <c r="AB90" i="40"/>
  <c r="AA90" i="40"/>
  <c r="Y90" i="40"/>
  <c r="X90" i="40"/>
  <c r="W90" i="40"/>
  <c r="T90" i="40"/>
  <c r="S90" i="40"/>
  <c r="R90" i="40"/>
  <c r="Q90" i="40"/>
  <c r="P90" i="40"/>
  <c r="O90" i="40"/>
  <c r="N90" i="40"/>
  <c r="AC89" i="40"/>
  <c r="AB89" i="40"/>
  <c r="AA89" i="40"/>
  <c r="Y89" i="40"/>
  <c r="X89" i="40"/>
  <c r="W89" i="40"/>
  <c r="T89" i="40"/>
  <c r="S89" i="40"/>
  <c r="R89" i="40"/>
  <c r="Q89" i="40"/>
  <c r="P89" i="40"/>
  <c r="O89" i="40"/>
  <c r="N89" i="40"/>
  <c r="AC88" i="40"/>
  <c r="AB88" i="40"/>
  <c r="AA88" i="40"/>
  <c r="Y88" i="40"/>
  <c r="X88" i="40"/>
  <c r="W88" i="40"/>
  <c r="T88" i="40"/>
  <c r="S88" i="40"/>
  <c r="R88" i="40"/>
  <c r="Q88" i="40"/>
  <c r="P88" i="40"/>
  <c r="O88" i="40"/>
  <c r="N88" i="40"/>
  <c r="AC87" i="40"/>
  <c r="AB87" i="40"/>
  <c r="AA87" i="40"/>
  <c r="Y87" i="40"/>
  <c r="X87" i="40"/>
  <c r="W87" i="40"/>
  <c r="T87" i="40"/>
  <c r="S87" i="40"/>
  <c r="R87" i="40"/>
  <c r="Q87" i="40"/>
  <c r="P87" i="40"/>
  <c r="O87" i="40"/>
  <c r="N87" i="40"/>
  <c r="AC86" i="40"/>
  <c r="AB86" i="40"/>
  <c r="AA86" i="40"/>
  <c r="Y86" i="40"/>
  <c r="X86" i="40"/>
  <c r="W86" i="40"/>
  <c r="T86" i="40"/>
  <c r="S86" i="40"/>
  <c r="R86" i="40"/>
  <c r="Q86" i="40"/>
  <c r="P86" i="40"/>
  <c r="O86" i="40"/>
  <c r="N86" i="40"/>
  <c r="AC85" i="40"/>
  <c r="AB85" i="40"/>
  <c r="AA85" i="40"/>
  <c r="Y85" i="40"/>
  <c r="X85" i="40"/>
  <c r="W85" i="40"/>
  <c r="T85" i="40"/>
  <c r="S85" i="40"/>
  <c r="R85" i="40"/>
  <c r="Q85" i="40"/>
  <c r="P85" i="40"/>
  <c r="O85" i="40"/>
  <c r="N85" i="40"/>
  <c r="AC84" i="40"/>
  <c r="AB84" i="40"/>
  <c r="AA84" i="40"/>
  <c r="Y84" i="40"/>
  <c r="X84" i="40"/>
  <c r="W84" i="40"/>
  <c r="T84" i="40"/>
  <c r="S84" i="40"/>
  <c r="R84" i="40"/>
  <c r="Q84" i="40"/>
  <c r="P84" i="40"/>
  <c r="O84" i="40"/>
  <c r="N84" i="40"/>
  <c r="AC83" i="40"/>
  <c r="AB83" i="40"/>
  <c r="AA83" i="40"/>
  <c r="Y83" i="40"/>
  <c r="X83" i="40"/>
  <c r="W83" i="40"/>
  <c r="T83" i="40"/>
  <c r="S83" i="40"/>
  <c r="R83" i="40"/>
  <c r="Q83" i="40"/>
  <c r="P83" i="40"/>
  <c r="O83" i="40"/>
  <c r="N83" i="40"/>
  <c r="AC82" i="40"/>
  <c r="AB82" i="40"/>
  <c r="AA82" i="40"/>
  <c r="Y82" i="40"/>
  <c r="X82" i="40"/>
  <c r="W82" i="40"/>
  <c r="T82" i="40"/>
  <c r="S82" i="40"/>
  <c r="R82" i="40"/>
  <c r="Q82" i="40"/>
  <c r="P82" i="40"/>
  <c r="O82" i="40"/>
  <c r="N82" i="40"/>
  <c r="AC81" i="40"/>
  <c r="AB81" i="40"/>
  <c r="AA81" i="40"/>
  <c r="Y81" i="40"/>
  <c r="X81" i="40"/>
  <c r="W81" i="40"/>
  <c r="T81" i="40"/>
  <c r="S81" i="40"/>
  <c r="R81" i="40"/>
  <c r="Q81" i="40"/>
  <c r="P81" i="40"/>
  <c r="O81" i="40"/>
  <c r="N81" i="40"/>
  <c r="AC80" i="40"/>
  <c r="AB80" i="40"/>
  <c r="AA80" i="40"/>
  <c r="Y80" i="40"/>
  <c r="X80" i="40"/>
  <c r="W80" i="40"/>
  <c r="T80" i="40"/>
  <c r="S80" i="40"/>
  <c r="R80" i="40"/>
  <c r="Q80" i="40"/>
  <c r="P80" i="40"/>
  <c r="O80" i="40"/>
  <c r="N80" i="40"/>
  <c r="AC79" i="40"/>
  <c r="AB79" i="40"/>
  <c r="AA79" i="40"/>
  <c r="Y79" i="40"/>
  <c r="X79" i="40"/>
  <c r="W79" i="40"/>
  <c r="T79" i="40"/>
  <c r="S79" i="40"/>
  <c r="R79" i="40"/>
  <c r="Q79" i="40"/>
  <c r="P79" i="40"/>
  <c r="O79" i="40"/>
  <c r="N79" i="40"/>
  <c r="AC78" i="40"/>
  <c r="AB78" i="40"/>
  <c r="AA78" i="40"/>
  <c r="Y78" i="40"/>
  <c r="X78" i="40"/>
  <c r="W78" i="40"/>
  <c r="T78" i="40"/>
  <c r="S78" i="40"/>
  <c r="R78" i="40"/>
  <c r="Q78" i="40"/>
  <c r="P78" i="40"/>
  <c r="O78" i="40"/>
  <c r="N78" i="40"/>
  <c r="AC77" i="40"/>
  <c r="AB77" i="40"/>
  <c r="AA77" i="40"/>
  <c r="Y77" i="40"/>
  <c r="X77" i="40"/>
  <c r="W77" i="40"/>
  <c r="T77" i="40"/>
  <c r="S77" i="40"/>
  <c r="R77" i="40"/>
  <c r="Q77" i="40"/>
  <c r="P77" i="40"/>
  <c r="O77" i="40"/>
  <c r="N77" i="40"/>
  <c r="AC76" i="40"/>
  <c r="AB76" i="40"/>
  <c r="AA76" i="40"/>
  <c r="Y76" i="40"/>
  <c r="X76" i="40"/>
  <c r="W76" i="40"/>
  <c r="T76" i="40"/>
  <c r="S76" i="40"/>
  <c r="R76" i="40"/>
  <c r="Q76" i="40"/>
  <c r="P76" i="40"/>
  <c r="O76" i="40"/>
  <c r="N76" i="40"/>
  <c r="AC75" i="40"/>
  <c r="AB75" i="40"/>
  <c r="AA75" i="40"/>
  <c r="Y75" i="40"/>
  <c r="X75" i="40"/>
  <c r="W75" i="40"/>
  <c r="T75" i="40"/>
  <c r="S75" i="40"/>
  <c r="R75" i="40"/>
  <c r="Q75" i="40"/>
  <c r="P75" i="40"/>
  <c r="O75" i="40"/>
  <c r="N75" i="40"/>
  <c r="AC74" i="40"/>
  <c r="AB74" i="40"/>
  <c r="AA74" i="40"/>
  <c r="Y74" i="40"/>
  <c r="X74" i="40"/>
  <c r="W74" i="40"/>
  <c r="T74" i="40"/>
  <c r="S74" i="40"/>
  <c r="R74" i="40"/>
  <c r="Q74" i="40"/>
  <c r="P74" i="40"/>
  <c r="O74" i="40"/>
  <c r="N74" i="40"/>
  <c r="AC73" i="40"/>
  <c r="AB73" i="40"/>
  <c r="AA73" i="40"/>
  <c r="Y73" i="40"/>
  <c r="X73" i="40"/>
  <c r="W73" i="40"/>
  <c r="T73" i="40"/>
  <c r="S73" i="40"/>
  <c r="R73" i="40"/>
  <c r="Q73" i="40"/>
  <c r="P73" i="40"/>
  <c r="O73" i="40"/>
  <c r="N73" i="40"/>
  <c r="AC72" i="40"/>
  <c r="AB72" i="40"/>
  <c r="AA72" i="40"/>
  <c r="Y72" i="40"/>
  <c r="X72" i="40"/>
  <c r="W72" i="40"/>
  <c r="T72" i="40"/>
  <c r="S72" i="40"/>
  <c r="R72" i="40"/>
  <c r="Q72" i="40"/>
  <c r="P72" i="40"/>
  <c r="O72" i="40"/>
  <c r="N72" i="40"/>
  <c r="AC71" i="40"/>
  <c r="AB71" i="40"/>
  <c r="AA71" i="40"/>
  <c r="Y71" i="40"/>
  <c r="X71" i="40"/>
  <c r="W71" i="40"/>
  <c r="T71" i="40"/>
  <c r="S71" i="40"/>
  <c r="R71" i="40"/>
  <c r="Q71" i="40"/>
  <c r="P71" i="40"/>
  <c r="O71" i="40"/>
  <c r="N71" i="40"/>
  <c r="AC70" i="40"/>
  <c r="AB70" i="40"/>
  <c r="AA70" i="40"/>
  <c r="Y70" i="40"/>
  <c r="X70" i="40"/>
  <c r="W70" i="40"/>
  <c r="T70" i="40"/>
  <c r="S70" i="40"/>
  <c r="R70" i="40"/>
  <c r="Q70" i="40"/>
  <c r="P70" i="40"/>
  <c r="O70" i="40"/>
  <c r="N70" i="40"/>
  <c r="AC69" i="40"/>
  <c r="AB69" i="40"/>
  <c r="AA69" i="40"/>
  <c r="Y69" i="40"/>
  <c r="X69" i="40"/>
  <c r="W69" i="40"/>
  <c r="T69" i="40"/>
  <c r="S69" i="40"/>
  <c r="R69" i="40"/>
  <c r="Q69" i="40"/>
  <c r="P69" i="40"/>
  <c r="O69" i="40"/>
  <c r="N69" i="40"/>
  <c r="AC68" i="40"/>
  <c r="AB68" i="40"/>
  <c r="AA68" i="40"/>
  <c r="Y68" i="40"/>
  <c r="X68" i="40"/>
  <c r="W68" i="40"/>
  <c r="T68" i="40"/>
  <c r="S68" i="40"/>
  <c r="R68" i="40"/>
  <c r="Q68" i="40"/>
  <c r="P68" i="40"/>
  <c r="O68" i="40"/>
  <c r="N68" i="40"/>
  <c r="AC67" i="40"/>
  <c r="AB67" i="40"/>
  <c r="AA67" i="40"/>
  <c r="Y67" i="40"/>
  <c r="X67" i="40"/>
  <c r="W67" i="40"/>
  <c r="T67" i="40"/>
  <c r="S67" i="40"/>
  <c r="R67" i="40"/>
  <c r="Q67" i="40"/>
  <c r="P67" i="40"/>
  <c r="O67" i="40"/>
  <c r="N67" i="40"/>
  <c r="AC66" i="40"/>
  <c r="AB66" i="40"/>
  <c r="AA66" i="40"/>
  <c r="Y66" i="40"/>
  <c r="X66" i="40"/>
  <c r="W66" i="40"/>
  <c r="T66" i="40"/>
  <c r="S66" i="40"/>
  <c r="R66" i="40"/>
  <c r="Q66" i="40"/>
  <c r="P66" i="40"/>
  <c r="O66" i="40"/>
  <c r="N66" i="40"/>
  <c r="AC65" i="40"/>
  <c r="AB65" i="40"/>
  <c r="AA65" i="40"/>
  <c r="Y65" i="40"/>
  <c r="X65" i="40"/>
  <c r="W65" i="40"/>
  <c r="T65" i="40"/>
  <c r="S65" i="40"/>
  <c r="R65" i="40"/>
  <c r="Q65" i="40"/>
  <c r="P65" i="40"/>
  <c r="O65" i="40"/>
  <c r="N65" i="40"/>
  <c r="AC64" i="40"/>
  <c r="AB64" i="40"/>
  <c r="AA64" i="40"/>
  <c r="Y64" i="40"/>
  <c r="X64" i="40"/>
  <c r="W64" i="40"/>
  <c r="T64" i="40"/>
  <c r="S64" i="40"/>
  <c r="R64" i="40"/>
  <c r="Q64" i="40"/>
  <c r="P64" i="40"/>
  <c r="O64" i="40"/>
  <c r="N64" i="40"/>
  <c r="AC63" i="40"/>
  <c r="AB63" i="40"/>
  <c r="AA63" i="40"/>
  <c r="Y63" i="40"/>
  <c r="X63" i="40"/>
  <c r="W63" i="40"/>
  <c r="T63" i="40"/>
  <c r="S63" i="40"/>
  <c r="R63" i="40"/>
  <c r="Q63" i="40"/>
  <c r="P63" i="40"/>
  <c r="O63" i="40"/>
  <c r="N63" i="40"/>
  <c r="AC62" i="40"/>
  <c r="AB62" i="40"/>
  <c r="AA62" i="40"/>
  <c r="Y62" i="40"/>
  <c r="X62" i="40"/>
  <c r="W62" i="40"/>
  <c r="T62" i="40"/>
  <c r="S62" i="40"/>
  <c r="R62" i="40"/>
  <c r="Q62" i="40"/>
  <c r="P62" i="40"/>
  <c r="O62" i="40"/>
  <c r="N62" i="40"/>
  <c r="AC61" i="40"/>
  <c r="AB61" i="40"/>
  <c r="AA61" i="40"/>
  <c r="Y61" i="40"/>
  <c r="X61" i="40"/>
  <c r="W61" i="40"/>
  <c r="T61" i="40"/>
  <c r="S61" i="40"/>
  <c r="R61" i="40"/>
  <c r="Q61" i="40"/>
  <c r="P61" i="40"/>
  <c r="O61" i="40"/>
  <c r="N61" i="40"/>
  <c r="AC60" i="40"/>
  <c r="AB60" i="40"/>
  <c r="AA60" i="40"/>
  <c r="Y60" i="40"/>
  <c r="X60" i="40"/>
  <c r="W60" i="40"/>
  <c r="T60" i="40"/>
  <c r="S60" i="40"/>
  <c r="R60" i="40"/>
  <c r="Q60" i="40"/>
  <c r="P60" i="40"/>
  <c r="O60" i="40"/>
  <c r="N60" i="40"/>
  <c r="AC59" i="40"/>
  <c r="AB59" i="40"/>
  <c r="AA59" i="40"/>
  <c r="Y59" i="40"/>
  <c r="X59" i="40"/>
  <c r="W59" i="40"/>
  <c r="T59" i="40"/>
  <c r="S59" i="40"/>
  <c r="R59" i="40"/>
  <c r="Q59" i="40"/>
  <c r="P59" i="40"/>
  <c r="O59" i="40"/>
  <c r="N59" i="40"/>
  <c r="AC58" i="40"/>
  <c r="AB58" i="40"/>
  <c r="AA58" i="40"/>
  <c r="Y58" i="40"/>
  <c r="X58" i="40"/>
  <c r="W58" i="40"/>
  <c r="T58" i="40"/>
  <c r="S58" i="40"/>
  <c r="R58" i="40"/>
  <c r="Q58" i="40"/>
  <c r="P58" i="40"/>
  <c r="O58" i="40"/>
  <c r="N58" i="40"/>
  <c r="AC57" i="40"/>
  <c r="AB57" i="40"/>
  <c r="AA57" i="40"/>
  <c r="Y57" i="40"/>
  <c r="X57" i="40"/>
  <c r="W57" i="40"/>
  <c r="T57" i="40"/>
  <c r="S57" i="40"/>
  <c r="R57" i="40"/>
  <c r="Q57" i="40"/>
  <c r="P57" i="40"/>
  <c r="O57" i="40"/>
  <c r="N57" i="40"/>
  <c r="AC56" i="40"/>
  <c r="AB56" i="40"/>
  <c r="AA56" i="40"/>
  <c r="Y56" i="40"/>
  <c r="X56" i="40"/>
  <c r="W56" i="40"/>
  <c r="T56" i="40"/>
  <c r="S56" i="40"/>
  <c r="R56" i="40"/>
  <c r="Q56" i="40"/>
  <c r="P56" i="40"/>
  <c r="O56" i="40"/>
  <c r="N56" i="40"/>
  <c r="AC55" i="40"/>
  <c r="AB55" i="40"/>
  <c r="AA55" i="40"/>
  <c r="Y55" i="40"/>
  <c r="X55" i="40"/>
  <c r="W55" i="40"/>
  <c r="T55" i="40"/>
  <c r="S55" i="40"/>
  <c r="R55" i="40"/>
  <c r="Q55" i="40"/>
  <c r="P55" i="40"/>
  <c r="O55" i="40"/>
  <c r="N55" i="40"/>
  <c r="AC54" i="40"/>
  <c r="AB54" i="40"/>
  <c r="AA54" i="40"/>
  <c r="Y54" i="40"/>
  <c r="X54" i="40"/>
  <c r="W54" i="40"/>
  <c r="T54" i="40"/>
  <c r="S54" i="40"/>
  <c r="R54" i="40"/>
  <c r="Q54" i="40"/>
  <c r="P54" i="40"/>
  <c r="O54" i="40"/>
  <c r="N54" i="40"/>
  <c r="AC53" i="40"/>
  <c r="AB53" i="40"/>
  <c r="AA53" i="40"/>
  <c r="Y53" i="40"/>
  <c r="X53" i="40"/>
  <c r="W53" i="40"/>
  <c r="T53" i="40"/>
  <c r="S53" i="40"/>
  <c r="R53" i="40"/>
  <c r="Q53" i="40"/>
  <c r="P53" i="40"/>
  <c r="O53" i="40"/>
  <c r="N53" i="40"/>
  <c r="AC52" i="40"/>
  <c r="AB52" i="40"/>
  <c r="AA52" i="40"/>
  <c r="Y52" i="40"/>
  <c r="X52" i="40"/>
  <c r="W52" i="40"/>
  <c r="T52" i="40"/>
  <c r="S52" i="40"/>
  <c r="R52" i="40"/>
  <c r="Q52" i="40"/>
  <c r="P52" i="40"/>
  <c r="O52" i="40"/>
  <c r="N52" i="40"/>
  <c r="AC51" i="40"/>
  <c r="AB51" i="40"/>
  <c r="AA51" i="40"/>
  <c r="Y51" i="40"/>
  <c r="X51" i="40"/>
  <c r="W51" i="40"/>
  <c r="T51" i="40"/>
  <c r="S51" i="40"/>
  <c r="R51" i="40"/>
  <c r="Q51" i="40"/>
  <c r="P51" i="40"/>
  <c r="O51" i="40"/>
  <c r="N51" i="40"/>
  <c r="AC50" i="40"/>
  <c r="AB50" i="40"/>
  <c r="AA50" i="40"/>
  <c r="Y50" i="40"/>
  <c r="X50" i="40"/>
  <c r="W50" i="40"/>
  <c r="T50" i="40"/>
  <c r="S50" i="40"/>
  <c r="R50" i="40"/>
  <c r="Q50" i="40"/>
  <c r="P50" i="40"/>
  <c r="O50" i="40"/>
  <c r="N50" i="40"/>
  <c r="AC49" i="40"/>
  <c r="AB49" i="40"/>
  <c r="AA49" i="40"/>
  <c r="Y49" i="40"/>
  <c r="X49" i="40"/>
  <c r="W49" i="40"/>
  <c r="T49" i="40"/>
  <c r="S49" i="40"/>
  <c r="R49" i="40"/>
  <c r="Q49" i="40"/>
  <c r="P49" i="40"/>
  <c r="O49" i="40"/>
  <c r="N49" i="40"/>
  <c r="AC48" i="40"/>
  <c r="AB48" i="40"/>
  <c r="AA48" i="40"/>
  <c r="Y48" i="40"/>
  <c r="X48" i="40"/>
  <c r="W48" i="40"/>
  <c r="T48" i="40"/>
  <c r="S48" i="40"/>
  <c r="R48" i="40"/>
  <c r="Q48" i="40"/>
  <c r="P48" i="40"/>
  <c r="O48" i="40"/>
  <c r="N48" i="40"/>
  <c r="AC47" i="40"/>
  <c r="AB47" i="40"/>
  <c r="AA47" i="40"/>
  <c r="Y47" i="40"/>
  <c r="X47" i="40"/>
  <c r="W47" i="40"/>
  <c r="T47" i="40"/>
  <c r="S47" i="40"/>
  <c r="R47" i="40"/>
  <c r="Q47" i="40"/>
  <c r="P47" i="40"/>
  <c r="O47" i="40"/>
  <c r="N47" i="40"/>
  <c r="AC46" i="40"/>
  <c r="AB46" i="40"/>
  <c r="AA46" i="40"/>
  <c r="Y46" i="40"/>
  <c r="X46" i="40"/>
  <c r="W46" i="40"/>
  <c r="T46" i="40"/>
  <c r="S46" i="40"/>
  <c r="R46" i="40"/>
  <c r="Q46" i="40"/>
  <c r="P46" i="40"/>
  <c r="O46" i="40"/>
  <c r="N46" i="40"/>
  <c r="AC45" i="40"/>
  <c r="AB45" i="40"/>
  <c r="AA45" i="40"/>
  <c r="Y45" i="40"/>
  <c r="W45" i="40"/>
  <c r="T45" i="40"/>
  <c r="S45" i="40"/>
  <c r="R45" i="40"/>
  <c r="Q45" i="40"/>
  <c r="P45" i="40"/>
  <c r="O45" i="40"/>
  <c r="N45" i="40"/>
  <c r="AC44" i="40"/>
  <c r="AB44" i="40"/>
  <c r="AA44" i="40"/>
  <c r="Y44" i="40"/>
  <c r="X44" i="40"/>
  <c r="W44" i="40"/>
  <c r="T44" i="40"/>
  <c r="S44" i="40"/>
  <c r="R44" i="40"/>
  <c r="Q44" i="40"/>
  <c r="P44" i="40"/>
  <c r="O44" i="40"/>
  <c r="N44" i="40"/>
  <c r="AC43" i="40"/>
  <c r="AB43" i="40"/>
  <c r="AA43" i="40"/>
  <c r="Y43" i="40"/>
  <c r="X43" i="40"/>
  <c r="W43" i="40"/>
  <c r="T43" i="40"/>
  <c r="S43" i="40"/>
  <c r="R43" i="40"/>
  <c r="Q43" i="40"/>
  <c r="P43" i="40"/>
  <c r="O43" i="40"/>
  <c r="N43" i="40"/>
  <c r="AC42" i="40"/>
  <c r="AB42" i="40"/>
  <c r="AA42" i="40"/>
  <c r="Y42" i="40"/>
  <c r="X42" i="40"/>
  <c r="W42" i="40"/>
  <c r="T42" i="40"/>
  <c r="S42" i="40"/>
  <c r="R42" i="40"/>
  <c r="Q42" i="40"/>
  <c r="P42" i="40"/>
  <c r="O42" i="40"/>
  <c r="N42" i="40"/>
  <c r="AC41" i="40"/>
  <c r="AB41" i="40"/>
  <c r="AA41" i="40"/>
  <c r="Y41" i="40"/>
  <c r="X41" i="40"/>
  <c r="W41" i="40"/>
  <c r="T41" i="40"/>
  <c r="S41" i="40"/>
  <c r="R41" i="40"/>
  <c r="Q41" i="40"/>
  <c r="P41" i="40"/>
  <c r="O41" i="40"/>
  <c r="N41" i="40"/>
  <c r="AC40" i="40"/>
  <c r="AB40" i="40"/>
  <c r="AA40" i="40"/>
  <c r="Y40" i="40"/>
  <c r="X40" i="40"/>
  <c r="W40" i="40"/>
  <c r="T40" i="40"/>
  <c r="S40" i="40"/>
  <c r="R40" i="40"/>
  <c r="Q40" i="40"/>
  <c r="P40" i="40"/>
  <c r="O40" i="40"/>
  <c r="N40" i="40"/>
  <c r="AC39" i="40"/>
  <c r="AB39" i="40"/>
  <c r="AA39" i="40"/>
  <c r="Y39" i="40"/>
  <c r="X39" i="40"/>
  <c r="W39" i="40"/>
  <c r="T39" i="40"/>
  <c r="S39" i="40"/>
  <c r="R39" i="40"/>
  <c r="Q39" i="40"/>
  <c r="P39" i="40"/>
  <c r="O39" i="40"/>
  <c r="N39" i="40"/>
  <c r="AC38" i="40"/>
  <c r="AB38" i="40"/>
  <c r="AA38" i="40"/>
  <c r="Y38" i="40"/>
  <c r="X38" i="40"/>
  <c r="W38" i="40"/>
  <c r="T38" i="40"/>
  <c r="S38" i="40"/>
  <c r="R38" i="40"/>
  <c r="Q38" i="40"/>
  <c r="P38" i="40"/>
  <c r="O38" i="40"/>
  <c r="N38" i="40"/>
  <c r="AC37" i="40"/>
  <c r="AB37" i="40"/>
  <c r="AA37" i="40"/>
  <c r="Y37" i="40"/>
  <c r="X37" i="40"/>
  <c r="W37" i="40"/>
  <c r="T37" i="40"/>
  <c r="S37" i="40"/>
  <c r="R37" i="40"/>
  <c r="Q37" i="40"/>
  <c r="P37" i="40"/>
  <c r="O37" i="40"/>
  <c r="N37" i="40"/>
  <c r="AC36" i="40"/>
  <c r="AB36" i="40"/>
  <c r="AA36" i="40"/>
  <c r="Y36" i="40"/>
  <c r="X36" i="40"/>
  <c r="W36" i="40"/>
  <c r="T36" i="40"/>
  <c r="S36" i="40"/>
  <c r="R36" i="40"/>
  <c r="Q36" i="40"/>
  <c r="P36" i="40"/>
  <c r="O36" i="40"/>
  <c r="N36" i="40"/>
  <c r="AC35" i="40"/>
  <c r="AB35" i="40"/>
  <c r="AA35" i="40"/>
  <c r="Y35" i="40"/>
  <c r="X35" i="40"/>
  <c r="W35" i="40"/>
  <c r="T35" i="40"/>
  <c r="S35" i="40"/>
  <c r="R35" i="40"/>
  <c r="Q35" i="40"/>
  <c r="P35" i="40"/>
  <c r="O35" i="40"/>
  <c r="N35" i="40"/>
  <c r="AC34" i="40"/>
  <c r="AB34" i="40"/>
  <c r="AA34" i="40"/>
  <c r="Y34" i="40"/>
  <c r="X34" i="40"/>
  <c r="W34" i="40"/>
  <c r="T34" i="40"/>
  <c r="S34" i="40"/>
  <c r="R34" i="40"/>
  <c r="Q34" i="40"/>
  <c r="P34" i="40"/>
  <c r="O34" i="40"/>
  <c r="N34" i="40"/>
  <c r="AC33" i="40"/>
  <c r="AB33" i="40"/>
  <c r="AA33" i="40"/>
  <c r="Y33" i="40"/>
  <c r="X33" i="40"/>
  <c r="W33" i="40"/>
  <c r="T33" i="40"/>
  <c r="S33" i="40"/>
  <c r="R33" i="40"/>
  <c r="Q33" i="40"/>
  <c r="P33" i="40"/>
  <c r="O33" i="40"/>
  <c r="N33" i="40"/>
  <c r="AC32" i="40"/>
  <c r="AB32" i="40"/>
  <c r="AA32" i="40"/>
  <c r="Y32" i="40"/>
  <c r="X32" i="40"/>
  <c r="W32" i="40"/>
  <c r="T32" i="40"/>
  <c r="S32" i="40"/>
  <c r="R32" i="40"/>
  <c r="Q32" i="40"/>
  <c r="P32" i="40"/>
  <c r="O32" i="40"/>
  <c r="N32" i="40"/>
  <c r="AC31" i="40"/>
  <c r="AB31" i="40"/>
  <c r="AA31" i="40"/>
  <c r="Y31" i="40"/>
  <c r="X31" i="40"/>
  <c r="W31" i="40"/>
  <c r="T31" i="40"/>
  <c r="S31" i="40"/>
  <c r="R31" i="40"/>
  <c r="Q31" i="40"/>
  <c r="P31" i="40"/>
  <c r="O31" i="40"/>
  <c r="N31" i="40"/>
  <c r="AC30" i="40"/>
  <c r="AB30" i="40"/>
  <c r="AA30" i="40"/>
  <c r="Y30" i="40"/>
  <c r="X30" i="40"/>
  <c r="W30" i="40"/>
  <c r="T30" i="40"/>
  <c r="S30" i="40"/>
  <c r="R30" i="40"/>
  <c r="Q30" i="40"/>
  <c r="P30" i="40"/>
  <c r="O30" i="40"/>
  <c r="N30" i="40"/>
  <c r="AC29" i="40"/>
  <c r="AB29" i="40"/>
  <c r="AA29" i="40"/>
  <c r="Y29" i="40"/>
  <c r="X29" i="40"/>
  <c r="W29" i="40"/>
  <c r="T29" i="40"/>
  <c r="S29" i="40"/>
  <c r="R29" i="40"/>
  <c r="Q29" i="40"/>
  <c r="P29" i="40"/>
  <c r="O29" i="40"/>
  <c r="N29" i="40"/>
  <c r="AC28" i="40"/>
  <c r="AB28" i="40"/>
  <c r="AA28" i="40"/>
  <c r="Y28" i="40"/>
  <c r="X28" i="40"/>
  <c r="W28" i="40"/>
  <c r="T28" i="40"/>
  <c r="S28" i="40"/>
  <c r="R28" i="40"/>
  <c r="Q28" i="40"/>
  <c r="P28" i="40"/>
  <c r="O28" i="40"/>
  <c r="N28" i="40"/>
  <c r="AC27" i="40"/>
  <c r="AB27" i="40"/>
  <c r="AA27" i="40"/>
  <c r="Y27" i="40"/>
  <c r="X27" i="40"/>
  <c r="W27" i="40"/>
  <c r="T27" i="40"/>
  <c r="S27" i="40"/>
  <c r="R27" i="40"/>
  <c r="Q27" i="40"/>
  <c r="P27" i="40"/>
  <c r="O27" i="40"/>
  <c r="N27" i="40"/>
  <c r="AC26" i="40"/>
  <c r="AB26" i="40"/>
  <c r="AA26" i="40"/>
  <c r="Y26" i="40"/>
  <c r="X26" i="40"/>
  <c r="W26" i="40"/>
  <c r="T26" i="40"/>
  <c r="S26" i="40"/>
  <c r="R26" i="40"/>
  <c r="Q26" i="40"/>
  <c r="P26" i="40"/>
  <c r="O26" i="40"/>
  <c r="N26" i="40"/>
  <c r="AC25" i="40"/>
  <c r="AB25" i="40"/>
  <c r="AA25" i="40"/>
  <c r="Y25" i="40"/>
  <c r="X25" i="40"/>
  <c r="W25" i="40"/>
  <c r="T25" i="40"/>
  <c r="S25" i="40"/>
  <c r="R25" i="40"/>
  <c r="Q25" i="40"/>
  <c r="P25" i="40"/>
  <c r="O25" i="40"/>
  <c r="N25" i="40"/>
  <c r="AC24" i="40"/>
  <c r="AB24" i="40"/>
  <c r="AA24" i="40"/>
  <c r="Y24" i="40"/>
  <c r="X24" i="40"/>
  <c r="W24" i="40"/>
  <c r="T24" i="40"/>
  <c r="S24" i="40"/>
  <c r="R24" i="40"/>
  <c r="Q24" i="40"/>
  <c r="P24" i="40"/>
  <c r="O24" i="40"/>
  <c r="N24" i="40"/>
  <c r="AC23" i="40"/>
  <c r="AB23" i="40"/>
  <c r="AA23" i="40"/>
  <c r="Y23" i="40"/>
  <c r="X23" i="40"/>
  <c r="W23" i="40"/>
  <c r="T23" i="40"/>
  <c r="S23" i="40"/>
  <c r="R23" i="40"/>
  <c r="Q23" i="40"/>
  <c r="P23" i="40"/>
  <c r="O23" i="40"/>
  <c r="N23" i="40"/>
  <c r="AC22" i="40"/>
  <c r="AB22" i="40"/>
  <c r="AA22" i="40"/>
  <c r="Y22" i="40"/>
  <c r="X22" i="40"/>
  <c r="W22" i="40"/>
  <c r="T22" i="40"/>
  <c r="S22" i="40"/>
  <c r="R22" i="40"/>
  <c r="Q22" i="40"/>
  <c r="P22" i="40"/>
  <c r="O22" i="40"/>
  <c r="N22" i="40"/>
  <c r="AC21" i="40"/>
  <c r="AB21" i="40"/>
  <c r="AA21" i="40"/>
  <c r="Y21" i="40"/>
  <c r="X21" i="40"/>
  <c r="W21" i="40"/>
  <c r="T21" i="40"/>
  <c r="S21" i="40"/>
  <c r="R21" i="40"/>
  <c r="Q21" i="40"/>
  <c r="P21" i="40"/>
  <c r="O21" i="40"/>
  <c r="N21" i="40"/>
  <c r="AC20" i="40"/>
  <c r="AB20" i="40"/>
  <c r="AA20" i="40"/>
  <c r="Y20" i="40"/>
  <c r="X20" i="40"/>
  <c r="W20" i="40"/>
  <c r="T20" i="40"/>
  <c r="S20" i="40"/>
  <c r="R20" i="40"/>
  <c r="Q20" i="40"/>
  <c r="P20" i="40"/>
  <c r="O20" i="40"/>
  <c r="N20" i="40"/>
  <c r="AC19" i="40"/>
  <c r="AB19" i="40"/>
  <c r="AA19" i="40"/>
  <c r="Y19" i="40"/>
  <c r="X19" i="40"/>
  <c r="W19" i="40"/>
  <c r="T19" i="40"/>
  <c r="S19" i="40"/>
  <c r="R19" i="40"/>
  <c r="Q19" i="40"/>
  <c r="P19" i="40"/>
  <c r="O19" i="40"/>
  <c r="N19" i="40"/>
  <c r="AC18" i="40"/>
  <c r="AB18" i="40"/>
  <c r="AA18" i="40"/>
  <c r="Y18" i="40"/>
  <c r="X18" i="40"/>
  <c r="W18" i="40"/>
  <c r="T18" i="40"/>
  <c r="S18" i="40"/>
  <c r="R18" i="40"/>
  <c r="Q18" i="40"/>
  <c r="P18" i="40"/>
  <c r="O18" i="40"/>
  <c r="N18" i="40"/>
  <c r="AC17" i="40"/>
  <c r="AB17" i="40"/>
  <c r="AA17" i="40"/>
  <c r="Y17" i="40"/>
  <c r="X17" i="40"/>
  <c r="W17" i="40"/>
  <c r="T17" i="40"/>
  <c r="S17" i="40"/>
  <c r="R17" i="40"/>
  <c r="Q17" i="40"/>
  <c r="P17" i="40"/>
  <c r="O17" i="40"/>
  <c r="N17" i="40"/>
  <c r="AC16" i="40"/>
  <c r="AB16" i="40"/>
  <c r="AA16" i="40"/>
  <c r="Y16" i="40"/>
  <c r="X16" i="40"/>
  <c r="W16" i="40"/>
  <c r="T16" i="40"/>
  <c r="S16" i="40"/>
  <c r="R16" i="40"/>
  <c r="Q16" i="40"/>
  <c r="P16" i="40"/>
  <c r="O16" i="40"/>
  <c r="N16" i="40"/>
  <c r="AC15" i="40"/>
  <c r="AB15" i="40"/>
  <c r="AA15" i="40"/>
  <c r="Y15" i="40"/>
  <c r="X15" i="40"/>
  <c r="W15" i="40"/>
  <c r="T15" i="40"/>
  <c r="S15" i="40"/>
  <c r="R15" i="40"/>
  <c r="Q15" i="40"/>
  <c r="P15" i="40"/>
  <c r="O15" i="40"/>
  <c r="N15" i="40"/>
  <c r="AC14" i="40"/>
  <c r="AB14" i="40"/>
  <c r="AA14" i="40"/>
  <c r="Y14" i="40"/>
  <c r="X14" i="40"/>
  <c r="W14" i="40"/>
  <c r="T14" i="40"/>
  <c r="S14" i="40"/>
  <c r="R14" i="40"/>
  <c r="Q14" i="40"/>
  <c r="P14" i="40"/>
  <c r="O14" i="40"/>
  <c r="N14" i="40"/>
  <c r="AC13" i="40"/>
  <c r="AB13" i="40"/>
  <c r="AA13" i="40"/>
  <c r="Y13" i="40"/>
  <c r="X13" i="40"/>
  <c r="W13" i="40"/>
  <c r="T13" i="40"/>
  <c r="S13" i="40"/>
  <c r="R13" i="40"/>
  <c r="Q13" i="40"/>
  <c r="P13" i="40"/>
  <c r="O13" i="40"/>
  <c r="N13" i="40"/>
  <c r="AC12" i="40"/>
  <c r="AB12" i="40"/>
  <c r="AA12" i="40"/>
  <c r="Y12" i="40"/>
  <c r="X12" i="40"/>
  <c r="W12" i="40"/>
  <c r="T12" i="40"/>
  <c r="S12" i="40"/>
  <c r="R12" i="40"/>
  <c r="Q12" i="40"/>
  <c r="P12" i="40"/>
  <c r="O12" i="40"/>
  <c r="N12" i="40"/>
  <c r="AC11" i="40"/>
  <c r="AB11" i="40"/>
  <c r="AA11" i="40"/>
  <c r="Y11" i="40"/>
  <c r="X11" i="40"/>
  <c r="W11" i="40"/>
  <c r="T11" i="40"/>
  <c r="S11" i="40"/>
  <c r="R11" i="40"/>
  <c r="Q11" i="40"/>
  <c r="P11" i="40"/>
  <c r="O11" i="40"/>
  <c r="N11" i="40"/>
  <c r="AC10" i="40"/>
  <c r="AB10" i="40"/>
  <c r="AA10" i="40"/>
  <c r="Y10" i="40"/>
  <c r="X10" i="40"/>
  <c r="W10" i="40"/>
  <c r="S10" i="40"/>
  <c r="R10" i="40"/>
  <c r="Q10" i="40"/>
  <c r="P10" i="40"/>
  <c r="O10" i="40"/>
  <c r="N10" i="40"/>
  <c r="AC9" i="40"/>
  <c r="AB9" i="40"/>
  <c r="AA9" i="40"/>
  <c r="Y9" i="40"/>
  <c r="X9" i="40"/>
  <c r="W9" i="40"/>
  <c r="S9" i="40"/>
  <c r="R9" i="40"/>
  <c r="Q9" i="40"/>
  <c r="P9" i="40"/>
  <c r="O9" i="40"/>
  <c r="N9" i="40"/>
  <c r="AC8" i="40"/>
  <c r="AB8" i="40"/>
  <c r="AA8" i="40"/>
  <c r="Y8" i="40"/>
  <c r="X8" i="40"/>
  <c r="W8" i="40"/>
  <c r="S8" i="40"/>
  <c r="R8" i="40"/>
  <c r="Q8" i="40"/>
  <c r="P8" i="40"/>
  <c r="O8" i="40"/>
  <c r="N8" i="40"/>
  <c r="AC7" i="40"/>
  <c r="AB7" i="40"/>
  <c r="AA7" i="40"/>
  <c r="Y7" i="40"/>
  <c r="X7" i="40"/>
  <c r="W7" i="40"/>
  <c r="S7" i="40"/>
  <c r="R7" i="40"/>
  <c r="Q7" i="40"/>
  <c r="P7" i="40"/>
  <c r="O7" i="40"/>
  <c r="N7" i="40"/>
  <c r="AC6" i="40"/>
  <c r="AB6" i="40"/>
  <c r="AA6" i="40"/>
  <c r="Y6" i="40"/>
  <c r="X6" i="40"/>
  <c r="W6" i="40"/>
  <c r="S6" i="40"/>
  <c r="R6" i="40"/>
  <c r="Q6" i="40"/>
  <c r="P6" i="40"/>
  <c r="O6" i="40"/>
  <c r="N6" i="40"/>
  <c r="AC5" i="40"/>
  <c r="AB5" i="40"/>
  <c r="AA5" i="40"/>
  <c r="Y5" i="40"/>
  <c r="X5" i="40"/>
  <c r="W5" i="40"/>
  <c r="S5" i="40"/>
  <c r="R5" i="40"/>
  <c r="Q5" i="40"/>
  <c r="P5" i="40"/>
  <c r="O5" i="40"/>
  <c r="N5" i="40"/>
  <c r="F335" i="8"/>
  <c r="A335" i="8" s="1"/>
  <c r="F334" i="8"/>
  <c r="A334" i="8" s="1"/>
  <c r="F333" i="8"/>
  <c r="A333" i="8" s="1"/>
  <c r="F332" i="8"/>
  <c r="A332" i="8" s="1"/>
  <c r="F331" i="8"/>
  <c r="A331" i="8" s="1"/>
  <c r="F330" i="8"/>
  <c r="A330" i="8" s="1"/>
  <c r="F329" i="8"/>
  <c r="A329" i="8" s="1"/>
  <c r="F328" i="8"/>
  <c r="A328" i="8" s="1"/>
  <c r="F327" i="8"/>
  <c r="A327" i="8" s="1"/>
  <c r="F326" i="8"/>
  <c r="A326" i="8" s="1"/>
  <c r="F325" i="8"/>
  <c r="A325" i="8" s="1"/>
  <c r="F324" i="8"/>
  <c r="A324" i="8" s="1"/>
  <c r="F323" i="8"/>
  <c r="A323" i="8" s="1"/>
  <c r="F322" i="8"/>
  <c r="A322" i="8" s="1"/>
  <c r="F321" i="8"/>
  <c r="A321" i="8" s="1"/>
  <c r="F320" i="8"/>
  <c r="A320" i="8" s="1"/>
  <c r="F319" i="8"/>
  <c r="A319" i="8" s="1"/>
  <c r="F318" i="8"/>
  <c r="A318" i="8" s="1"/>
  <c r="F317" i="8"/>
  <c r="A317" i="8" s="1"/>
  <c r="F316" i="8"/>
  <c r="A316" i="8" s="1"/>
  <c r="F315" i="8"/>
  <c r="A315" i="8" s="1"/>
  <c r="F314" i="8"/>
  <c r="A314" i="8" s="1"/>
  <c r="F313" i="8"/>
  <c r="A313" i="8" s="1"/>
  <c r="F312" i="8"/>
  <c r="A312" i="8" s="1"/>
  <c r="F311" i="8"/>
  <c r="A311" i="8" s="1"/>
  <c r="F310" i="8"/>
  <c r="A310" i="8" s="1"/>
  <c r="F309" i="8"/>
  <c r="A309" i="8" s="1"/>
  <c r="F308" i="8"/>
  <c r="A308" i="8" s="1"/>
  <c r="F307" i="8"/>
  <c r="A307" i="8" s="1"/>
  <c r="F306" i="8"/>
  <c r="A306" i="8" s="1"/>
  <c r="F305" i="8"/>
  <c r="A305" i="8" s="1"/>
  <c r="F304" i="8"/>
  <c r="A304" i="8" s="1"/>
  <c r="F303" i="8"/>
  <c r="A303" i="8" s="1"/>
  <c r="F302" i="8"/>
  <c r="A302" i="8" s="1"/>
  <c r="F301" i="8"/>
  <c r="A301" i="8" s="1"/>
  <c r="F300" i="8"/>
  <c r="A300" i="8" s="1"/>
  <c r="F299" i="8"/>
  <c r="A299" i="8" s="1"/>
  <c r="F298" i="8"/>
  <c r="A298" i="8" s="1"/>
  <c r="F297" i="8"/>
  <c r="A297" i="8" s="1"/>
  <c r="F296" i="8"/>
  <c r="A296" i="8" s="1"/>
  <c r="F295" i="8"/>
  <c r="A295" i="8" s="1"/>
  <c r="F294" i="8"/>
  <c r="A294" i="8" s="1"/>
  <c r="F293" i="8"/>
  <c r="A293" i="8" s="1"/>
  <c r="F292" i="8"/>
  <c r="A292" i="8" s="1"/>
  <c r="F291" i="8"/>
  <c r="A291" i="8" s="1"/>
  <c r="F290" i="8"/>
  <c r="A290" i="8" s="1"/>
  <c r="F289" i="8"/>
  <c r="A289" i="8" s="1"/>
  <c r="F288" i="8"/>
  <c r="A288" i="8" s="1"/>
  <c r="F287" i="8"/>
  <c r="A287" i="8" s="1"/>
  <c r="F286" i="8"/>
  <c r="A286" i="8" s="1"/>
  <c r="F285" i="8"/>
  <c r="A285" i="8" s="1"/>
  <c r="F284" i="8"/>
  <c r="A284" i="8" s="1"/>
  <c r="F283" i="8"/>
  <c r="A283" i="8" s="1"/>
  <c r="F282" i="8"/>
  <c r="A282" i="8" s="1"/>
  <c r="F281" i="8"/>
  <c r="A281" i="8" s="1"/>
  <c r="F280" i="8"/>
  <c r="A280" i="8" s="1"/>
  <c r="F279" i="8"/>
  <c r="A279" i="8" s="1"/>
  <c r="F278" i="8"/>
  <c r="A278" i="8" s="1"/>
  <c r="F277" i="8"/>
  <c r="A277" i="8" s="1"/>
  <c r="F276" i="8"/>
  <c r="A276" i="8" s="1"/>
  <c r="F275" i="8"/>
  <c r="A275" i="8" s="1"/>
  <c r="F274" i="8"/>
  <c r="A274" i="8" s="1"/>
  <c r="F273" i="8"/>
  <c r="A273" i="8" s="1"/>
  <c r="F272" i="8"/>
  <c r="A272" i="8" s="1"/>
  <c r="F271" i="8"/>
  <c r="A271" i="8" s="1"/>
  <c r="F270" i="8"/>
  <c r="A270" i="8" s="1"/>
  <c r="F269" i="8"/>
  <c r="A269" i="8" s="1"/>
  <c r="F268" i="8"/>
  <c r="A268" i="8" s="1"/>
  <c r="F267" i="8"/>
  <c r="A267" i="8" s="1"/>
  <c r="F266" i="8"/>
  <c r="A266" i="8" s="1"/>
  <c r="F265" i="8"/>
  <c r="A265" i="8" s="1"/>
  <c r="F264" i="8"/>
  <c r="A264" i="8" s="1"/>
  <c r="F263" i="8"/>
  <c r="A263" i="8" s="1"/>
  <c r="F262" i="8"/>
  <c r="A262" i="8" s="1"/>
  <c r="F261" i="8"/>
  <c r="A261" i="8" s="1"/>
  <c r="F260" i="8"/>
  <c r="A260" i="8" s="1"/>
  <c r="F259" i="8"/>
  <c r="A259" i="8" s="1"/>
  <c r="F258" i="8"/>
  <c r="A258" i="8" s="1"/>
  <c r="F257" i="8"/>
  <c r="A257" i="8" s="1"/>
  <c r="F256" i="8"/>
  <c r="A256" i="8" s="1"/>
  <c r="F255" i="8"/>
  <c r="A255" i="8" s="1"/>
  <c r="F254" i="8"/>
  <c r="A254" i="8" s="1"/>
  <c r="F253" i="8"/>
  <c r="A253" i="8" s="1"/>
  <c r="F252" i="8"/>
  <c r="A252" i="8" s="1"/>
  <c r="F251" i="8"/>
  <c r="A251" i="8" s="1"/>
  <c r="F250" i="8"/>
  <c r="A250" i="8" s="1"/>
  <c r="F249" i="8"/>
  <c r="A249" i="8" s="1"/>
  <c r="F248" i="8"/>
  <c r="A248" i="8" s="1"/>
  <c r="F247" i="8"/>
  <c r="A247" i="8" s="1"/>
  <c r="F246" i="8"/>
  <c r="A246" i="8" s="1"/>
  <c r="F245" i="8"/>
  <c r="A245" i="8" s="1"/>
  <c r="F244" i="8"/>
  <c r="A244" i="8" s="1"/>
  <c r="F243" i="8"/>
  <c r="A243" i="8" s="1"/>
  <c r="F242" i="8"/>
  <c r="A242" i="8" s="1"/>
  <c r="F241" i="8"/>
  <c r="A241" i="8" s="1"/>
  <c r="F240" i="8"/>
  <c r="A240" i="8" s="1"/>
  <c r="F239" i="8"/>
  <c r="A239" i="8" s="1"/>
  <c r="F238" i="8"/>
  <c r="A238" i="8" s="1"/>
  <c r="F237" i="8"/>
  <c r="A237" i="8" s="1"/>
  <c r="F236" i="8"/>
  <c r="A236" i="8" s="1"/>
  <c r="F235" i="8"/>
  <c r="A235" i="8" s="1"/>
  <c r="F234" i="8"/>
  <c r="A234" i="8" s="1"/>
  <c r="F233" i="8"/>
  <c r="A233" i="8" s="1"/>
  <c r="F232" i="8"/>
  <c r="A232" i="8" s="1"/>
  <c r="F231" i="8"/>
  <c r="A231" i="8" s="1"/>
  <c r="F230" i="8"/>
  <c r="A230" i="8" s="1"/>
  <c r="F229" i="8"/>
  <c r="A229" i="8" s="1"/>
  <c r="F228" i="8"/>
  <c r="A228" i="8" s="1"/>
  <c r="F227" i="8"/>
  <c r="A227" i="8" s="1"/>
  <c r="F226" i="8"/>
  <c r="A226" i="8" s="1"/>
  <c r="F225" i="8"/>
  <c r="A225" i="8" s="1"/>
  <c r="F224" i="8"/>
  <c r="A224" i="8" s="1"/>
  <c r="F223" i="8"/>
  <c r="A223" i="8" s="1"/>
  <c r="F222" i="8"/>
  <c r="A222" i="8" s="1"/>
  <c r="F221" i="8"/>
  <c r="A221" i="8" s="1"/>
  <c r="F220" i="8"/>
  <c r="A220" i="8" s="1"/>
  <c r="F219" i="8"/>
  <c r="A219" i="8" s="1"/>
  <c r="F218" i="8"/>
  <c r="A218" i="8" s="1"/>
  <c r="F217" i="8"/>
  <c r="A217" i="8" s="1"/>
  <c r="F216" i="8"/>
  <c r="A216" i="8" s="1"/>
  <c r="F215" i="8"/>
  <c r="A215" i="8" s="1"/>
  <c r="F214" i="8"/>
  <c r="A214" i="8" s="1"/>
  <c r="F213" i="8"/>
  <c r="A213" i="8" s="1"/>
  <c r="F212" i="8"/>
  <c r="A212" i="8" s="1"/>
  <c r="F211" i="8"/>
  <c r="A211" i="8" s="1"/>
  <c r="F210" i="8"/>
  <c r="A210" i="8" s="1"/>
  <c r="F209" i="8"/>
  <c r="A209" i="8" s="1"/>
  <c r="F208" i="8"/>
  <c r="A208" i="8" s="1"/>
  <c r="F207" i="8"/>
  <c r="A207" i="8" s="1"/>
  <c r="F206" i="8"/>
  <c r="A206" i="8" s="1"/>
  <c r="F205" i="8"/>
  <c r="A205" i="8" s="1"/>
  <c r="F204" i="8"/>
  <c r="A204" i="8" s="1"/>
  <c r="F203" i="8"/>
  <c r="A203" i="8" s="1"/>
  <c r="F202" i="8"/>
  <c r="A202" i="8" s="1"/>
  <c r="F201" i="8"/>
  <c r="A201" i="8" s="1"/>
  <c r="F200" i="8"/>
  <c r="A200" i="8" s="1"/>
  <c r="F199" i="8"/>
  <c r="A199" i="8" s="1"/>
  <c r="F198" i="8"/>
  <c r="A198" i="8" s="1"/>
  <c r="F197" i="8"/>
  <c r="A197" i="8" s="1"/>
  <c r="F196" i="8"/>
  <c r="A196" i="8" s="1"/>
  <c r="F195" i="8"/>
  <c r="A195" i="8" s="1"/>
  <c r="F194" i="8"/>
  <c r="A194" i="8" s="1"/>
  <c r="F193" i="8"/>
  <c r="A193" i="8" s="1"/>
  <c r="F192" i="8"/>
  <c r="A192" i="8" s="1"/>
  <c r="F191" i="8"/>
  <c r="A191" i="8" s="1"/>
  <c r="F190" i="8"/>
  <c r="A190" i="8" s="1"/>
  <c r="F189" i="8"/>
  <c r="A189" i="8" s="1"/>
  <c r="F188" i="8"/>
  <c r="A188" i="8" s="1"/>
  <c r="F187" i="8"/>
  <c r="A187" i="8" s="1"/>
  <c r="F186" i="8"/>
  <c r="A186" i="8" s="1"/>
  <c r="F185" i="8"/>
  <c r="A185" i="8" s="1"/>
  <c r="F184" i="8"/>
  <c r="A184" i="8" s="1"/>
  <c r="F183" i="8"/>
  <c r="A183" i="8" s="1"/>
  <c r="F182" i="8"/>
  <c r="A182" i="8" s="1"/>
  <c r="F181" i="8"/>
  <c r="A181" i="8" s="1"/>
  <c r="F180" i="8"/>
  <c r="A180" i="8" s="1"/>
  <c r="F179" i="8"/>
  <c r="A179" i="8" s="1"/>
  <c r="F178" i="8"/>
  <c r="A178" i="8" s="1"/>
  <c r="F177" i="8"/>
  <c r="A177" i="8" s="1"/>
  <c r="F176" i="8"/>
  <c r="A176" i="8" s="1"/>
  <c r="F175" i="8"/>
  <c r="A175" i="8" s="1"/>
  <c r="F174" i="8"/>
  <c r="A174" i="8" s="1"/>
  <c r="F173" i="8"/>
  <c r="A173" i="8" s="1"/>
  <c r="F172" i="8"/>
  <c r="A172" i="8" s="1"/>
  <c r="F171" i="8"/>
  <c r="A171" i="8" s="1"/>
  <c r="F170" i="8"/>
  <c r="A170" i="8" s="1"/>
  <c r="F169" i="8"/>
  <c r="A169" i="8" s="1"/>
  <c r="F168" i="8"/>
  <c r="A168" i="8" s="1"/>
  <c r="F167" i="8"/>
  <c r="A167" i="8" s="1"/>
  <c r="F166" i="8"/>
  <c r="A166" i="8" s="1"/>
  <c r="F165" i="8"/>
  <c r="A165" i="8" s="1"/>
  <c r="F164" i="8"/>
  <c r="A164" i="8" s="1"/>
  <c r="F163" i="8"/>
  <c r="A163" i="8" s="1"/>
  <c r="F162" i="8"/>
  <c r="A162" i="8" s="1"/>
  <c r="F161" i="8"/>
  <c r="A161" i="8" s="1"/>
  <c r="F160" i="8"/>
  <c r="A160" i="8" s="1"/>
  <c r="F159" i="8"/>
  <c r="A159" i="8" s="1"/>
  <c r="F158" i="8"/>
  <c r="A158" i="8" s="1"/>
  <c r="F157" i="8"/>
  <c r="A157" i="8" s="1"/>
  <c r="F156" i="8"/>
  <c r="A156" i="8" s="1"/>
  <c r="F155" i="8"/>
  <c r="A155" i="8" s="1"/>
  <c r="F154" i="8"/>
  <c r="A154" i="8" s="1"/>
  <c r="F153" i="8"/>
  <c r="A153" i="8" s="1"/>
  <c r="F152" i="8"/>
  <c r="A152" i="8" s="1"/>
  <c r="F151" i="8"/>
  <c r="A151" i="8" s="1"/>
  <c r="F150" i="8"/>
  <c r="A150" i="8" s="1"/>
  <c r="F149" i="8"/>
  <c r="A149" i="8" s="1"/>
  <c r="F148" i="8"/>
  <c r="A148" i="8" s="1"/>
  <c r="F147" i="8"/>
  <c r="A147" i="8" s="1"/>
  <c r="F146" i="8"/>
  <c r="A146" i="8" s="1"/>
  <c r="F145" i="8"/>
  <c r="A145" i="8" s="1"/>
  <c r="F144" i="8"/>
  <c r="A144" i="8" s="1"/>
  <c r="F143" i="8"/>
  <c r="A143" i="8" s="1"/>
  <c r="F142" i="8"/>
  <c r="A142" i="8" s="1"/>
  <c r="F141" i="8"/>
  <c r="A141" i="8" s="1"/>
  <c r="F140" i="8"/>
  <c r="A140" i="8" s="1"/>
  <c r="F139" i="8"/>
  <c r="A139" i="8" s="1"/>
  <c r="F138" i="8"/>
  <c r="A138" i="8" s="1"/>
  <c r="F137" i="8"/>
  <c r="A137" i="8" s="1"/>
  <c r="F136" i="8"/>
  <c r="A136" i="8" s="1"/>
  <c r="F135" i="8"/>
  <c r="A135" i="8" s="1"/>
  <c r="F134" i="8"/>
  <c r="A134" i="8" s="1"/>
  <c r="F133" i="8"/>
  <c r="A133" i="8" s="1"/>
  <c r="F132" i="8"/>
  <c r="A132" i="8" s="1"/>
  <c r="F131" i="8"/>
  <c r="A131" i="8" s="1"/>
  <c r="F130" i="8"/>
  <c r="A130" i="8" s="1"/>
  <c r="F129" i="8"/>
  <c r="A129" i="8" s="1"/>
  <c r="F128" i="8"/>
  <c r="A128" i="8" s="1"/>
  <c r="F127" i="8"/>
  <c r="A127" i="8" s="1"/>
  <c r="F126" i="8"/>
  <c r="A126" i="8" s="1"/>
  <c r="F125" i="8"/>
  <c r="A125" i="8" s="1"/>
  <c r="F124" i="8"/>
  <c r="A124" i="8" s="1"/>
  <c r="F123" i="8"/>
  <c r="A123" i="8" s="1"/>
  <c r="F122" i="8"/>
  <c r="A122" i="8" s="1"/>
  <c r="F121" i="8"/>
  <c r="A121" i="8" s="1"/>
  <c r="F120" i="8"/>
  <c r="A120" i="8" s="1"/>
  <c r="F119" i="8"/>
  <c r="A119" i="8" s="1"/>
  <c r="F118" i="8"/>
  <c r="A118" i="8" s="1"/>
  <c r="F117" i="8"/>
  <c r="A117" i="8" s="1"/>
  <c r="F116" i="8"/>
  <c r="A116" i="8" s="1"/>
  <c r="F115" i="8"/>
  <c r="A115" i="8" s="1"/>
  <c r="F114" i="8"/>
  <c r="A114" i="8" s="1"/>
  <c r="F113" i="8"/>
  <c r="A113" i="8" s="1"/>
  <c r="F112" i="8"/>
  <c r="A112" i="8" s="1"/>
  <c r="F111" i="8"/>
  <c r="A111" i="8" s="1"/>
  <c r="F110" i="8"/>
  <c r="A110" i="8" s="1"/>
  <c r="F109" i="8"/>
  <c r="A109" i="8" s="1"/>
  <c r="F108" i="8"/>
  <c r="A108" i="8" s="1"/>
  <c r="F107" i="8"/>
  <c r="A107" i="8" s="1"/>
  <c r="F106" i="8"/>
  <c r="A106" i="8" s="1"/>
  <c r="F105" i="8"/>
  <c r="A105" i="8" s="1"/>
  <c r="F104" i="8"/>
  <c r="A104" i="8" s="1"/>
  <c r="F103" i="8"/>
  <c r="A103" i="8" s="1"/>
  <c r="F102" i="8"/>
  <c r="A102" i="8" s="1"/>
  <c r="F101" i="8"/>
  <c r="A101" i="8" s="1"/>
  <c r="F100" i="8"/>
  <c r="A100" i="8" s="1"/>
  <c r="F99" i="8"/>
  <c r="A99" i="8" s="1"/>
  <c r="F98" i="8"/>
  <c r="A98" i="8" s="1"/>
  <c r="F97" i="8"/>
  <c r="A97" i="8" s="1"/>
  <c r="F96" i="8"/>
  <c r="A96" i="8" s="1"/>
  <c r="F95" i="8"/>
  <c r="A95" i="8" s="1"/>
  <c r="F94" i="8"/>
  <c r="A94" i="8" s="1"/>
  <c r="F93" i="8"/>
  <c r="A93" i="8" s="1"/>
  <c r="F92" i="8"/>
  <c r="A92" i="8" s="1"/>
  <c r="F91" i="8"/>
  <c r="A91" i="8" s="1"/>
  <c r="F90" i="8"/>
  <c r="A90" i="8" s="1"/>
  <c r="F89" i="8"/>
  <c r="A89" i="8" s="1"/>
  <c r="F88" i="8"/>
  <c r="A88" i="8" s="1"/>
  <c r="F87" i="8"/>
  <c r="A87" i="8" s="1"/>
  <c r="F86" i="8"/>
  <c r="A86" i="8" s="1"/>
  <c r="F85" i="8"/>
  <c r="A85" i="8" s="1"/>
  <c r="F84" i="8"/>
  <c r="A84" i="8" s="1"/>
  <c r="F83" i="8"/>
  <c r="A83" i="8" s="1"/>
  <c r="F82" i="8"/>
  <c r="A82" i="8" s="1"/>
  <c r="F81" i="8"/>
  <c r="A81" i="8" s="1"/>
  <c r="F80" i="8"/>
  <c r="A80" i="8" s="1"/>
  <c r="F79" i="8"/>
  <c r="A79" i="8" s="1"/>
  <c r="F78" i="8"/>
  <c r="A78" i="8" s="1"/>
  <c r="F77" i="8"/>
  <c r="A77" i="8" s="1"/>
  <c r="F76" i="8"/>
  <c r="A76" i="8" s="1"/>
  <c r="F75" i="8"/>
  <c r="A75" i="8" s="1"/>
  <c r="F74" i="8"/>
  <c r="A74" i="8" s="1"/>
  <c r="F73" i="8"/>
  <c r="A73" i="8" s="1"/>
  <c r="F72" i="8"/>
  <c r="A72" i="8" s="1"/>
  <c r="F71" i="8"/>
  <c r="A71" i="8" s="1"/>
  <c r="F70" i="8"/>
  <c r="A70" i="8" s="1"/>
  <c r="F69" i="8"/>
  <c r="A69" i="8" s="1"/>
  <c r="F68" i="8"/>
  <c r="A68" i="8" s="1"/>
  <c r="F67" i="8"/>
  <c r="A67" i="8" s="1"/>
  <c r="F66" i="8"/>
  <c r="A66" i="8" s="1"/>
  <c r="F65" i="8"/>
  <c r="A65" i="8" s="1"/>
  <c r="F64" i="8"/>
  <c r="A64" i="8" s="1"/>
  <c r="F63" i="8"/>
  <c r="A63" i="8" s="1"/>
  <c r="F62" i="8"/>
  <c r="A62" i="8" s="1"/>
  <c r="F61" i="8"/>
  <c r="A61" i="8" s="1"/>
  <c r="F60" i="8"/>
  <c r="A60" i="8" s="1"/>
  <c r="F59" i="8"/>
  <c r="A59" i="8" s="1"/>
  <c r="F58" i="8"/>
  <c r="A58" i="8" s="1"/>
  <c r="F57" i="8"/>
  <c r="A57" i="8" s="1"/>
  <c r="F56" i="8"/>
  <c r="A56" i="8" s="1"/>
  <c r="F55" i="8"/>
  <c r="A55" i="8" s="1"/>
  <c r="F54" i="8"/>
  <c r="A54" i="8" s="1"/>
  <c r="F53" i="8"/>
  <c r="A53" i="8" s="1"/>
  <c r="F52" i="8"/>
  <c r="A52" i="8" s="1"/>
  <c r="F51" i="8"/>
  <c r="A51" i="8" s="1"/>
  <c r="F50" i="8"/>
  <c r="A50" i="8" s="1"/>
  <c r="F49" i="8"/>
  <c r="A49" i="8" s="1"/>
  <c r="F48" i="8"/>
  <c r="A48" i="8" s="1"/>
  <c r="F47" i="8"/>
  <c r="A47" i="8" s="1"/>
  <c r="F46" i="8"/>
  <c r="A46" i="8" s="1"/>
  <c r="F45" i="8"/>
  <c r="A45" i="8" s="1"/>
  <c r="F44" i="8"/>
  <c r="A44" i="8" s="1"/>
  <c r="F43" i="8"/>
  <c r="A43" i="8" s="1"/>
  <c r="F42" i="8"/>
  <c r="A42" i="8" s="1"/>
  <c r="F41" i="8"/>
  <c r="A41" i="8" s="1"/>
  <c r="F40" i="8"/>
  <c r="A40" i="8" s="1"/>
  <c r="F39" i="8"/>
  <c r="A39" i="8" s="1"/>
  <c r="F38" i="8"/>
  <c r="A38" i="8" s="1"/>
  <c r="F37" i="8"/>
  <c r="A37" i="8" s="1"/>
  <c r="F36" i="8"/>
  <c r="A36" i="8" s="1"/>
  <c r="F35" i="8"/>
  <c r="A35" i="8" s="1"/>
  <c r="F34" i="8"/>
  <c r="A34" i="8" s="1"/>
  <c r="F33" i="8"/>
  <c r="A33" i="8" s="1"/>
  <c r="F32" i="8"/>
  <c r="A32" i="8" s="1"/>
  <c r="F31" i="8"/>
  <c r="A31" i="8" s="1"/>
  <c r="F30" i="8"/>
  <c r="A30" i="8" s="1"/>
  <c r="F29" i="8"/>
  <c r="A29" i="8" s="1"/>
  <c r="F28" i="8"/>
  <c r="A28" i="8" s="1"/>
  <c r="F27" i="8"/>
  <c r="A27" i="8" s="1"/>
  <c r="F26" i="8"/>
  <c r="A26" i="8" s="1"/>
  <c r="F25" i="8"/>
  <c r="A25" i="8" s="1"/>
  <c r="F24" i="8"/>
  <c r="A24" i="8" s="1"/>
  <c r="F23" i="8"/>
  <c r="A23" i="8" s="1"/>
  <c r="F22" i="8"/>
  <c r="A22" i="8" s="1"/>
  <c r="F21" i="8"/>
  <c r="A21" i="8" s="1"/>
  <c r="F20" i="8"/>
  <c r="A20" i="8" s="1"/>
  <c r="F19" i="8"/>
  <c r="A19" i="8" s="1"/>
  <c r="F18" i="8"/>
  <c r="A18" i="8" s="1"/>
  <c r="F17" i="8"/>
  <c r="A17" i="8" s="1"/>
  <c r="F16" i="8"/>
  <c r="A16" i="8" s="1"/>
  <c r="F15" i="8"/>
  <c r="A15" i="8" s="1"/>
  <c r="F14" i="8"/>
  <c r="A14" i="8" s="1"/>
  <c r="F13" i="8"/>
  <c r="A13" i="8" s="1"/>
  <c r="F12" i="8"/>
  <c r="A12" i="8" s="1"/>
  <c r="F11" i="8"/>
  <c r="A11" i="8" s="1"/>
  <c r="F10" i="8"/>
  <c r="A10" i="8" s="1"/>
  <c r="F9" i="8"/>
  <c r="A9" i="8" s="1"/>
  <c r="F8" i="8"/>
  <c r="A8" i="8" s="1"/>
  <c r="F7" i="8"/>
  <c r="A7" i="8" s="1"/>
  <c r="F6" i="8"/>
  <c r="A6" i="8" s="1"/>
  <c r="F5" i="8"/>
  <c r="A5" i="8" s="1"/>
  <c r="F4" i="8"/>
  <c r="A4" i="8" s="1"/>
  <c r="F3" i="8"/>
  <c r="A3" i="8" s="1"/>
  <c r="F2" i="8"/>
  <c r="A2" i="8" s="1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60" i="30"/>
  <c r="X61" i="30"/>
  <c r="X62" i="30"/>
  <c r="X63" i="30"/>
  <c r="X64" i="30"/>
  <c r="X65" i="30"/>
  <c r="X66" i="30"/>
  <c r="X67" i="30"/>
  <c r="X68" i="30"/>
  <c r="X69" i="30"/>
  <c r="X70" i="30"/>
  <c r="X71" i="30"/>
  <c r="X72" i="30"/>
  <c r="X73" i="30"/>
  <c r="X74" i="30"/>
  <c r="X75" i="30"/>
  <c r="X76" i="30"/>
  <c r="X77" i="30"/>
  <c r="X78" i="30"/>
  <c r="X79" i="30"/>
  <c r="X80" i="30"/>
  <c r="X81" i="30"/>
  <c r="X82" i="30"/>
  <c r="X83" i="30"/>
  <c r="X84" i="30"/>
  <c r="X85" i="30"/>
  <c r="X86" i="30"/>
  <c r="X87" i="30"/>
  <c r="X88" i="30"/>
  <c r="X89" i="30"/>
  <c r="X90" i="30"/>
  <c r="X91" i="30"/>
  <c r="X92" i="30"/>
  <c r="X93" i="30"/>
  <c r="X94" i="30"/>
  <c r="X95" i="30"/>
  <c r="X96" i="30"/>
  <c r="X97" i="30"/>
  <c r="X98" i="30"/>
  <c r="X99" i="30"/>
  <c r="X100" i="30"/>
  <c r="X101" i="30"/>
  <c r="X102" i="30"/>
  <c r="X103" i="30"/>
  <c r="X104" i="30"/>
  <c r="X105" i="30"/>
  <c r="X106" i="30"/>
  <c r="X107" i="30"/>
  <c r="X108" i="30"/>
  <c r="X109" i="30"/>
  <c r="X110" i="30"/>
  <c r="X111" i="30"/>
  <c r="X112" i="30"/>
  <c r="X113" i="30"/>
  <c r="X114" i="30"/>
  <c r="X115" i="30"/>
  <c r="X116" i="30"/>
  <c r="X117" i="30"/>
  <c r="X118" i="30"/>
  <c r="X119" i="30"/>
  <c r="X120" i="30"/>
  <c r="X121" i="30"/>
  <c r="X122" i="30"/>
  <c r="X123" i="30"/>
  <c r="X124" i="30"/>
  <c r="X125" i="30"/>
  <c r="X126" i="30"/>
  <c r="X127" i="30"/>
  <c r="X128" i="30"/>
  <c r="X129" i="30"/>
  <c r="X130" i="30"/>
  <c r="X131" i="30"/>
  <c r="X132" i="30"/>
  <c r="X133" i="30"/>
  <c r="X134" i="30"/>
  <c r="X135" i="30"/>
  <c r="X136" i="30"/>
  <c r="X137" i="30"/>
  <c r="X138" i="30"/>
  <c r="X139" i="30"/>
  <c r="X140" i="30"/>
  <c r="X141" i="30"/>
  <c r="X142" i="30"/>
  <c r="X143" i="30"/>
  <c r="X144" i="30"/>
  <c r="X145" i="30"/>
  <c r="X146" i="30"/>
  <c r="X147" i="30"/>
  <c r="X148" i="30"/>
  <c r="X149" i="30"/>
  <c r="X150" i="30"/>
  <c r="X151" i="30"/>
  <c r="X152" i="30"/>
  <c r="X153" i="30"/>
  <c r="X154" i="30"/>
  <c r="X155" i="30"/>
  <c r="X156" i="30"/>
  <c r="X157" i="30"/>
  <c r="X158" i="30"/>
  <c r="X159" i="30"/>
  <c r="X160" i="30"/>
  <c r="X161" i="30"/>
  <c r="X162" i="30"/>
  <c r="X163" i="30"/>
  <c r="X164" i="30"/>
  <c r="X165" i="30"/>
  <c r="X166" i="30"/>
  <c r="X167" i="30"/>
  <c r="X168" i="30"/>
  <c r="X169" i="30"/>
  <c r="X170" i="30"/>
  <c r="X171" i="30"/>
  <c r="X172" i="30"/>
  <c r="X173" i="30"/>
  <c r="X174" i="30"/>
  <c r="X175" i="30"/>
  <c r="X176" i="30"/>
  <c r="X177" i="30"/>
  <c r="X178" i="30"/>
  <c r="X179" i="30"/>
  <c r="X180" i="30"/>
  <c r="X181" i="30"/>
  <c r="X182" i="30"/>
  <c r="X183" i="30"/>
  <c r="X184" i="30"/>
  <c r="X185" i="30"/>
  <c r="X186" i="30"/>
  <c r="X187" i="30"/>
  <c r="X188" i="30"/>
  <c r="X189" i="30"/>
  <c r="AC189" i="30"/>
  <c r="AC188" i="30"/>
  <c r="AC187" i="30"/>
  <c r="AC186" i="30"/>
  <c r="AC185" i="30"/>
  <c r="AC184" i="30"/>
  <c r="AC183" i="30"/>
  <c r="AC182" i="30"/>
  <c r="AC181" i="30"/>
  <c r="AC180" i="30"/>
  <c r="AC179" i="30"/>
  <c r="AC178" i="30"/>
  <c r="AC177" i="30"/>
  <c r="AC176" i="30"/>
  <c r="AC175" i="30"/>
  <c r="AC174" i="30"/>
  <c r="AC173" i="30"/>
  <c r="AC172" i="30"/>
  <c r="AC171" i="30"/>
  <c r="AC170" i="30"/>
  <c r="AC169" i="30"/>
  <c r="AC168" i="30"/>
  <c r="AC167" i="30"/>
  <c r="AC166" i="30"/>
  <c r="AC165" i="30"/>
  <c r="AC164" i="30"/>
  <c r="AC163" i="30"/>
  <c r="AC162" i="30"/>
  <c r="AC161" i="30"/>
  <c r="AC160" i="30"/>
  <c r="AC159" i="30"/>
  <c r="AC158" i="30"/>
  <c r="AC157" i="30"/>
  <c r="AC156" i="30"/>
  <c r="AC155" i="30"/>
  <c r="AC154" i="30"/>
  <c r="AC153" i="30"/>
  <c r="AC152" i="30"/>
  <c r="AC151" i="30"/>
  <c r="AC150" i="30"/>
  <c r="AC149" i="30"/>
  <c r="AC148" i="30"/>
  <c r="AC147" i="30"/>
  <c r="AC146" i="30"/>
  <c r="AC145" i="30"/>
  <c r="AC144" i="30"/>
  <c r="AC143" i="30"/>
  <c r="AC142" i="30"/>
  <c r="AC141" i="30"/>
  <c r="AC140" i="30"/>
  <c r="AC139" i="30"/>
  <c r="AC138" i="30"/>
  <c r="AC137" i="30"/>
  <c r="AC136" i="30"/>
  <c r="AC135" i="30"/>
  <c r="AC134" i="30"/>
  <c r="AC133" i="30"/>
  <c r="AC132" i="30"/>
  <c r="AC131" i="30"/>
  <c r="AC130" i="30"/>
  <c r="AC129" i="30"/>
  <c r="AC128" i="30"/>
  <c r="AC127" i="30"/>
  <c r="AC126" i="30"/>
  <c r="AC125" i="30"/>
  <c r="AC124" i="30"/>
  <c r="AC123" i="30"/>
  <c r="AC122" i="30"/>
  <c r="AC121" i="30"/>
  <c r="AC120" i="30"/>
  <c r="AC119" i="30"/>
  <c r="AC118" i="30"/>
  <c r="AC117" i="30"/>
  <c r="AC116" i="30"/>
  <c r="AC115" i="30"/>
  <c r="AC114" i="30"/>
  <c r="AC113" i="30"/>
  <c r="AC112" i="30"/>
  <c r="AC111" i="30"/>
  <c r="AC110" i="30"/>
  <c r="AC109" i="30"/>
  <c r="AC108" i="30"/>
  <c r="AC107" i="30"/>
  <c r="AC106" i="30"/>
  <c r="AC105" i="30"/>
  <c r="AC104" i="30"/>
  <c r="AC103" i="30"/>
  <c r="AC102" i="30"/>
  <c r="AC101" i="30"/>
  <c r="AC100" i="30"/>
  <c r="AC99" i="30"/>
  <c r="AC98" i="30"/>
  <c r="AC97" i="30"/>
  <c r="AC96" i="30"/>
  <c r="AC95" i="30"/>
  <c r="AC94" i="30"/>
  <c r="AC93" i="30"/>
  <c r="AC92" i="30"/>
  <c r="AC91" i="30"/>
  <c r="AC90" i="30"/>
  <c r="AC89" i="30"/>
  <c r="AC88" i="30"/>
  <c r="AC87" i="30"/>
  <c r="AC86" i="30"/>
  <c r="AC85" i="30"/>
  <c r="AC84" i="30"/>
  <c r="AC83" i="30"/>
  <c r="AC82" i="30"/>
  <c r="AC81" i="30"/>
  <c r="AC80" i="30"/>
  <c r="AC79" i="30"/>
  <c r="AC78" i="30"/>
  <c r="AC77" i="30"/>
  <c r="AC76" i="30"/>
  <c r="AC75" i="30"/>
  <c r="AC74" i="30"/>
  <c r="AC73" i="30"/>
  <c r="AC72" i="30"/>
  <c r="AC71" i="30"/>
  <c r="AC70" i="30"/>
  <c r="AC69" i="30"/>
  <c r="AC68" i="30"/>
  <c r="AC67" i="30"/>
  <c r="AC66" i="30"/>
  <c r="AC65" i="30"/>
  <c r="AC64" i="30"/>
  <c r="AC63" i="30"/>
  <c r="AC62" i="30"/>
  <c r="AC61" i="30"/>
  <c r="AC60" i="30"/>
  <c r="AC59" i="30"/>
  <c r="AC58" i="30"/>
  <c r="AC57" i="30"/>
  <c r="AC56" i="30"/>
  <c r="AC55" i="30"/>
  <c r="AC54" i="30"/>
  <c r="AC53" i="30"/>
  <c r="AC52" i="30"/>
  <c r="AC51" i="30"/>
  <c r="AC50" i="30"/>
  <c r="AC49" i="30"/>
  <c r="AC48" i="30"/>
  <c r="AC47" i="30"/>
  <c r="AC46" i="30"/>
  <c r="AC45" i="30"/>
  <c r="AC44" i="30"/>
  <c r="AC43" i="30"/>
  <c r="AC42" i="30"/>
  <c r="AC41" i="30"/>
  <c r="AC40" i="30"/>
  <c r="AC39" i="30"/>
  <c r="AC38" i="30"/>
  <c r="AC37" i="30"/>
  <c r="AC36" i="30"/>
  <c r="AC35" i="30"/>
  <c r="AC34" i="30"/>
  <c r="AC33" i="30"/>
  <c r="AC32" i="30"/>
  <c r="AC31" i="30"/>
  <c r="AC30" i="30"/>
  <c r="AC29" i="30"/>
  <c r="AC28" i="30"/>
  <c r="AC27" i="30"/>
  <c r="AC26" i="30"/>
  <c r="AC25" i="30"/>
  <c r="AC24" i="30"/>
  <c r="AC23" i="30"/>
  <c r="AC22" i="30"/>
  <c r="AC21" i="30"/>
  <c r="AC20" i="30"/>
  <c r="AC19" i="30"/>
  <c r="AC18" i="30"/>
  <c r="AC17" i="30"/>
  <c r="AC16" i="30"/>
  <c r="AC15" i="30"/>
  <c r="AC14" i="30"/>
  <c r="AC13" i="30"/>
  <c r="AC12" i="30"/>
  <c r="AC11" i="30"/>
  <c r="AC10" i="30"/>
  <c r="AC9" i="30"/>
  <c r="AC8" i="30"/>
  <c r="AC7" i="30"/>
  <c r="AC6" i="30"/>
  <c r="AC5" i="30"/>
  <c r="AB189" i="30"/>
  <c r="AB188" i="30"/>
  <c r="AB187" i="30"/>
  <c r="AB186" i="30"/>
  <c r="AB185" i="30"/>
  <c r="AB184" i="30"/>
  <c r="AB183" i="30"/>
  <c r="AB182" i="30"/>
  <c r="AB181" i="30"/>
  <c r="AB180" i="30"/>
  <c r="AB179" i="30"/>
  <c r="AB178" i="30"/>
  <c r="AB177" i="30"/>
  <c r="AB176" i="30"/>
  <c r="AB175" i="30"/>
  <c r="AB174" i="30"/>
  <c r="AB173" i="30"/>
  <c r="AB172" i="30"/>
  <c r="AB171" i="30"/>
  <c r="AB170" i="30"/>
  <c r="AB169" i="30"/>
  <c r="AB168" i="30"/>
  <c r="AB167" i="30"/>
  <c r="AB166" i="30"/>
  <c r="AB165" i="30"/>
  <c r="AB164" i="30"/>
  <c r="AB163" i="30"/>
  <c r="AB162" i="30"/>
  <c r="AB161" i="30"/>
  <c r="AB160" i="30"/>
  <c r="AB159" i="30"/>
  <c r="AB158" i="30"/>
  <c r="AB157" i="30"/>
  <c r="AB156" i="30"/>
  <c r="AB155" i="30"/>
  <c r="AB154" i="30"/>
  <c r="AB153" i="30"/>
  <c r="AB152" i="30"/>
  <c r="AB151" i="30"/>
  <c r="AB150" i="30"/>
  <c r="AB149" i="30"/>
  <c r="AB148" i="30"/>
  <c r="AB147" i="30"/>
  <c r="AB146" i="30"/>
  <c r="AB145" i="30"/>
  <c r="AB144" i="30"/>
  <c r="AB143" i="30"/>
  <c r="AB142" i="30"/>
  <c r="AB141" i="30"/>
  <c r="AB140" i="30"/>
  <c r="AB139" i="30"/>
  <c r="AB138" i="30"/>
  <c r="AB137" i="30"/>
  <c r="AB136" i="30"/>
  <c r="AB135" i="30"/>
  <c r="AB134" i="30"/>
  <c r="AB133" i="30"/>
  <c r="AB132" i="30"/>
  <c r="AB131" i="30"/>
  <c r="AB130" i="30"/>
  <c r="AB129" i="30"/>
  <c r="AB128" i="30"/>
  <c r="AB127" i="30"/>
  <c r="AB126" i="30"/>
  <c r="AB125" i="30"/>
  <c r="AB124" i="30"/>
  <c r="AB123" i="30"/>
  <c r="AB122" i="30"/>
  <c r="AB121" i="30"/>
  <c r="AB120" i="30"/>
  <c r="AB119" i="30"/>
  <c r="AB118" i="30"/>
  <c r="AB117" i="30"/>
  <c r="AB116" i="30"/>
  <c r="AB115" i="30"/>
  <c r="AB114" i="30"/>
  <c r="AB113" i="30"/>
  <c r="AB112" i="30"/>
  <c r="AB111" i="30"/>
  <c r="AB110" i="30"/>
  <c r="AB109" i="30"/>
  <c r="AB108" i="30"/>
  <c r="AB107" i="30"/>
  <c r="AB106" i="30"/>
  <c r="AB105" i="30"/>
  <c r="AB104" i="30"/>
  <c r="AB103" i="30"/>
  <c r="AB102" i="30"/>
  <c r="AB101" i="30"/>
  <c r="AB100" i="30"/>
  <c r="AB99" i="30"/>
  <c r="AB98" i="30"/>
  <c r="AB97" i="30"/>
  <c r="AB96" i="30"/>
  <c r="AB95" i="30"/>
  <c r="AB94" i="30"/>
  <c r="AB93" i="30"/>
  <c r="AB92" i="30"/>
  <c r="AB91" i="30"/>
  <c r="AB90" i="30"/>
  <c r="AB89" i="30"/>
  <c r="AB88" i="30"/>
  <c r="AB87" i="30"/>
  <c r="AB86" i="30"/>
  <c r="AB85" i="30"/>
  <c r="AB84" i="30"/>
  <c r="AB83" i="30"/>
  <c r="AB82" i="30"/>
  <c r="AB81" i="30"/>
  <c r="AB80" i="30"/>
  <c r="AB79" i="30"/>
  <c r="AB78" i="30"/>
  <c r="AB77" i="30"/>
  <c r="AB76" i="30"/>
  <c r="AB75" i="30"/>
  <c r="AB74" i="30"/>
  <c r="AB73" i="30"/>
  <c r="AB72" i="30"/>
  <c r="AB71" i="30"/>
  <c r="AB70" i="30"/>
  <c r="AB69" i="30"/>
  <c r="AB68" i="30"/>
  <c r="AB67" i="30"/>
  <c r="AB66" i="30"/>
  <c r="AB65" i="30"/>
  <c r="AB64" i="30"/>
  <c r="AB63" i="30"/>
  <c r="AB62" i="30"/>
  <c r="AB61" i="30"/>
  <c r="AB60" i="30"/>
  <c r="AB59" i="30"/>
  <c r="AB58" i="30"/>
  <c r="AB57" i="30"/>
  <c r="AB56" i="30"/>
  <c r="AB55" i="30"/>
  <c r="AB54" i="30"/>
  <c r="AB53" i="30"/>
  <c r="AB52" i="30"/>
  <c r="AB51" i="30"/>
  <c r="AB50" i="30"/>
  <c r="AB49" i="30"/>
  <c r="AB48" i="30"/>
  <c r="AB47" i="30"/>
  <c r="AB46" i="30"/>
  <c r="AB45" i="30"/>
  <c r="AB44" i="30"/>
  <c r="AB43" i="30"/>
  <c r="AB42" i="30"/>
  <c r="AB41" i="30"/>
  <c r="AB40" i="30"/>
  <c r="AB39" i="30"/>
  <c r="AB38" i="30"/>
  <c r="AB37" i="30"/>
  <c r="AB36" i="30"/>
  <c r="AB35" i="30"/>
  <c r="AB34" i="30"/>
  <c r="AB33" i="30"/>
  <c r="AB32" i="30"/>
  <c r="AB31" i="30"/>
  <c r="AB30" i="30"/>
  <c r="AB29" i="30"/>
  <c r="AB28" i="30"/>
  <c r="AB27" i="30"/>
  <c r="AB26" i="30"/>
  <c r="AB25" i="30"/>
  <c r="AB24" i="30"/>
  <c r="AB23" i="30"/>
  <c r="AB22" i="30"/>
  <c r="AB21" i="30"/>
  <c r="AB20" i="30"/>
  <c r="AB19" i="30"/>
  <c r="AB18" i="30"/>
  <c r="AB17" i="30"/>
  <c r="AB16" i="30"/>
  <c r="AB15" i="30"/>
  <c r="AB14" i="30"/>
  <c r="AB13" i="30"/>
  <c r="AB12" i="30"/>
  <c r="AB11" i="30"/>
  <c r="AB10" i="30"/>
  <c r="AB9" i="30"/>
  <c r="AB8" i="30"/>
  <c r="AB7" i="30"/>
  <c r="AB6" i="30"/>
  <c r="AB5" i="30"/>
  <c r="AA189" i="30"/>
  <c r="AA188" i="30"/>
  <c r="AA187" i="30"/>
  <c r="AA186" i="30"/>
  <c r="AA185" i="30"/>
  <c r="AA184" i="30"/>
  <c r="AA183" i="30"/>
  <c r="AA182" i="30"/>
  <c r="AA181" i="30"/>
  <c r="AA180" i="30"/>
  <c r="AA179" i="30"/>
  <c r="AA178" i="30"/>
  <c r="AA177" i="30"/>
  <c r="AA176" i="30"/>
  <c r="AA175" i="30"/>
  <c r="AA174" i="30"/>
  <c r="AA173" i="30"/>
  <c r="AA172" i="30"/>
  <c r="AA171" i="30"/>
  <c r="AA170" i="30"/>
  <c r="AA169" i="30"/>
  <c r="AA168" i="30"/>
  <c r="AA167" i="30"/>
  <c r="AA166" i="30"/>
  <c r="AA165" i="30"/>
  <c r="AA164" i="30"/>
  <c r="AA163" i="30"/>
  <c r="AA162" i="30"/>
  <c r="AA161" i="30"/>
  <c r="AA160" i="30"/>
  <c r="AA159" i="30"/>
  <c r="AA158" i="30"/>
  <c r="AA157" i="30"/>
  <c r="AA156" i="30"/>
  <c r="AA155" i="30"/>
  <c r="AA154" i="30"/>
  <c r="AA153" i="30"/>
  <c r="AA152" i="30"/>
  <c r="AA151" i="30"/>
  <c r="AA150" i="30"/>
  <c r="AA149" i="30"/>
  <c r="AA148" i="30"/>
  <c r="AA147" i="30"/>
  <c r="AA146" i="30"/>
  <c r="AA145" i="30"/>
  <c r="AA144" i="30"/>
  <c r="AA143" i="30"/>
  <c r="AA142" i="30"/>
  <c r="AA141" i="30"/>
  <c r="AA140" i="30"/>
  <c r="AA139" i="30"/>
  <c r="AA138" i="30"/>
  <c r="AA137" i="30"/>
  <c r="AA136" i="30"/>
  <c r="AA135" i="30"/>
  <c r="AA134" i="30"/>
  <c r="AA133" i="30"/>
  <c r="AA132" i="30"/>
  <c r="AA131" i="30"/>
  <c r="AA130" i="30"/>
  <c r="AA129" i="30"/>
  <c r="AA128" i="30"/>
  <c r="AA127" i="30"/>
  <c r="AA126" i="30"/>
  <c r="AA125" i="30"/>
  <c r="AA124" i="30"/>
  <c r="AA123" i="30"/>
  <c r="AA122" i="30"/>
  <c r="AA121" i="30"/>
  <c r="AA120" i="30"/>
  <c r="AA119" i="30"/>
  <c r="AA118" i="30"/>
  <c r="AA117" i="30"/>
  <c r="AA116" i="30"/>
  <c r="AA115" i="30"/>
  <c r="AA114" i="30"/>
  <c r="AA113" i="30"/>
  <c r="AA112" i="30"/>
  <c r="AA111" i="30"/>
  <c r="AA110" i="30"/>
  <c r="AA109" i="30"/>
  <c r="AA108" i="30"/>
  <c r="AA107" i="30"/>
  <c r="AA106" i="30"/>
  <c r="AA105" i="30"/>
  <c r="AA104" i="30"/>
  <c r="AA103" i="30"/>
  <c r="AA102" i="30"/>
  <c r="AA101" i="30"/>
  <c r="AA100" i="30"/>
  <c r="AA99" i="30"/>
  <c r="AA98" i="30"/>
  <c r="AA97" i="30"/>
  <c r="AA96" i="30"/>
  <c r="AA95" i="30"/>
  <c r="AA94" i="30"/>
  <c r="AA93" i="30"/>
  <c r="AA92" i="30"/>
  <c r="AA91" i="30"/>
  <c r="AA90" i="30"/>
  <c r="AA89" i="30"/>
  <c r="AA88" i="30"/>
  <c r="AA87" i="30"/>
  <c r="AA86" i="30"/>
  <c r="AA85" i="30"/>
  <c r="AA84" i="30"/>
  <c r="AA83" i="30"/>
  <c r="AA82" i="30"/>
  <c r="AA81" i="30"/>
  <c r="AA80" i="30"/>
  <c r="AA79" i="30"/>
  <c r="AA78" i="30"/>
  <c r="AA77" i="30"/>
  <c r="AA76" i="30"/>
  <c r="AA75" i="30"/>
  <c r="AA74" i="30"/>
  <c r="AA73" i="30"/>
  <c r="AA72" i="30"/>
  <c r="AA71" i="30"/>
  <c r="AA70" i="30"/>
  <c r="AA69" i="30"/>
  <c r="AA68" i="30"/>
  <c r="AA67" i="30"/>
  <c r="AA66" i="30"/>
  <c r="AA65" i="30"/>
  <c r="AA64" i="30"/>
  <c r="AA63" i="30"/>
  <c r="AA62" i="30"/>
  <c r="AA61" i="30"/>
  <c r="AA60" i="30"/>
  <c r="AA59" i="30"/>
  <c r="AA58" i="30"/>
  <c r="AA57" i="30"/>
  <c r="AA56" i="30"/>
  <c r="AA55" i="30"/>
  <c r="AA54" i="30"/>
  <c r="AA53" i="30"/>
  <c r="AA52" i="30"/>
  <c r="AA51" i="30"/>
  <c r="AA50" i="30"/>
  <c r="AA49" i="30"/>
  <c r="AA48" i="30"/>
  <c r="AA47" i="30"/>
  <c r="AA46" i="30"/>
  <c r="AA45" i="30"/>
  <c r="AA44" i="30"/>
  <c r="AA43" i="30"/>
  <c r="AA42" i="30"/>
  <c r="AA41" i="30"/>
  <c r="AA40" i="30"/>
  <c r="AA39" i="30"/>
  <c r="AA38" i="30"/>
  <c r="AA37" i="30"/>
  <c r="AA36" i="30"/>
  <c r="AA35" i="30"/>
  <c r="AA34" i="30"/>
  <c r="AA33" i="30"/>
  <c r="AA32" i="30"/>
  <c r="AA31" i="30"/>
  <c r="AA30" i="30"/>
  <c r="AA29" i="30"/>
  <c r="AA28" i="30"/>
  <c r="AA27" i="30"/>
  <c r="AA26" i="30"/>
  <c r="AA25" i="30"/>
  <c r="AA24" i="30"/>
  <c r="AA23" i="30"/>
  <c r="AA22" i="30"/>
  <c r="AA21" i="30"/>
  <c r="AA20" i="30"/>
  <c r="AA19" i="30"/>
  <c r="AA18" i="30"/>
  <c r="AA17" i="30"/>
  <c r="AA16" i="30"/>
  <c r="AA15" i="30"/>
  <c r="AA14" i="30"/>
  <c r="AA13" i="30"/>
  <c r="AA12" i="30"/>
  <c r="AA11" i="30"/>
  <c r="AA10" i="30"/>
  <c r="AA9" i="30"/>
  <c r="AA8" i="30"/>
  <c r="AA7" i="30"/>
  <c r="AA6" i="30"/>
  <c r="AA5" i="30"/>
  <c r="Y189" i="30"/>
  <c r="Y188" i="30"/>
  <c r="Y187" i="30"/>
  <c r="Y186" i="30"/>
  <c r="Y185" i="30"/>
  <c r="Y184" i="30"/>
  <c r="Y183" i="30"/>
  <c r="Y182" i="30"/>
  <c r="Y181" i="30"/>
  <c r="Y180" i="30"/>
  <c r="Y179" i="30"/>
  <c r="Y178" i="30"/>
  <c r="Y177" i="30"/>
  <c r="Y176" i="30"/>
  <c r="Y175" i="30"/>
  <c r="Y174" i="30"/>
  <c r="Y173" i="30"/>
  <c r="Y172" i="30"/>
  <c r="Y171" i="30"/>
  <c r="Y170" i="30"/>
  <c r="Y169" i="30"/>
  <c r="Y168" i="30"/>
  <c r="Y167" i="30"/>
  <c r="Y166" i="30"/>
  <c r="Y165" i="30"/>
  <c r="Y164" i="30"/>
  <c r="Y163" i="30"/>
  <c r="Y162" i="30"/>
  <c r="Y161" i="30"/>
  <c r="Y160" i="30"/>
  <c r="Y159" i="30"/>
  <c r="Y158" i="30"/>
  <c r="Y157" i="30"/>
  <c r="Y156" i="30"/>
  <c r="Y155" i="30"/>
  <c r="Y154" i="30"/>
  <c r="Y153" i="30"/>
  <c r="Y152" i="30"/>
  <c r="Y151" i="30"/>
  <c r="Y150" i="30"/>
  <c r="Y149" i="30"/>
  <c r="Y148" i="30"/>
  <c r="Y147" i="30"/>
  <c r="Y146" i="30"/>
  <c r="Y145" i="30"/>
  <c r="Y144" i="30"/>
  <c r="Y143" i="30"/>
  <c r="Y142" i="30"/>
  <c r="Y141" i="30"/>
  <c r="Y140" i="30"/>
  <c r="Y139" i="30"/>
  <c r="Y138" i="30"/>
  <c r="Y137" i="30"/>
  <c r="Y136" i="30"/>
  <c r="Y135" i="30"/>
  <c r="Y134" i="30"/>
  <c r="Y133" i="30"/>
  <c r="Y132" i="30"/>
  <c r="Y131" i="30"/>
  <c r="Y130" i="30"/>
  <c r="Y129" i="30"/>
  <c r="Y128" i="30"/>
  <c r="Y127" i="30"/>
  <c r="Y126" i="30"/>
  <c r="Y125" i="30"/>
  <c r="Y124" i="30"/>
  <c r="Y123" i="30"/>
  <c r="Y122" i="30"/>
  <c r="Y121" i="30"/>
  <c r="Y120" i="30"/>
  <c r="Y119" i="30"/>
  <c r="Y118" i="30"/>
  <c r="Y117" i="30"/>
  <c r="Y116" i="30"/>
  <c r="Y115" i="30"/>
  <c r="Y114" i="30"/>
  <c r="Y113" i="30"/>
  <c r="Y112" i="30"/>
  <c r="Y111" i="30"/>
  <c r="Y110" i="30"/>
  <c r="Y109" i="30"/>
  <c r="Y108" i="30"/>
  <c r="Y107" i="30"/>
  <c r="Y106" i="30"/>
  <c r="Y105" i="30"/>
  <c r="Y104" i="30"/>
  <c r="Y103" i="30"/>
  <c r="Y102" i="30"/>
  <c r="Y101" i="30"/>
  <c r="Y100" i="30"/>
  <c r="Y99" i="30"/>
  <c r="Y98" i="30"/>
  <c r="Y97" i="30"/>
  <c r="Y96" i="30"/>
  <c r="Y95" i="30"/>
  <c r="Y94" i="30"/>
  <c r="Y93" i="30"/>
  <c r="Y92" i="30"/>
  <c r="Y91" i="30"/>
  <c r="Y90" i="30"/>
  <c r="Y89" i="30"/>
  <c r="Y88" i="30"/>
  <c r="Y87" i="30"/>
  <c r="Y86" i="30"/>
  <c r="Y85" i="30"/>
  <c r="Y84" i="30"/>
  <c r="Y83" i="30"/>
  <c r="Y82" i="30"/>
  <c r="Y81" i="30"/>
  <c r="Y80" i="30"/>
  <c r="Y79" i="30"/>
  <c r="Y78" i="30"/>
  <c r="Y77" i="30"/>
  <c r="Y76" i="30"/>
  <c r="Y75" i="30"/>
  <c r="Y74" i="30"/>
  <c r="Y73" i="30"/>
  <c r="Y72" i="30"/>
  <c r="Y71" i="30"/>
  <c r="Y70" i="30"/>
  <c r="Y69" i="30"/>
  <c r="Y68" i="30"/>
  <c r="Y67" i="30"/>
  <c r="Y66" i="30"/>
  <c r="Y65" i="30"/>
  <c r="Y64" i="30"/>
  <c r="Y63" i="30"/>
  <c r="Y62" i="30"/>
  <c r="Y61" i="30"/>
  <c r="Y60" i="30"/>
  <c r="Y59" i="30"/>
  <c r="Y58" i="30"/>
  <c r="Y57" i="30"/>
  <c r="Y56" i="30"/>
  <c r="Y55" i="30"/>
  <c r="Y54" i="30"/>
  <c r="Y53" i="30"/>
  <c r="Y52" i="30"/>
  <c r="Y51" i="30"/>
  <c r="Y50" i="30"/>
  <c r="Y49" i="30"/>
  <c r="Y48" i="30"/>
  <c r="Y47" i="30"/>
  <c r="Y46" i="30"/>
  <c r="Y45" i="30"/>
  <c r="Y44" i="30"/>
  <c r="Y43" i="30"/>
  <c r="Y42" i="30"/>
  <c r="Y41" i="30"/>
  <c r="Y40" i="30"/>
  <c r="Y39" i="30"/>
  <c r="Y38" i="30"/>
  <c r="Y37" i="30"/>
  <c r="Y36" i="30"/>
  <c r="Y35" i="30"/>
  <c r="Y34" i="30"/>
  <c r="Y33" i="30"/>
  <c r="Y32" i="30"/>
  <c r="Y31" i="30"/>
  <c r="Y30" i="30"/>
  <c r="Y29" i="30"/>
  <c r="Y28" i="30"/>
  <c r="Y27" i="30"/>
  <c r="Y26" i="30"/>
  <c r="Y25" i="30"/>
  <c r="Y24" i="30"/>
  <c r="Y23" i="30"/>
  <c r="Y22" i="30"/>
  <c r="Y21" i="30"/>
  <c r="Y20" i="30"/>
  <c r="Y19" i="30"/>
  <c r="Y18" i="30"/>
  <c r="Y17" i="30"/>
  <c r="Y16" i="30"/>
  <c r="Y15" i="30"/>
  <c r="Y14" i="30"/>
  <c r="Y13" i="30"/>
  <c r="Y12" i="30"/>
  <c r="Y11" i="30"/>
  <c r="Y10" i="30"/>
  <c r="Y9" i="30"/>
  <c r="Y8" i="30"/>
  <c r="Y7" i="30"/>
  <c r="Y6" i="30"/>
  <c r="Y5" i="30"/>
  <c r="W189" i="30"/>
  <c r="T189" i="30"/>
  <c r="S189" i="30"/>
  <c r="R189" i="30"/>
  <c r="Q189" i="30"/>
  <c r="P189" i="30"/>
  <c r="O189" i="30"/>
  <c r="N189" i="30"/>
  <c r="W188" i="30"/>
  <c r="T188" i="30"/>
  <c r="S188" i="30"/>
  <c r="R188" i="30"/>
  <c r="Q188" i="30"/>
  <c r="P188" i="30"/>
  <c r="O188" i="30"/>
  <c r="N188" i="30"/>
  <c r="W187" i="30"/>
  <c r="T187" i="30"/>
  <c r="S187" i="30"/>
  <c r="R187" i="30"/>
  <c r="Q187" i="30"/>
  <c r="P187" i="30"/>
  <c r="O187" i="30"/>
  <c r="N187" i="30"/>
  <c r="W186" i="30"/>
  <c r="T186" i="30"/>
  <c r="S186" i="30"/>
  <c r="R186" i="30"/>
  <c r="Q186" i="30"/>
  <c r="P186" i="30"/>
  <c r="O186" i="30"/>
  <c r="N186" i="30"/>
  <c r="W185" i="30"/>
  <c r="T185" i="30"/>
  <c r="S185" i="30"/>
  <c r="R185" i="30"/>
  <c r="Q185" i="30"/>
  <c r="P185" i="30"/>
  <c r="O185" i="30"/>
  <c r="N185" i="30"/>
  <c r="W184" i="30"/>
  <c r="T184" i="30"/>
  <c r="S184" i="30"/>
  <c r="R184" i="30"/>
  <c r="Q184" i="30"/>
  <c r="P184" i="30"/>
  <c r="O184" i="30"/>
  <c r="N184" i="30"/>
  <c r="W183" i="30"/>
  <c r="T183" i="30"/>
  <c r="S183" i="30"/>
  <c r="R183" i="30"/>
  <c r="Q183" i="30"/>
  <c r="P183" i="30"/>
  <c r="O183" i="30"/>
  <c r="N183" i="30"/>
  <c r="W182" i="30"/>
  <c r="T182" i="30"/>
  <c r="S182" i="30"/>
  <c r="R182" i="30"/>
  <c r="Q182" i="30"/>
  <c r="P182" i="30"/>
  <c r="O182" i="30"/>
  <c r="N182" i="30"/>
  <c r="W181" i="30"/>
  <c r="T181" i="30"/>
  <c r="S181" i="30"/>
  <c r="R181" i="30"/>
  <c r="Q181" i="30"/>
  <c r="P181" i="30"/>
  <c r="O181" i="30"/>
  <c r="N181" i="30"/>
  <c r="W180" i="30"/>
  <c r="T180" i="30"/>
  <c r="S180" i="30"/>
  <c r="R180" i="30"/>
  <c r="Q180" i="30"/>
  <c r="P180" i="30"/>
  <c r="O180" i="30"/>
  <c r="N180" i="30"/>
  <c r="W179" i="30"/>
  <c r="T179" i="30"/>
  <c r="S179" i="30"/>
  <c r="R179" i="30"/>
  <c r="Q179" i="30"/>
  <c r="P179" i="30"/>
  <c r="O179" i="30"/>
  <c r="N179" i="30"/>
  <c r="W178" i="30"/>
  <c r="T178" i="30"/>
  <c r="S178" i="30"/>
  <c r="R178" i="30"/>
  <c r="Q178" i="30"/>
  <c r="P178" i="30"/>
  <c r="O178" i="30"/>
  <c r="N178" i="30"/>
  <c r="W177" i="30"/>
  <c r="T177" i="30"/>
  <c r="S177" i="30"/>
  <c r="R177" i="30"/>
  <c r="Q177" i="30"/>
  <c r="P177" i="30"/>
  <c r="O177" i="30"/>
  <c r="N177" i="30"/>
  <c r="W176" i="30"/>
  <c r="T176" i="30"/>
  <c r="S176" i="30"/>
  <c r="R176" i="30"/>
  <c r="Q176" i="30"/>
  <c r="P176" i="30"/>
  <c r="O176" i="30"/>
  <c r="N176" i="30"/>
  <c r="W175" i="30"/>
  <c r="T175" i="30"/>
  <c r="S175" i="30"/>
  <c r="R175" i="30"/>
  <c r="Q175" i="30"/>
  <c r="P175" i="30"/>
  <c r="O175" i="30"/>
  <c r="N175" i="30"/>
  <c r="W174" i="30"/>
  <c r="T174" i="30"/>
  <c r="S174" i="30"/>
  <c r="R174" i="30"/>
  <c r="Q174" i="30"/>
  <c r="P174" i="30"/>
  <c r="O174" i="30"/>
  <c r="N174" i="30"/>
  <c r="W173" i="30"/>
  <c r="T173" i="30"/>
  <c r="S173" i="30"/>
  <c r="R173" i="30"/>
  <c r="Q173" i="30"/>
  <c r="P173" i="30"/>
  <c r="O173" i="30"/>
  <c r="N173" i="30"/>
  <c r="W172" i="30"/>
  <c r="T172" i="30"/>
  <c r="S172" i="30"/>
  <c r="R172" i="30"/>
  <c r="Q172" i="30"/>
  <c r="P172" i="30"/>
  <c r="O172" i="30"/>
  <c r="N172" i="30"/>
  <c r="W171" i="30"/>
  <c r="T171" i="30"/>
  <c r="S171" i="30"/>
  <c r="R171" i="30"/>
  <c r="Q171" i="30"/>
  <c r="P171" i="30"/>
  <c r="O171" i="30"/>
  <c r="N171" i="30"/>
  <c r="W170" i="30"/>
  <c r="T170" i="30"/>
  <c r="S170" i="30"/>
  <c r="R170" i="30"/>
  <c r="Q170" i="30"/>
  <c r="P170" i="30"/>
  <c r="O170" i="30"/>
  <c r="N170" i="30"/>
  <c r="W169" i="30"/>
  <c r="T169" i="30"/>
  <c r="S169" i="30"/>
  <c r="R169" i="30"/>
  <c r="Q169" i="30"/>
  <c r="P169" i="30"/>
  <c r="O169" i="30"/>
  <c r="N169" i="30"/>
  <c r="W168" i="30"/>
  <c r="T168" i="30"/>
  <c r="S168" i="30"/>
  <c r="R168" i="30"/>
  <c r="Q168" i="30"/>
  <c r="P168" i="30"/>
  <c r="O168" i="30"/>
  <c r="N168" i="30"/>
  <c r="W167" i="30"/>
  <c r="T167" i="30"/>
  <c r="S167" i="30"/>
  <c r="R167" i="30"/>
  <c r="Q167" i="30"/>
  <c r="P167" i="30"/>
  <c r="O167" i="30"/>
  <c r="N167" i="30"/>
  <c r="W166" i="30"/>
  <c r="T166" i="30"/>
  <c r="S166" i="30"/>
  <c r="R166" i="30"/>
  <c r="Q166" i="30"/>
  <c r="P166" i="30"/>
  <c r="O166" i="30"/>
  <c r="N166" i="30"/>
  <c r="W165" i="30"/>
  <c r="T165" i="30"/>
  <c r="S165" i="30"/>
  <c r="R165" i="30"/>
  <c r="Q165" i="30"/>
  <c r="P165" i="30"/>
  <c r="O165" i="30"/>
  <c r="N165" i="30"/>
  <c r="W164" i="30"/>
  <c r="T164" i="30"/>
  <c r="S164" i="30"/>
  <c r="R164" i="30"/>
  <c r="Q164" i="30"/>
  <c r="P164" i="30"/>
  <c r="O164" i="30"/>
  <c r="N164" i="30"/>
  <c r="W163" i="30"/>
  <c r="T163" i="30"/>
  <c r="S163" i="30"/>
  <c r="R163" i="30"/>
  <c r="Q163" i="30"/>
  <c r="P163" i="30"/>
  <c r="O163" i="30"/>
  <c r="N163" i="30"/>
  <c r="W162" i="30"/>
  <c r="T162" i="30"/>
  <c r="S162" i="30"/>
  <c r="R162" i="30"/>
  <c r="Q162" i="30"/>
  <c r="P162" i="30"/>
  <c r="O162" i="30"/>
  <c r="N162" i="30"/>
  <c r="W161" i="30"/>
  <c r="T161" i="30"/>
  <c r="S161" i="30"/>
  <c r="R161" i="30"/>
  <c r="Q161" i="30"/>
  <c r="P161" i="30"/>
  <c r="O161" i="30"/>
  <c r="N161" i="30"/>
  <c r="W160" i="30"/>
  <c r="T160" i="30"/>
  <c r="S160" i="30"/>
  <c r="R160" i="30"/>
  <c r="Q160" i="30"/>
  <c r="P160" i="30"/>
  <c r="O160" i="30"/>
  <c r="N160" i="30"/>
  <c r="W159" i="30"/>
  <c r="T159" i="30"/>
  <c r="S159" i="30"/>
  <c r="R159" i="30"/>
  <c r="Q159" i="30"/>
  <c r="P159" i="30"/>
  <c r="O159" i="30"/>
  <c r="N159" i="30"/>
  <c r="W158" i="30"/>
  <c r="T158" i="30"/>
  <c r="S158" i="30"/>
  <c r="R158" i="30"/>
  <c r="Q158" i="30"/>
  <c r="P158" i="30"/>
  <c r="O158" i="30"/>
  <c r="N158" i="30"/>
  <c r="W157" i="30"/>
  <c r="T157" i="30"/>
  <c r="S157" i="30"/>
  <c r="R157" i="30"/>
  <c r="Q157" i="30"/>
  <c r="P157" i="30"/>
  <c r="O157" i="30"/>
  <c r="N157" i="30"/>
  <c r="W156" i="30"/>
  <c r="T156" i="30"/>
  <c r="S156" i="30"/>
  <c r="R156" i="30"/>
  <c r="Q156" i="30"/>
  <c r="P156" i="30"/>
  <c r="O156" i="30"/>
  <c r="N156" i="30"/>
  <c r="W155" i="30"/>
  <c r="T155" i="30"/>
  <c r="S155" i="30"/>
  <c r="R155" i="30"/>
  <c r="Q155" i="30"/>
  <c r="P155" i="30"/>
  <c r="O155" i="30"/>
  <c r="N155" i="30"/>
  <c r="W154" i="30"/>
  <c r="T154" i="30"/>
  <c r="S154" i="30"/>
  <c r="R154" i="30"/>
  <c r="Q154" i="30"/>
  <c r="P154" i="30"/>
  <c r="O154" i="30"/>
  <c r="N154" i="30"/>
  <c r="W153" i="30"/>
  <c r="T153" i="30"/>
  <c r="S153" i="30"/>
  <c r="R153" i="30"/>
  <c r="Q153" i="30"/>
  <c r="P153" i="30"/>
  <c r="O153" i="30"/>
  <c r="N153" i="30"/>
  <c r="W152" i="30"/>
  <c r="T152" i="30"/>
  <c r="S152" i="30"/>
  <c r="R152" i="30"/>
  <c r="Q152" i="30"/>
  <c r="P152" i="30"/>
  <c r="O152" i="30"/>
  <c r="N152" i="30"/>
  <c r="W151" i="30"/>
  <c r="T151" i="30"/>
  <c r="S151" i="30"/>
  <c r="R151" i="30"/>
  <c r="Q151" i="30"/>
  <c r="P151" i="30"/>
  <c r="O151" i="30"/>
  <c r="N151" i="30"/>
  <c r="W150" i="30"/>
  <c r="T150" i="30"/>
  <c r="S150" i="30"/>
  <c r="R150" i="30"/>
  <c r="Q150" i="30"/>
  <c r="P150" i="30"/>
  <c r="O150" i="30"/>
  <c r="N150" i="30"/>
  <c r="W149" i="30"/>
  <c r="T149" i="30"/>
  <c r="S149" i="30"/>
  <c r="R149" i="30"/>
  <c r="Q149" i="30"/>
  <c r="P149" i="30"/>
  <c r="O149" i="30"/>
  <c r="N149" i="30"/>
  <c r="W148" i="30"/>
  <c r="T148" i="30"/>
  <c r="S148" i="30"/>
  <c r="R148" i="30"/>
  <c r="Q148" i="30"/>
  <c r="P148" i="30"/>
  <c r="O148" i="30"/>
  <c r="N148" i="30"/>
  <c r="W147" i="30"/>
  <c r="T147" i="30"/>
  <c r="S147" i="30"/>
  <c r="R147" i="30"/>
  <c r="Q147" i="30"/>
  <c r="P147" i="30"/>
  <c r="O147" i="30"/>
  <c r="N147" i="30"/>
  <c r="W146" i="30"/>
  <c r="T146" i="30"/>
  <c r="S146" i="30"/>
  <c r="R146" i="30"/>
  <c r="Q146" i="30"/>
  <c r="P146" i="30"/>
  <c r="O146" i="30"/>
  <c r="N146" i="30"/>
  <c r="W145" i="30"/>
  <c r="T145" i="30"/>
  <c r="S145" i="30"/>
  <c r="R145" i="30"/>
  <c r="Q145" i="30"/>
  <c r="P145" i="30"/>
  <c r="O145" i="30"/>
  <c r="N145" i="30"/>
  <c r="W144" i="30"/>
  <c r="T144" i="30"/>
  <c r="S144" i="30"/>
  <c r="R144" i="30"/>
  <c r="Q144" i="30"/>
  <c r="P144" i="30"/>
  <c r="O144" i="30"/>
  <c r="N144" i="30"/>
  <c r="W143" i="30"/>
  <c r="T143" i="30"/>
  <c r="S143" i="30"/>
  <c r="R143" i="30"/>
  <c r="Q143" i="30"/>
  <c r="P143" i="30"/>
  <c r="O143" i="30"/>
  <c r="N143" i="30"/>
  <c r="W142" i="30"/>
  <c r="T142" i="30"/>
  <c r="S142" i="30"/>
  <c r="R142" i="30"/>
  <c r="Q142" i="30"/>
  <c r="P142" i="30"/>
  <c r="O142" i="30"/>
  <c r="N142" i="30"/>
  <c r="W141" i="30"/>
  <c r="T141" i="30"/>
  <c r="S141" i="30"/>
  <c r="R141" i="30"/>
  <c r="Q141" i="30"/>
  <c r="P141" i="30"/>
  <c r="O141" i="30"/>
  <c r="N141" i="30"/>
  <c r="W140" i="30"/>
  <c r="T140" i="30"/>
  <c r="S140" i="30"/>
  <c r="R140" i="30"/>
  <c r="Q140" i="30"/>
  <c r="P140" i="30"/>
  <c r="O140" i="30"/>
  <c r="N140" i="30"/>
  <c r="W139" i="30"/>
  <c r="T139" i="30"/>
  <c r="S139" i="30"/>
  <c r="R139" i="30"/>
  <c r="Q139" i="30"/>
  <c r="P139" i="30"/>
  <c r="O139" i="30"/>
  <c r="N139" i="30"/>
  <c r="W138" i="30"/>
  <c r="T138" i="30"/>
  <c r="S138" i="30"/>
  <c r="R138" i="30"/>
  <c r="Q138" i="30"/>
  <c r="P138" i="30"/>
  <c r="O138" i="30"/>
  <c r="N138" i="30"/>
  <c r="W137" i="30"/>
  <c r="T137" i="30"/>
  <c r="S137" i="30"/>
  <c r="R137" i="30"/>
  <c r="Q137" i="30"/>
  <c r="P137" i="30"/>
  <c r="O137" i="30"/>
  <c r="N137" i="30"/>
  <c r="W136" i="30"/>
  <c r="T136" i="30"/>
  <c r="S136" i="30"/>
  <c r="R136" i="30"/>
  <c r="Q136" i="30"/>
  <c r="P136" i="30"/>
  <c r="O136" i="30"/>
  <c r="N136" i="30"/>
  <c r="W135" i="30"/>
  <c r="T135" i="30"/>
  <c r="S135" i="30"/>
  <c r="R135" i="30"/>
  <c r="Q135" i="30"/>
  <c r="P135" i="30"/>
  <c r="O135" i="30"/>
  <c r="N135" i="30"/>
  <c r="W134" i="30"/>
  <c r="T134" i="30"/>
  <c r="S134" i="30"/>
  <c r="R134" i="30"/>
  <c r="Q134" i="30"/>
  <c r="P134" i="30"/>
  <c r="O134" i="30"/>
  <c r="N134" i="30"/>
  <c r="W133" i="30"/>
  <c r="T133" i="30"/>
  <c r="S133" i="30"/>
  <c r="R133" i="30"/>
  <c r="Q133" i="30"/>
  <c r="P133" i="30"/>
  <c r="O133" i="30"/>
  <c r="N133" i="30"/>
  <c r="W132" i="30"/>
  <c r="T132" i="30"/>
  <c r="S132" i="30"/>
  <c r="R132" i="30"/>
  <c r="Q132" i="30"/>
  <c r="P132" i="30"/>
  <c r="O132" i="30"/>
  <c r="N132" i="30"/>
  <c r="W131" i="30"/>
  <c r="T131" i="30"/>
  <c r="S131" i="30"/>
  <c r="R131" i="30"/>
  <c r="Q131" i="30"/>
  <c r="P131" i="30"/>
  <c r="O131" i="30"/>
  <c r="N131" i="30"/>
  <c r="W130" i="30"/>
  <c r="T130" i="30"/>
  <c r="S130" i="30"/>
  <c r="R130" i="30"/>
  <c r="Q130" i="30"/>
  <c r="P130" i="30"/>
  <c r="O130" i="30"/>
  <c r="N130" i="30"/>
  <c r="W129" i="30"/>
  <c r="T129" i="30"/>
  <c r="S129" i="30"/>
  <c r="R129" i="30"/>
  <c r="Q129" i="30"/>
  <c r="P129" i="30"/>
  <c r="O129" i="30"/>
  <c r="N129" i="30"/>
  <c r="W128" i="30"/>
  <c r="T128" i="30"/>
  <c r="S128" i="30"/>
  <c r="R128" i="30"/>
  <c r="Q128" i="30"/>
  <c r="P128" i="30"/>
  <c r="O128" i="30"/>
  <c r="N128" i="30"/>
  <c r="W127" i="30"/>
  <c r="T127" i="30"/>
  <c r="S127" i="30"/>
  <c r="R127" i="30"/>
  <c r="Q127" i="30"/>
  <c r="P127" i="30"/>
  <c r="O127" i="30"/>
  <c r="N127" i="30"/>
  <c r="W126" i="30"/>
  <c r="T126" i="30"/>
  <c r="S126" i="30"/>
  <c r="R126" i="30"/>
  <c r="Q126" i="30"/>
  <c r="P126" i="30"/>
  <c r="O126" i="30"/>
  <c r="N126" i="30"/>
  <c r="W125" i="30"/>
  <c r="T125" i="30"/>
  <c r="S125" i="30"/>
  <c r="R125" i="30"/>
  <c r="Q125" i="30"/>
  <c r="P125" i="30"/>
  <c r="O125" i="30"/>
  <c r="N125" i="30"/>
  <c r="W124" i="30"/>
  <c r="T124" i="30"/>
  <c r="S124" i="30"/>
  <c r="R124" i="30"/>
  <c r="Q124" i="30"/>
  <c r="P124" i="30"/>
  <c r="O124" i="30"/>
  <c r="N124" i="30"/>
  <c r="W123" i="30"/>
  <c r="T123" i="30"/>
  <c r="S123" i="30"/>
  <c r="R123" i="30"/>
  <c r="Q123" i="30"/>
  <c r="P123" i="30"/>
  <c r="O123" i="30"/>
  <c r="N123" i="30"/>
  <c r="W122" i="30"/>
  <c r="T122" i="30"/>
  <c r="S122" i="30"/>
  <c r="R122" i="30"/>
  <c r="Q122" i="30"/>
  <c r="P122" i="30"/>
  <c r="O122" i="30"/>
  <c r="N122" i="30"/>
  <c r="W121" i="30"/>
  <c r="T121" i="30"/>
  <c r="S121" i="30"/>
  <c r="R121" i="30"/>
  <c r="Q121" i="30"/>
  <c r="P121" i="30"/>
  <c r="O121" i="30"/>
  <c r="N121" i="30"/>
  <c r="W120" i="30"/>
  <c r="T120" i="30"/>
  <c r="S120" i="30"/>
  <c r="R120" i="30"/>
  <c r="Q120" i="30"/>
  <c r="P120" i="30"/>
  <c r="O120" i="30"/>
  <c r="N120" i="30"/>
  <c r="W119" i="30"/>
  <c r="T119" i="30"/>
  <c r="S119" i="30"/>
  <c r="R119" i="30"/>
  <c r="Q119" i="30"/>
  <c r="P119" i="30"/>
  <c r="O119" i="30"/>
  <c r="N119" i="30"/>
  <c r="W118" i="30"/>
  <c r="T118" i="30"/>
  <c r="S118" i="30"/>
  <c r="R118" i="30"/>
  <c r="Q118" i="30"/>
  <c r="P118" i="30"/>
  <c r="O118" i="30"/>
  <c r="N118" i="30"/>
  <c r="W117" i="30"/>
  <c r="T117" i="30"/>
  <c r="S117" i="30"/>
  <c r="R117" i="30"/>
  <c r="Q117" i="30"/>
  <c r="P117" i="30"/>
  <c r="O117" i="30"/>
  <c r="N117" i="30"/>
  <c r="W116" i="30"/>
  <c r="T116" i="30"/>
  <c r="S116" i="30"/>
  <c r="R116" i="30"/>
  <c r="Q116" i="30"/>
  <c r="P116" i="30"/>
  <c r="O116" i="30"/>
  <c r="N116" i="30"/>
  <c r="W115" i="30"/>
  <c r="T115" i="30"/>
  <c r="S115" i="30"/>
  <c r="R115" i="30"/>
  <c r="Q115" i="30"/>
  <c r="P115" i="30"/>
  <c r="O115" i="30"/>
  <c r="N115" i="30"/>
  <c r="W114" i="30"/>
  <c r="T114" i="30"/>
  <c r="S114" i="30"/>
  <c r="R114" i="30"/>
  <c r="Q114" i="30"/>
  <c r="P114" i="30"/>
  <c r="O114" i="30"/>
  <c r="N114" i="30"/>
  <c r="W113" i="30"/>
  <c r="T113" i="30"/>
  <c r="S113" i="30"/>
  <c r="R113" i="30"/>
  <c r="Q113" i="30"/>
  <c r="P113" i="30"/>
  <c r="O113" i="30"/>
  <c r="N113" i="30"/>
  <c r="W112" i="30"/>
  <c r="T112" i="30"/>
  <c r="S112" i="30"/>
  <c r="R112" i="30"/>
  <c r="Q112" i="30"/>
  <c r="P112" i="30"/>
  <c r="O112" i="30"/>
  <c r="N112" i="30"/>
  <c r="W111" i="30"/>
  <c r="T111" i="30"/>
  <c r="S111" i="30"/>
  <c r="R111" i="30"/>
  <c r="Q111" i="30"/>
  <c r="P111" i="30"/>
  <c r="O111" i="30"/>
  <c r="N111" i="30"/>
  <c r="W110" i="30"/>
  <c r="T110" i="30"/>
  <c r="S110" i="30"/>
  <c r="R110" i="30"/>
  <c r="Q110" i="30"/>
  <c r="P110" i="30"/>
  <c r="O110" i="30"/>
  <c r="N110" i="30"/>
  <c r="W109" i="30"/>
  <c r="T109" i="30"/>
  <c r="S109" i="30"/>
  <c r="R109" i="30"/>
  <c r="Q109" i="30"/>
  <c r="P109" i="30"/>
  <c r="O109" i="30"/>
  <c r="N109" i="30"/>
  <c r="W108" i="30"/>
  <c r="T108" i="30"/>
  <c r="S108" i="30"/>
  <c r="R108" i="30"/>
  <c r="Q108" i="30"/>
  <c r="P108" i="30"/>
  <c r="O108" i="30"/>
  <c r="N108" i="30"/>
  <c r="W107" i="30"/>
  <c r="T107" i="30"/>
  <c r="S107" i="30"/>
  <c r="R107" i="30"/>
  <c r="Q107" i="30"/>
  <c r="P107" i="30"/>
  <c r="O107" i="30"/>
  <c r="N107" i="30"/>
  <c r="W106" i="30"/>
  <c r="T106" i="30"/>
  <c r="S106" i="30"/>
  <c r="R106" i="30"/>
  <c r="Q106" i="30"/>
  <c r="P106" i="30"/>
  <c r="O106" i="30"/>
  <c r="N106" i="30"/>
  <c r="W105" i="30"/>
  <c r="T105" i="30"/>
  <c r="S105" i="30"/>
  <c r="R105" i="30"/>
  <c r="Q105" i="30"/>
  <c r="P105" i="30"/>
  <c r="O105" i="30"/>
  <c r="N105" i="30"/>
  <c r="W104" i="30"/>
  <c r="T104" i="30"/>
  <c r="S104" i="30"/>
  <c r="R104" i="30"/>
  <c r="Q104" i="30"/>
  <c r="P104" i="30"/>
  <c r="O104" i="30"/>
  <c r="N104" i="30"/>
  <c r="W103" i="30"/>
  <c r="T103" i="30"/>
  <c r="S103" i="30"/>
  <c r="R103" i="30"/>
  <c r="Q103" i="30"/>
  <c r="P103" i="30"/>
  <c r="O103" i="30"/>
  <c r="N103" i="30"/>
  <c r="W102" i="30"/>
  <c r="T102" i="30"/>
  <c r="S102" i="30"/>
  <c r="R102" i="30"/>
  <c r="Q102" i="30"/>
  <c r="P102" i="30"/>
  <c r="O102" i="30"/>
  <c r="N102" i="30"/>
  <c r="W101" i="30"/>
  <c r="T101" i="30"/>
  <c r="S101" i="30"/>
  <c r="R101" i="30"/>
  <c r="Q101" i="30"/>
  <c r="P101" i="30"/>
  <c r="O101" i="30"/>
  <c r="N101" i="30"/>
  <c r="W100" i="30"/>
  <c r="T100" i="30"/>
  <c r="S100" i="30"/>
  <c r="R100" i="30"/>
  <c r="Q100" i="30"/>
  <c r="P100" i="30"/>
  <c r="O100" i="30"/>
  <c r="N100" i="30"/>
  <c r="W99" i="30"/>
  <c r="T99" i="30"/>
  <c r="S99" i="30"/>
  <c r="R99" i="30"/>
  <c r="Q99" i="30"/>
  <c r="P99" i="30"/>
  <c r="O99" i="30"/>
  <c r="N99" i="30"/>
  <c r="W98" i="30"/>
  <c r="T98" i="30"/>
  <c r="S98" i="30"/>
  <c r="R98" i="30"/>
  <c r="Q98" i="30"/>
  <c r="P98" i="30"/>
  <c r="O98" i="30"/>
  <c r="N98" i="30"/>
  <c r="W97" i="30"/>
  <c r="T97" i="30"/>
  <c r="S97" i="30"/>
  <c r="R97" i="30"/>
  <c r="Q97" i="30"/>
  <c r="P97" i="30"/>
  <c r="O97" i="30"/>
  <c r="N97" i="30"/>
  <c r="W96" i="30"/>
  <c r="T96" i="30"/>
  <c r="S96" i="30"/>
  <c r="R96" i="30"/>
  <c r="Q96" i="30"/>
  <c r="P96" i="30"/>
  <c r="O96" i="30"/>
  <c r="N96" i="30"/>
  <c r="W95" i="30"/>
  <c r="T95" i="30"/>
  <c r="S95" i="30"/>
  <c r="R95" i="30"/>
  <c r="Q95" i="30"/>
  <c r="P95" i="30"/>
  <c r="O95" i="30"/>
  <c r="N95" i="30"/>
  <c r="W94" i="30"/>
  <c r="T94" i="30"/>
  <c r="S94" i="30"/>
  <c r="R94" i="30"/>
  <c r="Q94" i="30"/>
  <c r="P94" i="30"/>
  <c r="O94" i="30"/>
  <c r="N94" i="30"/>
  <c r="W93" i="30"/>
  <c r="T93" i="30"/>
  <c r="S93" i="30"/>
  <c r="R93" i="30"/>
  <c r="Q93" i="30"/>
  <c r="P93" i="30"/>
  <c r="O93" i="30"/>
  <c r="N93" i="30"/>
  <c r="W92" i="30"/>
  <c r="T92" i="30"/>
  <c r="S92" i="30"/>
  <c r="R92" i="30"/>
  <c r="Q92" i="30"/>
  <c r="P92" i="30"/>
  <c r="O92" i="30"/>
  <c r="N92" i="30"/>
  <c r="W91" i="30"/>
  <c r="T91" i="30"/>
  <c r="S91" i="30"/>
  <c r="R91" i="30"/>
  <c r="Q91" i="30"/>
  <c r="P91" i="30"/>
  <c r="O91" i="30"/>
  <c r="N91" i="30"/>
  <c r="W90" i="30"/>
  <c r="T90" i="30"/>
  <c r="S90" i="30"/>
  <c r="R90" i="30"/>
  <c r="Q90" i="30"/>
  <c r="P90" i="30"/>
  <c r="O90" i="30"/>
  <c r="N90" i="30"/>
  <c r="W89" i="30"/>
  <c r="T89" i="30"/>
  <c r="S89" i="30"/>
  <c r="R89" i="30"/>
  <c r="Q89" i="30"/>
  <c r="P89" i="30"/>
  <c r="O89" i="30"/>
  <c r="N89" i="30"/>
  <c r="W88" i="30"/>
  <c r="T88" i="30"/>
  <c r="S88" i="30"/>
  <c r="R88" i="30"/>
  <c r="Q88" i="30"/>
  <c r="P88" i="30"/>
  <c r="O88" i="30"/>
  <c r="N88" i="30"/>
  <c r="W87" i="30"/>
  <c r="T87" i="30"/>
  <c r="S87" i="30"/>
  <c r="R87" i="30"/>
  <c r="Q87" i="30"/>
  <c r="P87" i="30"/>
  <c r="O87" i="30"/>
  <c r="N87" i="30"/>
  <c r="W86" i="30"/>
  <c r="T86" i="30"/>
  <c r="S86" i="30"/>
  <c r="R86" i="30"/>
  <c r="Q86" i="30"/>
  <c r="P86" i="30"/>
  <c r="O86" i="30"/>
  <c r="N86" i="30"/>
  <c r="W85" i="30"/>
  <c r="T85" i="30"/>
  <c r="S85" i="30"/>
  <c r="R85" i="30"/>
  <c r="Q85" i="30"/>
  <c r="P85" i="30"/>
  <c r="O85" i="30"/>
  <c r="N85" i="30"/>
  <c r="W84" i="30"/>
  <c r="T84" i="30"/>
  <c r="S84" i="30"/>
  <c r="R84" i="30"/>
  <c r="Q84" i="30"/>
  <c r="P84" i="30"/>
  <c r="O84" i="30"/>
  <c r="N84" i="30"/>
  <c r="W83" i="30"/>
  <c r="T83" i="30"/>
  <c r="S83" i="30"/>
  <c r="R83" i="30"/>
  <c r="Q83" i="30"/>
  <c r="P83" i="30"/>
  <c r="O83" i="30"/>
  <c r="N83" i="30"/>
  <c r="W82" i="30"/>
  <c r="T82" i="30"/>
  <c r="S82" i="30"/>
  <c r="R82" i="30"/>
  <c r="Q82" i="30"/>
  <c r="P82" i="30"/>
  <c r="O82" i="30"/>
  <c r="N82" i="30"/>
  <c r="W81" i="30"/>
  <c r="T81" i="30"/>
  <c r="S81" i="30"/>
  <c r="R81" i="30"/>
  <c r="Q81" i="30"/>
  <c r="P81" i="30"/>
  <c r="O81" i="30"/>
  <c r="N81" i="30"/>
  <c r="W80" i="30"/>
  <c r="T80" i="30"/>
  <c r="S80" i="30"/>
  <c r="R80" i="30"/>
  <c r="Q80" i="30"/>
  <c r="P80" i="30"/>
  <c r="O80" i="30"/>
  <c r="N80" i="30"/>
  <c r="W79" i="30"/>
  <c r="T79" i="30"/>
  <c r="S79" i="30"/>
  <c r="R79" i="30"/>
  <c r="Q79" i="30"/>
  <c r="P79" i="30"/>
  <c r="O79" i="30"/>
  <c r="N79" i="30"/>
  <c r="W78" i="30"/>
  <c r="T78" i="30"/>
  <c r="S78" i="30"/>
  <c r="R78" i="30"/>
  <c r="Q78" i="30"/>
  <c r="P78" i="30"/>
  <c r="O78" i="30"/>
  <c r="N78" i="30"/>
  <c r="W77" i="30"/>
  <c r="T77" i="30"/>
  <c r="S77" i="30"/>
  <c r="R77" i="30"/>
  <c r="Q77" i="30"/>
  <c r="P77" i="30"/>
  <c r="O77" i="30"/>
  <c r="N77" i="30"/>
  <c r="W76" i="30"/>
  <c r="T76" i="30"/>
  <c r="S76" i="30"/>
  <c r="R76" i="30"/>
  <c r="Q76" i="30"/>
  <c r="P76" i="30"/>
  <c r="O76" i="30"/>
  <c r="N76" i="30"/>
  <c r="W75" i="30"/>
  <c r="T75" i="30"/>
  <c r="S75" i="30"/>
  <c r="R75" i="30"/>
  <c r="Q75" i="30"/>
  <c r="P75" i="30"/>
  <c r="O75" i="30"/>
  <c r="N75" i="30"/>
  <c r="W74" i="30"/>
  <c r="T74" i="30"/>
  <c r="S74" i="30"/>
  <c r="R74" i="30"/>
  <c r="Q74" i="30"/>
  <c r="P74" i="30"/>
  <c r="O74" i="30"/>
  <c r="N74" i="30"/>
  <c r="W73" i="30"/>
  <c r="T73" i="30"/>
  <c r="S73" i="30"/>
  <c r="R73" i="30"/>
  <c r="Q73" i="30"/>
  <c r="P73" i="30"/>
  <c r="O73" i="30"/>
  <c r="N73" i="30"/>
  <c r="W72" i="30"/>
  <c r="T72" i="30"/>
  <c r="S72" i="30"/>
  <c r="R72" i="30"/>
  <c r="Q72" i="30"/>
  <c r="P72" i="30"/>
  <c r="O72" i="30"/>
  <c r="N72" i="30"/>
  <c r="W71" i="30"/>
  <c r="T71" i="30"/>
  <c r="S71" i="30"/>
  <c r="R71" i="30"/>
  <c r="Q71" i="30"/>
  <c r="P71" i="30"/>
  <c r="O71" i="30"/>
  <c r="N71" i="30"/>
  <c r="W70" i="30"/>
  <c r="T70" i="30"/>
  <c r="S70" i="30"/>
  <c r="R70" i="30"/>
  <c r="Q70" i="30"/>
  <c r="P70" i="30"/>
  <c r="O70" i="30"/>
  <c r="N70" i="30"/>
  <c r="W69" i="30"/>
  <c r="T69" i="30"/>
  <c r="S69" i="30"/>
  <c r="R69" i="30"/>
  <c r="Q69" i="30"/>
  <c r="P69" i="30"/>
  <c r="O69" i="30"/>
  <c r="N69" i="30"/>
  <c r="W68" i="30"/>
  <c r="T68" i="30"/>
  <c r="S68" i="30"/>
  <c r="R68" i="30"/>
  <c r="Q68" i="30"/>
  <c r="P68" i="30"/>
  <c r="O68" i="30"/>
  <c r="N68" i="30"/>
  <c r="W67" i="30"/>
  <c r="T67" i="30"/>
  <c r="S67" i="30"/>
  <c r="R67" i="30"/>
  <c r="Q67" i="30"/>
  <c r="P67" i="30"/>
  <c r="O67" i="30"/>
  <c r="N67" i="30"/>
  <c r="W66" i="30"/>
  <c r="T66" i="30"/>
  <c r="S66" i="30"/>
  <c r="R66" i="30"/>
  <c r="Q66" i="30"/>
  <c r="P66" i="30"/>
  <c r="O66" i="30"/>
  <c r="N66" i="30"/>
  <c r="W65" i="30"/>
  <c r="T65" i="30"/>
  <c r="S65" i="30"/>
  <c r="R65" i="30"/>
  <c r="Q65" i="30"/>
  <c r="P65" i="30"/>
  <c r="O65" i="30"/>
  <c r="N65" i="30"/>
  <c r="W64" i="30"/>
  <c r="T64" i="30"/>
  <c r="S64" i="30"/>
  <c r="R64" i="30"/>
  <c r="Q64" i="30"/>
  <c r="P64" i="30"/>
  <c r="O64" i="30"/>
  <c r="N64" i="30"/>
  <c r="W63" i="30"/>
  <c r="T63" i="30"/>
  <c r="S63" i="30"/>
  <c r="R63" i="30"/>
  <c r="Q63" i="30"/>
  <c r="P63" i="30"/>
  <c r="O63" i="30"/>
  <c r="N63" i="30"/>
  <c r="W62" i="30"/>
  <c r="T62" i="30"/>
  <c r="S62" i="30"/>
  <c r="R62" i="30"/>
  <c r="Q62" i="30"/>
  <c r="P62" i="30"/>
  <c r="O62" i="30"/>
  <c r="N62" i="30"/>
  <c r="W61" i="30"/>
  <c r="T61" i="30"/>
  <c r="S61" i="30"/>
  <c r="R61" i="30"/>
  <c r="Q61" i="30"/>
  <c r="P61" i="30"/>
  <c r="O61" i="30"/>
  <c r="N61" i="30"/>
  <c r="W60" i="30"/>
  <c r="T60" i="30"/>
  <c r="S60" i="30"/>
  <c r="R60" i="30"/>
  <c r="Q60" i="30"/>
  <c r="P60" i="30"/>
  <c r="O60" i="30"/>
  <c r="N60" i="30"/>
  <c r="W59" i="30"/>
  <c r="T59" i="30"/>
  <c r="S59" i="30"/>
  <c r="R59" i="30"/>
  <c r="Q59" i="30"/>
  <c r="P59" i="30"/>
  <c r="O59" i="30"/>
  <c r="N59" i="30"/>
  <c r="W58" i="30"/>
  <c r="T58" i="30"/>
  <c r="S58" i="30"/>
  <c r="R58" i="30"/>
  <c r="Q58" i="30"/>
  <c r="P58" i="30"/>
  <c r="O58" i="30"/>
  <c r="N58" i="30"/>
  <c r="W57" i="30"/>
  <c r="T57" i="30"/>
  <c r="S57" i="30"/>
  <c r="R57" i="30"/>
  <c r="Q57" i="30"/>
  <c r="P57" i="30"/>
  <c r="O57" i="30"/>
  <c r="N57" i="30"/>
  <c r="W56" i="30"/>
  <c r="T56" i="30"/>
  <c r="S56" i="30"/>
  <c r="R56" i="30"/>
  <c r="Q56" i="30"/>
  <c r="P56" i="30"/>
  <c r="O56" i="30"/>
  <c r="N56" i="30"/>
  <c r="W55" i="30"/>
  <c r="T55" i="30"/>
  <c r="S55" i="30"/>
  <c r="R55" i="30"/>
  <c r="Q55" i="30"/>
  <c r="P55" i="30"/>
  <c r="O55" i="30"/>
  <c r="N55" i="30"/>
  <c r="W54" i="30"/>
  <c r="T54" i="30"/>
  <c r="S54" i="30"/>
  <c r="R54" i="30"/>
  <c r="Q54" i="30"/>
  <c r="P54" i="30"/>
  <c r="O54" i="30"/>
  <c r="N54" i="30"/>
  <c r="W53" i="30"/>
  <c r="T53" i="30"/>
  <c r="S53" i="30"/>
  <c r="R53" i="30"/>
  <c r="Q53" i="30"/>
  <c r="P53" i="30"/>
  <c r="O53" i="30"/>
  <c r="N53" i="30"/>
  <c r="W52" i="30"/>
  <c r="T52" i="30"/>
  <c r="S52" i="30"/>
  <c r="R52" i="30"/>
  <c r="Q52" i="30"/>
  <c r="P52" i="30"/>
  <c r="O52" i="30"/>
  <c r="N52" i="30"/>
  <c r="W51" i="30"/>
  <c r="T51" i="30"/>
  <c r="S51" i="30"/>
  <c r="R51" i="30"/>
  <c r="Q51" i="30"/>
  <c r="P51" i="30"/>
  <c r="O51" i="30"/>
  <c r="N51" i="30"/>
  <c r="W50" i="30"/>
  <c r="T50" i="30"/>
  <c r="S50" i="30"/>
  <c r="R50" i="30"/>
  <c r="Q50" i="30"/>
  <c r="P50" i="30"/>
  <c r="O50" i="30"/>
  <c r="N50" i="30"/>
  <c r="W49" i="30"/>
  <c r="T49" i="30"/>
  <c r="S49" i="30"/>
  <c r="R49" i="30"/>
  <c r="Q49" i="30"/>
  <c r="P49" i="30"/>
  <c r="O49" i="30"/>
  <c r="N49" i="30"/>
  <c r="W48" i="30"/>
  <c r="T48" i="30"/>
  <c r="S48" i="30"/>
  <c r="R48" i="30"/>
  <c r="Q48" i="30"/>
  <c r="P48" i="30"/>
  <c r="O48" i="30"/>
  <c r="N48" i="30"/>
  <c r="W47" i="30"/>
  <c r="T47" i="30"/>
  <c r="S47" i="30"/>
  <c r="R47" i="30"/>
  <c r="Q47" i="30"/>
  <c r="P47" i="30"/>
  <c r="O47" i="30"/>
  <c r="N47" i="30"/>
  <c r="W46" i="30"/>
  <c r="T46" i="30"/>
  <c r="S46" i="30"/>
  <c r="R46" i="30"/>
  <c r="Q46" i="30"/>
  <c r="P46" i="30"/>
  <c r="O46" i="30"/>
  <c r="N46" i="30"/>
  <c r="W45" i="30"/>
  <c r="T45" i="30"/>
  <c r="S45" i="30"/>
  <c r="R45" i="30"/>
  <c r="Q45" i="30"/>
  <c r="P45" i="30"/>
  <c r="O45" i="30"/>
  <c r="N45" i="30"/>
  <c r="W44" i="30"/>
  <c r="T44" i="30"/>
  <c r="S44" i="30"/>
  <c r="R44" i="30"/>
  <c r="Q44" i="30"/>
  <c r="P44" i="30"/>
  <c r="O44" i="30"/>
  <c r="N44" i="30"/>
  <c r="W43" i="30"/>
  <c r="T43" i="30"/>
  <c r="S43" i="30"/>
  <c r="R43" i="30"/>
  <c r="Q43" i="30"/>
  <c r="P43" i="30"/>
  <c r="O43" i="30"/>
  <c r="N43" i="30"/>
  <c r="W42" i="30"/>
  <c r="T42" i="30"/>
  <c r="S42" i="30"/>
  <c r="R42" i="30"/>
  <c r="Q42" i="30"/>
  <c r="P42" i="30"/>
  <c r="O42" i="30"/>
  <c r="N42" i="30"/>
  <c r="W41" i="30"/>
  <c r="T41" i="30"/>
  <c r="S41" i="30"/>
  <c r="R41" i="30"/>
  <c r="Q41" i="30"/>
  <c r="P41" i="30"/>
  <c r="O41" i="30"/>
  <c r="N41" i="30"/>
  <c r="W40" i="30"/>
  <c r="T40" i="30"/>
  <c r="S40" i="30"/>
  <c r="R40" i="30"/>
  <c r="Q40" i="30"/>
  <c r="P40" i="30"/>
  <c r="O40" i="30"/>
  <c r="N40" i="30"/>
  <c r="W39" i="30"/>
  <c r="T39" i="30"/>
  <c r="S39" i="30"/>
  <c r="R39" i="30"/>
  <c r="Q39" i="30"/>
  <c r="P39" i="30"/>
  <c r="O39" i="30"/>
  <c r="N39" i="30"/>
  <c r="W38" i="30"/>
  <c r="T38" i="30"/>
  <c r="S38" i="30"/>
  <c r="R38" i="30"/>
  <c r="Q38" i="30"/>
  <c r="P38" i="30"/>
  <c r="O38" i="30"/>
  <c r="N38" i="30"/>
  <c r="W37" i="30"/>
  <c r="T37" i="30"/>
  <c r="S37" i="30"/>
  <c r="R37" i="30"/>
  <c r="Q37" i="30"/>
  <c r="P37" i="30"/>
  <c r="O37" i="30"/>
  <c r="N37" i="30"/>
  <c r="W36" i="30"/>
  <c r="T36" i="30"/>
  <c r="S36" i="30"/>
  <c r="R36" i="30"/>
  <c r="Q36" i="30"/>
  <c r="P36" i="30"/>
  <c r="O36" i="30"/>
  <c r="N36" i="30"/>
  <c r="W35" i="30"/>
  <c r="T35" i="30"/>
  <c r="S35" i="30"/>
  <c r="R35" i="30"/>
  <c r="Q35" i="30"/>
  <c r="P35" i="30"/>
  <c r="O35" i="30"/>
  <c r="N35" i="30"/>
  <c r="W34" i="30"/>
  <c r="T34" i="30"/>
  <c r="S34" i="30"/>
  <c r="R34" i="30"/>
  <c r="Q34" i="30"/>
  <c r="P34" i="30"/>
  <c r="O34" i="30"/>
  <c r="N34" i="30"/>
  <c r="W33" i="30"/>
  <c r="T33" i="30"/>
  <c r="S33" i="30"/>
  <c r="R33" i="30"/>
  <c r="Q33" i="30"/>
  <c r="P33" i="30"/>
  <c r="O33" i="30"/>
  <c r="N33" i="30"/>
  <c r="W32" i="30"/>
  <c r="T32" i="30"/>
  <c r="S32" i="30"/>
  <c r="R32" i="30"/>
  <c r="Q32" i="30"/>
  <c r="P32" i="30"/>
  <c r="O32" i="30"/>
  <c r="N32" i="30"/>
  <c r="W31" i="30"/>
  <c r="T31" i="30"/>
  <c r="S31" i="30"/>
  <c r="R31" i="30"/>
  <c r="Q31" i="30"/>
  <c r="P31" i="30"/>
  <c r="O31" i="30"/>
  <c r="N31" i="30"/>
  <c r="W30" i="30"/>
  <c r="T30" i="30"/>
  <c r="S30" i="30"/>
  <c r="R30" i="30"/>
  <c r="Q30" i="30"/>
  <c r="P30" i="30"/>
  <c r="O30" i="30"/>
  <c r="N30" i="30"/>
  <c r="W29" i="30"/>
  <c r="T29" i="30"/>
  <c r="S29" i="30"/>
  <c r="R29" i="30"/>
  <c r="Q29" i="30"/>
  <c r="P29" i="30"/>
  <c r="O29" i="30"/>
  <c r="N29" i="30"/>
  <c r="W28" i="30"/>
  <c r="T28" i="30"/>
  <c r="S28" i="30"/>
  <c r="R28" i="30"/>
  <c r="Q28" i="30"/>
  <c r="P28" i="30"/>
  <c r="O28" i="30"/>
  <c r="N28" i="30"/>
  <c r="W27" i="30"/>
  <c r="T27" i="30"/>
  <c r="S27" i="30"/>
  <c r="R27" i="30"/>
  <c r="Q27" i="30"/>
  <c r="P27" i="30"/>
  <c r="O27" i="30"/>
  <c r="N27" i="30"/>
  <c r="W26" i="30"/>
  <c r="T26" i="30"/>
  <c r="S26" i="30"/>
  <c r="R26" i="30"/>
  <c r="Q26" i="30"/>
  <c r="P26" i="30"/>
  <c r="O26" i="30"/>
  <c r="N26" i="30"/>
  <c r="W25" i="30"/>
  <c r="T25" i="30"/>
  <c r="S25" i="30"/>
  <c r="R25" i="30"/>
  <c r="Q25" i="30"/>
  <c r="P25" i="30"/>
  <c r="O25" i="30"/>
  <c r="N25" i="30"/>
  <c r="W24" i="30"/>
  <c r="T24" i="30"/>
  <c r="S24" i="30"/>
  <c r="R24" i="30"/>
  <c r="Q24" i="30"/>
  <c r="P24" i="30"/>
  <c r="O24" i="30"/>
  <c r="N24" i="30"/>
  <c r="W23" i="30"/>
  <c r="T23" i="30"/>
  <c r="S23" i="30"/>
  <c r="R23" i="30"/>
  <c r="Q23" i="30"/>
  <c r="P23" i="30"/>
  <c r="O23" i="30"/>
  <c r="N23" i="30"/>
  <c r="W22" i="30"/>
  <c r="T22" i="30"/>
  <c r="S22" i="30"/>
  <c r="R22" i="30"/>
  <c r="Q22" i="30"/>
  <c r="P22" i="30"/>
  <c r="O22" i="30"/>
  <c r="N22" i="30"/>
  <c r="W21" i="30"/>
  <c r="T21" i="30"/>
  <c r="S21" i="30"/>
  <c r="R21" i="30"/>
  <c r="Q21" i="30"/>
  <c r="P21" i="30"/>
  <c r="O21" i="30"/>
  <c r="N21" i="30"/>
  <c r="W20" i="30"/>
  <c r="T20" i="30"/>
  <c r="S20" i="30"/>
  <c r="R20" i="30"/>
  <c r="Q20" i="30"/>
  <c r="P20" i="30"/>
  <c r="O20" i="30"/>
  <c r="N20" i="30"/>
  <c r="W19" i="30"/>
  <c r="T19" i="30"/>
  <c r="S19" i="30"/>
  <c r="R19" i="30"/>
  <c r="Q19" i="30"/>
  <c r="P19" i="30"/>
  <c r="O19" i="30"/>
  <c r="N19" i="30"/>
  <c r="W18" i="30"/>
  <c r="T18" i="30"/>
  <c r="S18" i="30"/>
  <c r="R18" i="30"/>
  <c r="Q18" i="30"/>
  <c r="P18" i="30"/>
  <c r="O18" i="30"/>
  <c r="N18" i="30"/>
  <c r="W17" i="30"/>
  <c r="T17" i="30"/>
  <c r="S17" i="30"/>
  <c r="R17" i="30"/>
  <c r="Q17" i="30"/>
  <c r="P17" i="30"/>
  <c r="O17" i="30"/>
  <c r="N17" i="30"/>
  <c r="W16" i="30"/>
  <c r="T16" i="30"/>
  <c r="S16" i="30"/>
  <c r="R16" i="30"/>
  <c r="Q16" i="30"/>
  <c r="P16" i="30"/>
  <c r="O16" i="30"/>
  <c r="N16" i="30"/>
  <c r="W15" i="30"/>
  <c r="T15" i="30"/>
  <c r="S15" i="30"/>
  <c r="R15" i="30"/>
  <c r="Q15" i="30"/>
  <c r="P15" i="30"/>
  <c r="O15" i="30"/>
  <c r="N15" i="30"/>
  <c r="W14" i="30"/>
  <c r="T14" i="30"/>
  <c r="S14" i="30"/>
  <c r="R14" i="30"/>
  <c r="Q14" i="30"/>
  <c r="P14" i="30"/>
  <c r="O14" i="30"/>
  <c r="N14" i="30"/>
  <c r="W13" i="30"/>
  <c r="T13" i="30"/>
  <c r="S13" i="30"/>
  <c r="R13" i="30"/>
  <c r="Q13" i="30"/>
  <c r="P13" i="30"/>
  <c r="O13" i="30"/>
  <c r="N13" i="30"/>
  <c r="W12" i="30"/>
  <c r="T12" i="30"/>
  <c r="S12" i="30"/>
  <c r="R12" i="30"/>
  <c r="Q12" i="30"/>
  <c r="P12" i="30"/>
  <c r="O12" i="30"/>
  <c r="N12" i="30"/>
  <c r="W11" i="30"/>
  <c r="S11" i="30"/>
  <c r="R11" i="30"/>
  <c r="P11" i="30"/>
  <c r="O11" i="30"/>
  <c r="N11" i="30"/>
  <c r="W10" i="30"/>
  <c r="S10" i="30"/>
  <c r="R10" i="30"/>
  <c r="P10" i="30"/>
  <c r="O10" i="30"/>
  <c r="N10" i="30"/>
  <c r="X9" i="30"/>
  <c r="W9" i="30"/>
  <c r="S9" i="30"/>
  <c r="R9" i="30"/>
  <c r="P9" i="30"/>
  <c r="O9" i="30"/>
  <c r="N9" i="30"/>
  <c r="X8" i="30"/>
  <c r="W8" i="30"/>
  <c r="S8" i="30"/>
  <c r="R8" i="30"/>
  <c r="P8" i="30"/>
  <c r="O8" i="30"/>
  <c r="N8" i="30"/>
  <c r="X7" i="30"/>
  <c r="W7" i="30"/>
  <c r="S7" i="30"/>
  <c r="R7" i="30"/>
  <c r="P7" i="30"/>
  <c r="O7" i="30"/>
  <c r="N7" i="30"/>
  <c r="X6" i="30"/>
  <c r="W6" i="30"/>
  <c r="S6" i="30"/>
  <c r="R6" i="30"/>
  <c r="P6" i="30"/>
  <c r="O6" i="30"/>
  <c r="N6" i="30"/>
  <c r="X5" i="30"/>
  <c r="W5" i="30"/>
  <c r="S5" i="30"/>
  <c r="R5" i="30"/>
  <c r="P5" i="30"/>
  <c r="O5" i="30"/>
  <c r="N5" i="30"/>
  <c r="U63" i="41" l="1"/>
  <c r="U35" i="41"/>
  <c r="V7" i="41"/>
  <c r="U18" i="41"/>
  <c r="U34" i="41"/>
  <c r="Z48" i="41"/>
  <c r="J48" i="41" s="1"/>
  <c r="V56" i="41"/>
  <c r="V60" i="41"/>
  <c r="Z45" i="41"/>
  <c r="J45" i="41" s="1"/>
  <c r="V6" i="41"/>
  <c r="U17" i="41"/>
  <c r="U21" i="41"/>
  <c r="U33" i="41"/>
  <c r="U37" i="41"/>
  <c r="Z47" i="41"/>
  <c r="J47" i="41" s="1"/>
  <c r="Z51" i="41"/>
  <c r="J51" i="41" s="1"/>
  <c r="U64" i="41"/>
  <c r="Z49" i="41"/>
  <c r="J49" i="41" s="1"/>
  <c r="V61" i="41"/>
  <c r="V16" i="41"/>
  <c r="V32" i="41"/>
  <c r="V59" i="41"/>
  <c r="V57" i="41"/>
  <c r="U20" i="41"/>
  <c r="U36" i="41"/>
  <c r="Z46" i="41"/>
  <c r="J46" i="41" s="1"/>
  <c r="Z50" i="41"/>
  <c r="J50" i="41" s="1"/>
  <c r="Z189" i="42"/>
  <c r="J189" i="42" s="1"/>
  <c r="Z188" i="42"/>
  <c r="J188" i="42" s="1"/>
  <c r="Z187" i="42"/>
  <c r="J187" i="42" s="1"/>
  <c r="Z186" i="42"/>
  <c r="J186" i="42" s="1"/>
  <c r="Z185" i="42"/>
  <c r="J185" i="42" s="1"/>
  <c r="Z184" i="42"/>
  <c r="J184" i="42" s="1"/>
  <c r="Z183" i="42"/>
  <c r="J183" i="42" s="1"/>
  <c r="U178" i="42"/>
  <c r="U177" i="42"/>
  <c r="V176" i="42"/>
  <c r="V175" i="42"/>
  <c r="V174" i="42"/>
  <c r="V173" i="42"/>
  <c r="V172" i="42"/>
  <c r="V171" i="42"/>
  <c r="Z164" i="42"/>
  <c r="J164" i="42" s="1"/>
  <c r="Z163" i="42"/>
  <c r="J163" i="42" s="1"/>
  <c r="Z162" i="42"/>
  <c r="J162" i="42" s="1"/>
  <c r="Z161" i="42"/>
  <c r="J161" i="42" s="1"/>
  <c r="Z160" i="42"/>
  <c r="J160" i="42" s="1"/>
  <c r="Z159" i="42"/>
  <c r="J159" i="42" s="1"/>
  <c r="U154" i="42"/>
  <c r="U153" i="42"/>
  <c r="V152" i="42"/>
  <c r="V151" i="42"/>
  <c r="V150" i="42"/>
  <c r="V149" i="42"/>
  <c r="V148" i="42"/>
  <c r="Z144" i="42"/>
  <c r="J144" i="42" s="1"/>
  <c r="Z143" i="42"/>
  <c r="J143" i="42" s="1"/>
  <c r="Z142" i="42"/>
  <c r="J142" i="42" s="1"/>
  <c r="Z141" i="42"/>
  <c r="J141" i="42" s="1"/>
  <c r="Z140" i="42"/>
  <c r="J140" i="42" s="1"/>
  <c r="Z139" i="42"/>
  <c r="J139" i="42" s="1"/>
  <c r="Z138" i="42"/>
  <c r="J138" i="42" s="1"/>
  <c r="U135" i="42"/>
  <c r="U134" i="42"/>
  <c r="V133" i="42"/>
  <c r="V132" i="42"/>
  <c r="V131" i="42"/>
  <c r="V130" i="42"/>
  <c r="V129" i="42"/>
  <c r="V128" i="42"/>
  <c r="Z123" i="42"/>
  <c r="J123" i="42" s="1"/>
  <c r="Z122" i="42"/>
  <c r="J122" i="42" s="1"/>
  <c r="Z121" i="42"/>
  <c r="J121" i="42" s="1"/>
  <c r="Z120" i="42"/>
  <c r="J120" i="42" s="1"/>
  <c r="Z119" i="42"/>
  <c r="J119" i="42" s="1"/>
  <c r="Z118" i="42"/>
  <c r="J118" i="42" s="1"/>
  <c r="U114" i="42"/>
  <c r="V113" i="42"/>
  <c r="V112" i="42"/>
  <c r="V111" i="42"/>
  <c r="V110" i="42"/>
  <c r="V109" i="42"/>
  <c r="V108" i="42"/>
  <c r="V107" i="42"/>
  <c r="Z102" i="42"/>
  <c r="J102" i="42" s="1"/>
  <c r="Z101" i="42"/>
  <c r="J101" i="42" s="1"/>
  <c r="Z100" i="42"/>
  <c r="J100" i="42" s="1"/>
  <c r="Z99" i="42"/>
  <c r="J99" i="42" s="1"/>
  <c r="Z98" i="42"/>
  <c r="J98" i="42" s="1"/>
  <c r="Z97" i="42"/>
  <c r="J97" i="42" s="1"/>
  <c r="Z96" i="42"/>
  <c r="J96" i="42" s="1"/>
  <c r="U93" i="42"/>
  <c r="U92" i="42"/>
  <c r="Z182" i="42"/>
  <c r="J182" i="42" s="1"/>
  <c r="Z181" i="42"/>
  <c r="J181" i="42" s="1"/>
  <c r="U176" i="42"/>
  <c r="U175" i="42"/>
  <c r="U174" i="42"/>
  <c r="U173" i="42"/>
  <c r="U172" i="42"/>
  <c r="U171" i="42"/>
  <c r="V170" i="42"/>
  <c r="V169" i="42"/>
  <c r="Z158" i="42"/>
  <c r="J158" i="42" s="1"/>
  <c r="Z157" i="42"/>
  <c r="J157" i="42" s="1"/>
  <c r="U152" i="42"/>
  <c r="U151" i="42"/>
  <c r="U150" i="42"/>
  <c r="U149" i="42"/>
  <c r="U148" i="42"/>
  <c r="V147" i="42"/>
  <c r="Z137" i="42"/>
  <c r="J137" i="42" s="1"/>
  <c r="U133" i="42"/>
  <c r="U132" i="42"/>
  <c r="U131" i="42"/>
  <c r="U130" i="42"/>
  <c r="U129" i="42"/>
  <c r="U128" i="42"/>
  <c r="V127" i="42"/>
  <c r="Z117" i="42"/>
  <c r="J117" i="42" s="1"/>
  <c r="Z116" i="42"/>
  <c r="J116" i="42" s="1"/>
  <c r="U113" i="42"/>
  <c r="U112" i="42"/>
  <c r="U111" i="42"/>
  <c r="U110" i="42"/>
  <c r="U109" i="42"/>
  <c r="U108" i="42"/>
  <c r="U107" i="42"/>
  <c r="V106" i="42"/>
  <c r="Z95" i="42"/>
  <c r="J95" i="42" s="1"/>
  <c r="U91" i="42"/>
  <c r="U90" i="42"/>
  <c r="U89" i="42"/>
  <c r="U88" i="42"/>
  <c r="U87" i="42"/>
  <c r="U86" i="42"/>
  <c r="V85" i="42"/>
  <c r="V84" i="42"/>
  <c r="Z74" i="42"/>
  <c r="J74" i="42" s="1"/>
  <c r="Z180" i="42"/>
  <c r="J180" i="42" s="1"/>
  <c r="Z179" i="42"/>
  <c r="J179" i="42" s="1"/>
  <c r="U170" i="42"/>
  <c r="U169" i="42"/>
  <c r="V168" i="42"/>
  <c r="V167" i="42"/>
  <c r="Z156" i="42"/>
  <c r="J156" i="42" s="1"/>
  <c r="Z155" i="42"/>
  <c r="J155" i="42" s="1"/>
  <c r="U147" i="42"/>
  <c r="V146" i="42"/>
  <c r="Z136" i="42"/>
  <c r="J136" i="42" s="1"/>
  <c r="U127" i="42"/>
  <c r="V126" i="42"/>
  <c r="Z115" i="42"/>
  <c r="J115" i="42" s="1"/>
  <c r="U106" i="42"/>
  <c r="V105" i="42"/>
  <c r="V104" i="42"/>
  <c r="Z94" i="42"/>
  <c r="J94" i="42" s="1"/>
  <c r="U85" i="42"/>
  <c r="U84" i="42"/>
  <c r="V83" i="42"/>
  <c r="Z73" i="42"/>
  <c r="J73" i="42" s="1"/>
  <c r="Z72" i="42"/>
  <c r="J72" i="42" s="1"/>
  <c r="U63" i="42"/>
  <c r="V62" i="42"/>
  <c r="Z51" i="42"/>
  <c r="J51" i="42" s="1"/>
  <c r="V189" i="42"/>
  <c r="V188" i="42"/>
  <c r="V187" i="42"/>
  <c r="V186" i="42"/>
  <c r="V185" i="42"/>
  <c r="V184" i="42"/>
  <c r="V183" i="42"/>
  <c r="Z176" i="42"/>
  <c r="J176" i="42" s="1"/>
  <c r="Z175" i="42"/>
  <c r="J175" i="42" s="1"/>
  <c r="Z174" i="42"/>
  <c r="J174" i="42" s="1"/>
  <c r="Z173" i="42"/>
  <c r="J173" i="42" s="1"/>
  <c r="Z172" i="42"/>
  <c r="J172" i="42" s="1"/>
  <c r="Z171" i="42"/>
  <c r="J171" i="42" s="1"/>
  <c r="U166" i="42"/>
  <c r="U165" i="42"/>
  <c r="V164" i="42"/>
  <c r="V163" i="42"/>
  <c r="V162" i="42"/>
  <c r="V161" i="42"/>
  <c r="V160" i="42"/>
  <c r="V159" i="42"/>
  <c r="Z152" i="42"/>
  <c r="J152" i="42" s="1"/>
  <c r="Z151" i="42"/>
  <c r="J151" i="42" s="1"/>
  <c r="Z150" i="42"/>
  <c r="J150" i="42" s="1"/>
  <c r="Z149" i="42"/>
  <c r="J149" i="42" s="1"/>
  <c r="Z148" i="42"/>
  <c r="J148" i="42" s="1"/>
  <c r="U145" i="42"/>
  <c r="V144" i="42"/>
  <c r="V143" i="42"/>
  <c r="V142" i="42"/>
  <c r="V141" i="42"/>
  <c r="V140" i="42"/>
  <c r="V139" i="42"/>
  <c r="V138" i="42"/>
  <c r="Z133" i="42"/>
  <c r="J133" i="42" s="1"/>
  <c r="Z132" i="42"/>
  <c r="J132" i="42" s="1"/>
  <c r="Z131" i="42"/>
  <c r="J131" i="42" s="1"/>
  <c r="Z130" i="42"/>
  <c r="J130" i="42" s="1"/>
  <c r="Z129" i="42"/>
  <c r="J129" i="42" s="1"/>
  <c r="Z128" i="42"/>
  <c r="J128" i="42" s="1"/>
  <c r="U125" i="42"/>
  <c r="U124" i="42"/>
  <c r="V123" i="42"/>
  <c r="V122" i="42"/>
  <c r="V121" i="42"/>
  <c r="V120" i="42"/>
  <c r="V119" i="42"/>
  <c r="V118" i="42"/>
  <c r="Z113" i="42"/>
  <c r="J113" i="42" s="1"/>
  <c r="Z112" i="42"/>
  <c r="J112" i="42" s="1"/>
  <c r="Z111" i="42"/>
  <c r="J111" i="42" s="1"/>
  <c r="Z110" i="42"/>
  <c r="J110" i="42" s="1"/>
  <c r="Z109" i="42"/>
  <c r="J109" i="42" s="1"/>
  <c r="Z108" i="42"/>
  <c r="J108" i="42" s="1"/>
  <c r="Z107" i="42"/>
  <c r="J107" i="42" s="1"/>
  <c r="U103" i="42"/>
  <c r="V102" i="42"/>
  <c r="V101" i="42"/>
  <c r="V100" i="42"/>
  <c r="V99" i="42"/>
  <c r="V98" i="42"/>
  <c r="V97" i="42"/>
  <c r="V96" i="42"/>
  <c r="Z91" i="42"/>
  <c r="J91" i="42" s="1"/>
  <c r="U189" i="42"/>
  <c r="U188" i="42"/>
  <c r="U187" i="42"/>
  <c r="U186" i="42"/>
  <c r="U185" i="42"/>
  <c r="U184" i="42"/>
  <c r="U183" i="42"/>
  <c r="V182" i="42"/>
  <c r="V181" i="42"/>
  <c r="Z170" i="42"/>
  <c r="J170" i="42" s="1"/>
  <c r="Z169" i="42"/>
  <c r="J169" i="42" s="1"/>
  <c r="U164" i="42"/>
  <c r="U163" i="42"/>
  <c r="U162" i="42"/>
  <c r="U161" i="42"/>
  <c r="U160" i="42"/>
  <c r="U159" i="42"/>
  <c r="V158" i="42"/>
  <c r="V157" i="42"/>
  <c r="Z147" i="42"/>
  <c r="J147" i="42" s="1"/>
  <c r="U144" i="42"/>
  <c r="U143" i="42"/>
  <c r="U142" i="42"/>
  <c r="U141" i="42"/>
  <c r="U140" i="42"/>
  <c r="U139" i="42"/>
  <c r="U138" i="42"/>
  <c r="V137" i="42"/>
  <c r="Z127" i="42"/>
  <c r="J127" i="42" s="1"/>
  <c r="U123" i="42"/>
  <c r="U122" i="42"/>
  <c r="U121" i="42"/>
  <c r="U120" i="42"/>
  <c r="U119" i="42"/>
  <c r="U118" i="42"/>
  <c r="V117" i="42"/>
  <c r="V116" i="42"/>
  <c r="Z106" i="42"/>
  <c r="J106" i="42" s="1"/>
  <c r="U102" i="42"/>
  <c r="U101" i="42"/>
  <c r="U100" i="42"/>
  <c r="U99" i="42"/>
  <c r="U98" i="42"/>
  <c r="U97" i="42"/>
  <c r="U96" i="42"/>
  <c r="V95" i="42"/>
  <c r="Z85" i="42"/>
  <c r="J85" i="42" s="1"/>
  <c r="Z84" i="42"/>
  <c r="J84" i="42" s="1"/>
  <c r="U81" i="42"/>
  <c r="U80" i="42"/>
  <c r="U79" i="42"/>
  <c r="V180" i="42"/>
  <c r="U179" i="42"/>
  <c r="V178" i="42"/>
  <c r="Z165" i="42"/>
  <c r="J165" i="42" s="1"/>
  <c r="U158" i="42"/>
  <c r="Z153" i="42"/>
  <c r="J153" i="42" s="1"/>
  <c r="Z114" i="42"/>
  <c r="J114" i="42" s="1"/>
  <c r="V90" i="42"/>
  <c r="Z86" i="42"/>
  <c r="J86" i="42" s="1"/>
  <c r="Z79" i="42"/>
  <c r="J79" i="42" s="1"/>
  <c r="Z70" i="42"/>
  <c r="J70" i="42" s="1"/>
  <c r="Z69" i="42"/>
  <c r="J69" i="42" s="1"/>
  <c r="Z68" i="42"/>
  <c r="J68" i="42" s="1"/>
  <c r="Z67" i="42"/>
  <c r="J67" i="42" s="1"/>
  <c r="Z66" i="42"/>
  <c r="J66" i="42" s="1"/>
  <c r="Z65" i="42"/>
  <c r="J65" i="42" s="1"/>
  <c r="Z64" i="42"/>
  <c r="J64" i="42" s="1"/>
  <c r="Z62" i="42"/>
  <c r="J62" i="42" s="1"/>
  <c r="Z61" i="42"/>
  <c r="J61" i="42" s="1"/>
  <c r="Z60" i="42"/>
  <c r="J60" i="42" s="1"/>
  <c r="U50" i="42"/>
  <c r="V49" i="42"/>
  <c r="V48" i="42"/>
  <c r="V47" i="42"/>
  <c r="V46" i="42"/>
  <c r="U45" i="42"/>
  <c r="U44" i="42"/>
  <c r="U43" i="42"/>
  <c r="U42" i="42"/>
  <c r="V41" i="42"/>
  <c r="Z29" i="42"/>
  <c r="J29" i="42" s="1"/>
  <c r="U25" i="42"/>
  <c r="U24" i="42"/>
  <c r="U23" i="42"/>
  <c r="U22" i="42"/>
  <c r="U21" i="42"/>
  <c r="U20" i="42"/>
  <c r="U19" i="42"/>
  <c r="U18" i="42"/>
  <c r="U17" i="42"/>
  <c r="V16" i="42"/>
  <c r="V15" i="42"/>
  <c r="Z179" i="41"/>
  <c r="J179" i="41" s="1"/>
  <c r="U170" i="41"/>
  <c r="U169" i="41"/>
  <c r="V168" i="41"/>
  <c r="V167" i="41"/>
  <c r="Z156" i="41"/>
  <c r="J156" i="41" s="1"/>
  <c r="Z155" i="41"/>
  <c r="J155" i="41" s="1"/>
  <c r="U144" i="41"/>
  <c r="U143" i="41"/>
  <c r="V142" i="41"/>
  <c r="Z130" i="41"/>
  <c r="J130" i="41" s="1"/>
  <c r="Z129" i="41"/>
  <c r="J129" i="41" s="1"/>
  <c r="U181" i="42"/>
  <c r="U180" i="42"/>
  <c r="Z167" i="42"/>
  <c r="J167" i="42" s="1"/>
  <c r="Z166" i="42"/>
  <c r="J166" i="42" s="1"/>
  <c r="Z154" i="42"/>
  <c r="J154" i="42" s="1"/>
  <c r="U146" i="42"/>
  <c r="V145" i="42"/>
  <c r="V136" i="42"/>
  <c r="V134" i="42"/>
  <c r="V91" i="42"/>
  <c r="Z87" i="42"/>
  <c r="J87" i="42" s="1"/>
  <c r="Z83" i="42"/>
  <c r="J83" i="42" s="1"/>
  <c r="Z82" i="42"/>
  <c r="J82" i="42" s="1"/>
  <c r="Z80" i="42"/>
  <c r="J80" i="42" s="1"/>
  <c r="Z63" i="42"/>
  <c r="J63" i="42" s="1"/>
  <c r="Z59" i="42"/>
  <c r="J59" i="42" s="1"/>
  <c r="Z58" i="42"/>
  <c r="J58" i="42" s="1"/>
  <c r="Z57" i="42"/>
  <c r="J57" i="42" s="1"/>
  <c r="Z56" i="42"/>
  <c r="J56" i="42" s="1"/>
  <c r="Z55" i="42"/>
  <c r="J55" i="42" s="1"/>
  <c r="Z54" i="42"/>
  <c r="J54" i="42" s="1"/>
  <c r="U49" i="42"/>
  <c r="U48" i="42"/>
  <c r="U47" i="42"/>
  <c r="U46" i="42"/>
  <c r="U41" i="42"/>
  <c r="V40" i="42"/>
  <c r="Z28" i="42"/>
  <c r="J28" i="42" s="1"/>
  <c r="U16" i="42"/>
  <c r="U15" i="42"/>
  <c r="V14" i="42"/>
  <c r="V13" i="42"/>
  <c r="V5" i="42"/>
  <c r="V189" i="41"/>
  <c r="Z178" i="41"/>
  <c r="J178" i="41" s="1"/>
  <c r="Z177" i="41"/>
  <c r="J177" i="41" s="1"/>
  <c r="U168" i="41"/>
  <c r="U167" i="41"/>
  <c r="V166" i="41"/>
  <c r="Z154" i="41"/>
  <c r="J154" i="41" s="1"/>
  <c r="Z153" i="41"/>
  <c r="J153" i="41" s="1"/>
  <c r="U142" i="41"/>
  <c r="V141" i="41"/>
  <c r="Z128" i="41"/>
  <c r="J128" i="41" s="1"/>
  <c r="Z168" i="42"/>
  <c r="J168" i="42" s="1"/>
  <c r="U137" i="42"/>
  <c r="U136" i="42"/>
  <c r="V135" i="42"/>
  <c r="V124" i="42"/>
  <c r="U104" i="42"/>
  <c r="V103" i="42"/>
  <c r="V94" i="42"/>
  <c r="V92" i="42"/>
  <c r="Z88" i="42"/>
  <c r="J88" i="42" s="1"/>
  <c r="Z81" i="42"/>
  <c r="J81" i="42" s="1"/>
  <c r="V72" i="42"/>
  <c r="Z53" i="42"/>
  <c r="J53" i="42" s="1"/>
  <c r="Z52" i="42"/>
  <c r="J52" i="42" s="1"/>
  <c r="U40" i="42"/>
  <c r="V39" i="42"/>
  <c r="V38" i="42"/>
  <c r="Z27" i="42"/>
  <c r="J27" i="42" s="1"/>
  <c r="Z26" i="42"/>
  <c r="J26" i="42" s="1"/>
  <c r="U14" i="42"/>
  <c r="U13" i="42"/>
  <c r="V12" i="42"/>
  <c r="V11" i="42"/>
  <c r="V6" i="42"/>
  <c r="U5" i="42"/>
  <c r="U189" i="41"/>
  <c r="V188" i="41"/>
  <c r="V187" i="41"/>
  <c r="V186" i="41"/>
  <c r="V185" i="41"/>
  <c r="V184" i="41"/>
  <c r="V183" i="41"/>
  <c r="V182" i="41"/>
  <c r="V181" i="41"/>
  <c r="Z176" i="41"/>
  <c r="J176" i="41" s="1"/>
  <c r="Z175" i="41"/>
  <c r="J175" i="41" s="1"/>
  <c r="Z174" i="41"/>
  <c r="J174" i="41" s="1"/>
  <c r="Z173" i="41"/>
  <c r="J173" i="41" s="1"/>
  <c r="Z172" i="41"/>
  <c r="J172" i="41" s="1"/>
  <c r="Z171" i="41"/>
  <c r="J171" i="41" s="1"/>
  <c r="U166" i="41"/>
  <c r="V165" i="41"/>
  <c r="V164" i="41"/>
  <c r="V163" i="41"/>
  <c r="V162" i="41"/>
  <c r="V161" i="41"/>
  <c r="V160" i="41"/>
  <c r="V159" i="41"/>
  <c r="V158" i="41"/>
  <c r="Z152" i="41"/>
  <c r="J152" i="41" s="1"/>
  <c r="Z151" i="41"/>
  <c r="J151" i="41" s="1"/>
  <c r="Z150" i="41"/>
  <c r="J150" i="41" s="1"/>
  <c r="Z149" i="41"/>
  <c r="J149" i="41" s="1"/>
  <c r="Z148" i="41"/>
  <c r="J148" i="41" s="1"/>
  <c r="Z147" i="41"/>
  <c r="J147" i="41" s="1"/>
  <c r="Z146" i="41"/>
  <c r="J146" i="41" s="1"/>
  <c r="Z145" i="41"/>
  <c r="J145" i="41" s="1"/>
  <c r="U182" i="42"/>
  <c r="Z177" i="42"/>
  <c r="J177" i="42" s="1"/>
  <c r="U126" i="42"/>
  <c r="V125" i="42"/>
  <c r="V115" i="42"/>
  <c r="U105" i="42"/>
  <c r="U95" i="42"/>
  <c r="U94" i="42"/>
  <c r="V93" i="42"/>
  <c r="Z89" i="42"/>
  <c r="J89" i="42" s="1"/>
  <c r="V78" i="42"/>
  <c r="V77" i="42"/>
  <c r="V76" i="42"/>
  <c r="V75" i="42"/>
  <c r="V74" i="42"/>
  <c r="V73" i="42"/>
  <c r="U72" i="42"/>
  <c r="V71" i="42"/>
  <c r="Z50" i="42"/>
  <c r="J50" i="42" s="1"/>
  <c r="Z44" i="42"/>
  <c r="J44" i="42" s="1"/>
  <c r="Z43" i="42"/>
  <c r="J43" i="42" s="1"/>
  <c r="Z42" i="42"/>
  <c r="J42" i="42" s="1"/>
  <c r="U39" i="42"/>
  <c r="U38" i="42"/>
  <c r="V37" i="42"/>
  <c r="V36" i="42"/>
  <c r="V35" i="42"/>
  <c r="V34" i="42"/>
  <c r="V33" i="42"/>
  <c r="V32" i="42"/>
  <c r="V31" i="42"/>
  <c r="V30" i="42"/>
  <c r="Z25" i="42"/>
  <c r="J25" i="42" s="1"/>
  <c r="Z24" i="42"/>
  <c r="J24" i="42" s="1"/>
  <c r="Z23" i="42"/>
  <c r="J23" i="42" s="1"/>
  <c r="Z22" i="42"/>
  <c r="J22" i="42" s="1"/>
  <c r="Z21" i="42"/>
  <c r="J21" i="42" s="1"/>
  <c r="Z20" i="42"/>
  <c r="J20" i="42" s="1"/>
  <c r="Z19" i="42"/>
  <c r="J19" i="42" s="1"/>
  <c r="Z18" i="42"/>
  <c r="J18" i="42" s="1"/>
  <c r="Z17" i="42"/>
  <c r="J17" i="42" s="1"/>
  <c r="U12" i="42"/>
  <c r="U11" i="42"/>
  <c r="V10" i="42"/>
  <c r="V9" i="42"/>
  <c r="V8" i="42"/>
  <c r="V7" i="42"/>
  <c r="U6" i="42"/>
  <c r="U188" i="41"/>
  <c r="U187" i="41"/>
  <c r="U186" i="41"/>
  <c r="U185" i="41"/>
  <c r="U184" i="41"/>
  <c r="U183" i="41"/>
  <c r="U182" i="41"/>
  <c r="U181" i="41"/>
  <c r="V180" i="41"/>
  <c r="Z170" i="41"/>
  <c r="J170" i="41" s="1"/>
  <c r="Z169" i="41"/>
  <c r="J169" i="41" s="1"/>
  <c r="U165" i="41"/>
  <c r="U164" i="41"/>
  <c r="U163" i="41"/>
  <c r="U162" i="41"/>
  <c r="U161" i="41"/>
  <c r="Z178" i="42"/>
  <c r="J178" i="42" s="1"/>
  <c r="V165" i="42"/>
  <c r="V155" i="42"/>
  <c r="V153" i="42"/>
  <c r="U116" i="42"/>
  <c r="U115" i="42"/>
  <c r="V114" i="42"/>
  <c r="Z90" i="42"/>
  <c r="J90" i="42" s="1"/>
  <c r="V86" i="42"/>
  <c r="V79" i="42"/>
  <c r="U78" i="42"/>
  <c r="U77" i="42"/>
  <c r="U76" i="42"/>
  <c r="U75" i="42"/>
  <c r="U74" i="42"/>
  <c r="U73" i="42"/>
  <c r="U71" i="42"/>
  <c r="V70" i="42"/>
  <c r="V69" i="42"/>
  <c r="V68" i="42"/>
  <c r="V67" i="42"/>
  <c r="V66" i="42"/>
  <c r="V65" i="42"/>
  <c r="V64" i="42"/>
  <c r="U62" i="42"/>
  <c r="V61" i="42"/>
  <c r="V60" i="42"/>
  <c r="Z49" i="42"/>
  <c r="J49" i="42" s="1"/>
  <c r="Z48" i="42"/>
  <c r="J48" i="42" s="1"/>
  <c r="Z47" i="42"/>
  <c r="J47" i="42" s="1"/>
  <c r="Z46" i="42"/>
  <c r="J46" i="42" s="1"/>
  <c r="Z45" i="42"/>
  <c r="J45" i="42" s="1"/>
  <c r="Z41" i="42"/>
  <c r="J41" i="42" s="1"/>
  <c r="U37" i="42"/>
  <c r="U36" i="42"/>
  <c r="U35" i="42"/>
  <c r="U34" i="42"/>
  <c r="U33" i="42"/>
  <c r="U32" i="42"/>
  <c r="U31" i="42"/>
  <c r="U30" i="42"/>
  <c r="V29" i="42"/>
  <c r="Z16" i="42"/>
  <c r="J16" i="42" s="1"/>
  <c r="Z15" i="42"/>
  <c r="J15" i="42" s="1"/>
  <c r="U10" i="42"/>
  <c r="U9" i="42"/>
  <c r="U8" i="42"/>
  <c r="U7" i="42"/>
  <c r="U180" i="41"/>
  <c r="V179" i="41"/>
  <c r="Z168" i="41"/>
  <c r="J168" i="41" s="1"/>
  <c r="Z167" i="41"/>
  <c r="J167" i="41" s="1"/>
  <c r="U157" i="41"/>
  <c r="V156" i="41"/>
  <c r="V155" i="41"/>
  <c r="Z142" i="41"/>
  <c r="J142" i="41" s="1"/>
  <c r="U132" i="41"/>
  <c r="U131" i="41"/>
  <c r="U167" i="42"/>
  <c r="V166" i="42"/>
  <c r="V156" i="42"/>
  <c r="U155" i="42"/>
  <c r="V154" i="42"/>
  <c r="Z146" i="42"/>
  <c r="J146" i="42" s="1"/>
  <c r="Z145" i="42"/>
  <c r="J145" i="42" s="1"/>
  <c r="Z134" i="42"/>
  <c r="J134" i="42" s="1"/>
  <c r="V87" i="42"/>
  <c r="U83" i="42"/>
  <c r="V82" i="42"/>
  <c r="V80" i="42"/>
  <c r="U70" i="42"/>
  <c r="U69" i="42"/>
  <c r="U68" i="42"/>
  <c r="U67" i="42"/>
  <c r="U66" i="42"/>
  <c r="U65" i="42"/>
  <c r="U64" i="42"/>
  <c r="V63" i="42"/>
  <c r="U61" i="42"/>
  <c r="U60" i="42"/>
  <c r="V59" i="42"/>
  <c r="V58" i="42"/>
  <c r="V57" i="42"/>
  <c r="V56" i="42"/>
  <c r="V55" i="42"/>
  <c r="V54" i="42"/>
  <c r="Z40" i="42"/>
  <c r="J40" i="42" s="1"/>
  <c r="U29" i="42"/>
  <c r="V28" i="42"/>
  <c r="Z14" i="42"/>
  <c r="J14" i="42" s="1"/>
  <c r="Z13" i="42"/>
  <c r="J13" i="42" s="1"/>
  <c r="Z5" i="42"/>
  <c r="J5" i="42" s="1"/>
  <c r="Z189" i="41"/>
  <c r="J189" i="41" s="1"/>
  <c r="U179" i="41"/>
  <c r="V178" i="41"/>
  <c r="V177" i="41"/>
  <c r="Z166" i="41"/>
  <c r="J166" i="41" s="1"/>
  <c r="U156" i="41"/>
  <c r="U155" i="41"/>
  <c r="V154" i="41"/>
  <c r="V153" i="41"/>
  <c r="Z141" i="41"/>
  <c r="J141" i="41" s="1"/>
  <c r="U130" i="41"/>
  <c r="U129" i="41"/>
  <c r="V179" i="42"/>
  <c r="U156" i="42"/>
  <c r="U117" i="42"/>
  <c r="Z104" i="42"/>
  <c r="J104" i="42" s="1"/>
  <c r="V88" i="42"/>
  <c r="U58" i="42"/>
  <c r="U54" i="42"/>
  <c r="U53" i="42"/>
  <c r="Z36" i="42"/>
  <c r="J36" i="42" s="1"/>
  <c r="Z32" i="42"/>
  <c r="J32" i="42" s="1"/>
  <c r="V26" i="42"/>
  <c r="V25" i="42"/>
  <c r="V21" i="42"/>
  <c r="V17" i="42"/>
  <c r="Z188" i="41"/>
  <c r="J188" i="41" s="1"/>
  <c r="Z184" i="41"/>
  <c r="J184" i="41" s="1"/>
  <c r="Z180" i="41"/>
  <c r="J180" i="41" s="1"/>
  <c r="V173" i="41"/>
  <c r="U172" i="41"/>
  <c r="Z162" i="41"/>
  <c r="J162" i="41" s="1"/>
  <c r="U160" i="41"/>
  <c r="V149" i="41"/>
  <c r="U148" i="41"/>
  <c r="Z143" i="41"/>
  <c r="J143" i="41" s="1"/>
  <c r="U140" i="41"/>
  <c r="U139" i="41"/>
  <c r="U138" i="41"/>
  <c r="U137" i="41"/>
  <c r="U136" i="41"/>
  <c r="U135" i="41"/>
  <c r="U134" i="41"/>
  <c r="U133" i="41"/>
  <c r="V132" i="41"/>
  <c r="Z118" i="41"/>
  <c r="J118" i="41" s="1"/>
  <c r="U114" i="41"/>
  <c r="U113" i="41"/>
  <c r="U112" i="41"/>
  <c r="U111" i="41"/>
  <c r="U110" i="41"/>
  <c r="U109" i="41"/>
  <c r="U108" i="41"/>
  <c r="U107" i="41"/>
  <c r="V106" i="41"/>
  <c r="V105" i="41"/>
  <c r="Z93" i="41"/>
  <c r="J93" i="41" s="1"/>
  <c r="U88" i="41"/>
  <c r="U87" i="41"/>
  <c r="U86" i="41"/>
  <c r="U85" i="41"/>
  <c r="U84" i="41"/>
  <c r="U83" i="41"/>
  <c r="U82" i="41"/>
  <c r="U81" i="41"/>
  <c r="V80" i="41"/>
  <c r="V79" i="41"/>
  <c r="Z68" i="41"/>
  <c r="J68" i="41" s="1"/>
  <c r="Z67" i="41"/>
  <c r="J67" i="41" s="1"/>
  <c r="U62" i="41"/>
  <c r="U61" i="41"/>
  <c r="U60" i="41"/>
  <c r="U59" i="41"/>
  <c r="U58" i="41"/>
  <c r="U57" i="41"/>
  <c r="U56" i="41"/>
  <c r="V55" i="41"/>
  <c r="V54" i="41"/>
  <c r="Z39" i="41"/>
  <c r="J39" i="41" s="1"/>
  <c r="U32" i="41"/>
  <c r="V31" i="41"/>
  <c r="Z23" i="41"/>
  <c r="J23" i="41" s="1"/>
  <c r="U16" i="41"/>
  <c r="V15" i="41"/>
  <c r="V8" i="41"/>
  <c r="U7" i="41"/>
  <c r="U6" i="41"/>
  <c r="U168" i="42"/>
  <c r="U157" i="42"/>
  <c r="Z124" i="42"/>
  <c r="J124" i="42" s="1"/>
  <c r="Z93" i="42"/>
  <c r="J93" i="42" s="1"/>
  <c r="Z77" i="42"/>
  <c r="J77" i="42" s="1"/>
  <c r="V42" i="42"/>
  <c r="V27" i="42"/>
  <c r="U26" i="42"/>
  <c r="Z9" i="42"/>
  <c r="J9" i="42" s="1"/>
  <c r="V174" i="41"/>
  <c r="U173" i="41"/>
  <c r="V150" i="41"/>
  <c r="U149" i="41"/>
  <c r="Z144" i="41"/>
  <c r="J144" i="41" s="1"/>
  <c r="Z117" i="41"/>
  <c r="J117" i="41" s="1"/>
  <c r="U106" i="41"/>
  <c r="U105" i="41"/>
  <c r="V104" i="41"/>
  <c r="V103" i="41"/>
  <c r="Z92" i="41"/>
  <c r="J92" i="41" s="1"/>
  <c r="Z91" i="41"/>
  <c r="J91" i="41" s="1"/>
  <c r="U80" i="41"/>
  <c r="U79" i="41"/>
  <c r="V78" i="41"/>
  <c r="Z66" i="41"/>
  <c r="J66" i="41" s="1"/>
  <c r="Z65" i="41"/>
  <c r="J65" i="41" s="1"/>
  <c r="U55" i="41"/>
  <c r="U54" i="41"/>
  <c r="V53" i="41"/>
  <c r="Z38" i="41"/>
  <c r="J38" i="41" s="1"/>
  <c r="U31" i="41"/>
  <c r="V30" i="41"/>
  <c r="Z22" i="41"/>
  <c r="J22" i="41" s="1"/>
  <c r="U15" i="41"/>
  <c r="V14" i="41"/>
  <c r="V13" i="41"/>
  <c r="V9" i="41"/>
  <c r="U8" i="41"/>
  <c r="Z105" i="42"/>
  <c r="J105" i="42" s="1"/>
  <c r="V89" i="42"/>
  <c r="Z71" i="42"/>
  <c r="J71" i="42" s="1"/>
  <c r="U59" i="42"/>
  <c r="U55" i="42"/>
  <c r="Z37" i="42"/>
  <c r="J37" i="42" s="1"/>
  <c r="Z33" i="42"/>
  <c r="J33" i="42" s="1"/>
  <c r="U28" i="42"/>
  <c r="U27" i="42"/>
  <c r="V22" i="42"/>
  <c r="V18" i="42"/>
  <c r="Z6" i="42"/>
  <c r="J6" i="42" s="1"/>
  <c r="Z185" i="41"/>
  <c r="J185" i="41" s="1"/>
  <c r="Z181" i="41"/>
  <c r="J181" i="41" s="1"/>
  <c r="V175" i="41"/>
  <c r="U174" i="41"/>
  <c r="Z163" i="41"/>
  <c r="J163" i="41" s="1"/>
  <c r="Z158" i="41"/>
  <c r="J158" i="41" s="1"/>
  <c r="Z157" i="41"/>
  <c r="J157" i="41" s="1"/>
  <c r="V151" i="41"/>
  <c r="U150" i="41"/>
  <c r="Z116" i="41"/>
  <c r="J116" i="41" s="1"/>
  <c r="Z115" i="41"/>
  <c r="J115" i="41" s="1"/>
  <c r="U104" i="41"/>
  <c r="U103" i="41"/>
  <c r="V102" i="41"/>
  <c r="Z90" i="41"/>
  <c r="J90" i="41" s="1"/>
  <c r="Z89" i="41"/>
  <c r="J89" i="41" s="1"/>
  <c r="U78" i="41"/>
  <c r="V77" i="41"/>
  <c r="Z64" i="41"/>
  <c r="J64" i="41" s="1"/>
  <c r="Z63" i="41"/>
  <c r="J63" i="41" s="1"/>
  <c r="U53" i="41"/>
  <c r="V52" i="41"/>
  <c r="V45" i="41"/>
  <c r="V44" i="41"/>
  <c r="V43" i="41"/>
  <c r="V42" i="41"/>
  <c r="V41" i="41"/>
  <c r="Z37" i="41"/>
  <c r="J37" i="41" s="1"/>
  <c r="Z36" i="41"/>
  <c r="J36" i="41" s="1"/>
  <c r="Z35" i="41"/>
  <c r="J35" i="41" s="1"/>
  <c r="Z34" i="41"/>
  <c r="J34" i="41" s="1"/>
  <c r="Z33" i="41"/>
  <c r="J33" i="41" s="1"/>
  <c r="U30" i="41"/>
  <c r="V29" i="41"/>
  <c r="V28" i="41"/>
  <c r="V27" i="41"/>
  <c r="V26" i="41"/>
  <c r="V25" i="41"/>
  <c r="Z21" i="41"/>
  <c r="J21" i="41" s="1"/>
  <c r="Z20" i="41"/>
  <c r="J20" i="41" s="1"/>
  <c r="Z19" i="41"/>
  <c r="J19" i="41" s="1"/>
  <c r="Z18" i="41"/>
  <c r="J18" i="41" s="1"/>
  <c r="Z17" i="41"/>
  <c r="J17" i="41" s="1"/>
  <c r="U14" i="41"/>
  <c r="U13" i="41"/>
  <c r="V12" i="41"/>
  <c r="V11" i="41"/>
  <c r="V10" i="41"/>
  <c r="U9" i="41"/>
  <c r="Z5" i="41"/>
  <c r="J5" i="41" s="1"/>
  <c r="V177" i="42"/>
  <c r="Z125" i="42"/>
  <c r="J125" i="42" s="1"/>
  <c r="Z78" i="42"/>
  <c r="J78" i="42" s="1"/>
  <c r="V43" i="42"/>
  <c r="Z10" i="42"/>
  <c r="J10" i="42" s="1"/>
  <c r="V176" i="41"/>
  <c r="U175" i="41"/>
  <c r="Z159" i="41"/>
  <c r="J159" i="41" s="1"/>
  <c r="V152" i="41"/>
  <c r="U151" i="41"/>
  <c r="Z140" i="41"/>
  <c r="J140" i="41" s="1"/>
  <c r="Z139" i="41"/>
  <c r="J139" i="41" s="1"/>
  <c r="Z138" i="41"/>
  <c r="J138" i="41" s="1"/>
  <c r="Z137" i="41"/>
  <c r="J137" i="41" s="1"/>
  <c r="Z136" i="41"/>
  <c r="J136" i="41" s="1"/>
  <c r="Z135" i="41"/>
  <c r="J135" i="41" s="1"/>
  <c r="Z134" i="41"/>
  <c r="J134" i="41" s="1"/>
  <c r="Z133" i="41"/>
  <c r="J133" i="41" s="1"/>
  <c r="Z131" i="41"/>
  <c r="J131" i="41" s="1"/>
  <c r="V128" i="41"/>
  <c r="V127" i="41"/>
  <c r="V126" i="41"/>
  <c r="V125" i="41"/>
  <c r="V124" i="41"/>
  <c r="V123" i="41"/>
  <c r="V122" i="41"/>
  <c r="V121" i="41"/>
  <c r="V120" i="41"/>
  <c r="V119" i="41"/>
  <c r="Z114" i="41"/>
  <c r="J114" i="41" s="1"/>
  <c r="Z113" i="41"/>
  <c r="J113" i="41" s="1"/>
  <c r="Z112" i="41"/>
  <c r="J112" i="41" s="1"/>
  <c r="Z111" i="41"/>
  <c r="J111" i="41" s="1"/>
  <c r="Z110" i="41"/>
  <c r="J110" i="41" s="1"/>
  <c r="Z109" i="41"/>
  <c r="J109" i="41" s="1"/>
  <c r="Z108" i="41"/>
  <c r="J108" i="41" s="1"/>
  <c r="Z107" i="41"/>
  <c r="J107" i="41" s="1"/>
  <c r="U102" i="41"/>
  <c r="V101" i="41"/>
  <c r="V100" i="41"/>
  <c r="V99" i="41"/>
  <c r="V98" i="41"/>
  <c r="V97" i="41"/>
  <c r="V96" i="41"/>
  <c r="V95" i="41"/>
  <c r="V94" i="41"/>
  <c r="Z88" i="41"/>
  <c r="J88" i="41" s="1"/>
  <c r="Z87" i="41"/>
  <c r="J87" i="41" s="1"/>
  <c r="Z86" i="41"/>
  <c r="J86" i="41" s="1"/>
  <c r="Z85" i="41"/>
  <c r="J85" i="41" s="1"/>
  <c r="Z84" i="41"/>
  <c r="J84" i="41" s="1"/>
  <c r="Z83" i="41"/>
  <c r="J83" i="41" s="1"/>
  <c r="Z82" i="41"/>
  <c r="J82" i="41" s="1"/>
  <c r="Z81" i="41"/>
  <c r="J81" i="41" s="1"/>
  <c r="U77" i="41"/>
  <c r="V76" i="41"/>
  <c r="V75" i="41"/>
  <c r="V74" i="41"/>
  <c r="V73" i="41"/>
  <c r="V72" i="41"/>
  <c r="V71" i="41"/>
  <c r="V70" i="41"/>
  <c r="V69" i="41"/>
  <c r="Z62" i="41"/>
  <c r="J62" i="41" s="1"/>
  <c r="Z61" i="41"/>
  <c r="J61" i="41" s="1"/>
  <c r="Z60" i="41"/>
  <c r="J60" i="41" s="1"/>
  <c r="Z59" i="41"/>
  <c r="J59" i="41" s="1"/>
  <c r="Z58" i="41"/>
  <c r="J58" i="41" s="1"/>
  <c r="Z57" i="41"/>
  <c r="J57" i="41" s="1"/>
  <c r="Z56" i="41"/>
  <c r="J56" i="41" s="1"/>
  <c r="U52" i="41"/>
  <c r="V51" i="41"/>
  <c r="V50" i="41"/>
  <c r="V49" i="41"/>
  <c r="V48" i="41"/>
  <c r="V47" i="41"/>
  <c r="V46" i="41"/>
  <c r="U45" i="41"/>
  <c r="U44" i="41"/>
  <c r="U43" i="41"/>
  <c r="U42" i="41"/>
  <c r="U41" i="41"/>
  <c r="V40" i="41"/>
  <c r="Z32" i="41"/>
  <c r="J32" i="41" s="1"/>
  <c r="U29" i="41"/>
  <c r="U28" i="41"/>
  <c r="U27" i="41"/>
  <c r="U26" i="41"/>
  <c r="U25" i="41"/>
  <c r="V24" i="41"/>
  <c r="Z16" i="41"/>
  <c r="J16" i="41" s="1"/>
  <c r="U12" i="41"/>
  <c r="U11" i="41"/>
  <c r="U10" i="41"/>
  <c r="Z7" i="41"/>
  <c r="J7" i="41" s="1"/>
  <c r="Z6" i="41"/>
  <c r="J6" i="41" s="1"/>
  <c r="U56" i="42"/>
  <c r="Z38" i="42"/>
  <c r="J38" i="42" s="1"/>
  <c r="Z34" i="42"/>
  <c r="J34" i="42" s="1"/>
  <c r="Z30" i="42"/>
  <c r="J30" i="42" s="1"/>
  <c r="V23" i="42"/>
  <c r="V19" i="42"/>
  <c r="Z186" i="41"/>
  <c r="J186" i="41" s="1"/>
  <c r="Z182" i="41"/>
  <c r="J182" i="41" s="1"/>
  <c r="U177" i="41"/>
  <c r="U176" i="41"/>
  <c r="V169" i="41"/>
  <c r="Z164" i="41"/>
  <c r="J164" i="41" s="1"/>
  <c r="Z160" i="41"/>
  <c r="J160" i="41" s="1"/>
  <c r="U153" i="41"/>
  <c r="U152" i="41"/>
  <c r="V145" i="41"/>
  <c r="V143" i="41"/>
  <c r="Z132" i="41"/>
  <c r="J132" i="41" s="1"/>
  <c r="V129" i="41"/>
  <c r="U128" i="41"/>
  <c r="U127" i="41"/>
  <c r="U126" i="41"/>
  <c r="U125" i="41"/>
  <c r="U124" i="41"/>
  <c r="U123" i="41"/>
  <c r="U122" i="41"/>
  <c r="U121" i="41"/>
  <c r="U120" i="41"/>
  <c r="U119" i="41"/>
  <c r="V118" i="41"/>
  <c r="Z106" i="41"/>
  <c r="J106" i="41" s="1"/>
  <c r="Z105" i="41"/>
  <c r="J105" i="41" s="1"/>
  <c r="U101" i="41"/>
  <c r="U100" i="41"/>
  <c r="U99" i="41"/>
  <c r="U98" i="41"/>
  <c r="U97" i="41"/>
  <c r="U96" i="41"/>
  <c r="U95" i="41"/>
  <c r="U94" i="41"/>
  <c r="V93" i="41"/>
  <c r="Z80" i="41"/>
  <c r="J80" i="41" s="1"/>
  <c r="Z79" i="41"/>
  <c r="J79" i="41" s="1"/>
  <c r="U76" i="41"/>
  <c r="U75" i="41"/>
  <c r="U74" i="41"/>
  <c r="U73" i="41"/>
  <c r="U72" i="41"/>
  <c r="U71" i="41"/>
  <c r="U70" i="41"/>
  <c r="U69" i="41"/>
  <c r="V68" i="41"/>
  <c r="V67" i="41"/>
  <c r="Z55" i="41"/>
  <c r="J55" i="41" s="1"/>
  <c r="Z54" i="41"/>
  <c r="J54" i="41" s="1"/>
  <c r="U51" i="41"/>
  <c r="U50" i="41"/>
  <c r="U49" i="41"/>
  <c r="U48" i="41"/>
  <c r="U47" i="41"/>
  <c r="U46" i="41"/>
  <c r="U40" i="41"/>
  <c r="V39" i="41"/>
  <c r="Z31" i="41"/>
  <c r="J31" i="41" s="1"/>
  <c r="U24" i="41"/>
  <c r="V23" i="41"/>
  <c r="Z15" i="41"/>
  <c r="J15" i="41" s="1"/>
  <c r="Z8" i="41"/>
  <c r="J8" i="41" s="1"/>
  <c r="Z126" i="42"/>
  <c r="J126" i="42" s="1"/>
  <c r="Z75" i="42"/>
  <c r="J75" i="42" s="1"/>
  <c r="V44" i="42"/>
  <c r="Z11" i="42"/>
  <c r="J11" i="42" s="1"/>
  <c r="Z7" i="42"/>
  <c r="J7" i="42" s="1"/>
  <c r="V146" i="41"/>
  <c r="U145" i="41"/>
  <c r="V144" i="41"/>
  <c r="U118" i="41"/>
  <c r="V117" i="41"/>
  <c r="Z104" i="41"/>
  <c r="J104" i="41" s="1"/>
  <c r="Z103" i="41"/>
  <c r="J103" i="41" s="1"/>
  <c r="U93" i="41"/>
  <c r="V92" i="41"/>
  <c r="V91" i="41"/>
  <c r="Z78" i="41"/>
  <c r="J78" i="41" s="1"/>
  <c r="U68" i="41"/>
  <c r="U67" i="41"/>
  <c r="V66" i="41"/>
  <c r="V65" i="41"/>
  <c r="Z53" i="41"/>
  <c r="J53" i="41" s="1"/>
  <c r="U39" i="41"/>
  <c r="V38" i="41"/>
  <c r="Z30" i="41"/>
  <c r="J30" i="41" s="1"/>
  <c r="U23" i="41"/>
  <c r="V22" i="41"/>
  <c r="Z14" i="41"/>
  <c r="J14" i="41" s="1"/>
  <c r="Z13" i="41"/>
  <c r="J13" i="41" s="1"/>
  <c r="Z9" i="41"/>
  <c r="J9" i="41" s="1"/>
  <c r="Z103" i="42"/>
  <c r="J103" i="42" s="1"/>
  <c r="V81" i="42"/>
  <c r="U57" i="42"/>
  <c r="V52" i="42"/>
  <c r="V51" i="42"/>
  <c r="V50" i="42"/>
  <c r="Z39" i="42"/>
  <c r="J39" i="42" s="1"/>
  <c r="Z35" i="42"/>
  <c r="J35" i="42" s="1"/>
  <c r="Z31" i="42"/>
  <c r="J31" i="42" s="1"/>
  <c r="V24" i="42"/>
  <c r="V20" i="42"/>
  <c r="Z187" i="41"/>
  <c r="J187" i="41" s="1"/>
  <c r="Z183" i="41"/>
  <c r="J183" i="41" s="1"/>
  <c r="U178" i="41"/>
  <c r="V171" i="41"/>
  <c r="V170" i="41"/>
  <c r="Z165" i="41"/>
  <c r="J165" i="41" s="1"/>
  <c r="Z161" i="41"/>
  <c r="J161" i="41" s="1"/>
  <c r="U158" i="41"/>
  <c r="V157" i="41"/>
  <c r="U154" i="41"/>
  <c r="V147" i="41"/>
  <c r="U146" i="41"/>
  <c r="V130" i="41"/>
  <c r="U117" i="41"/>
  <c r="V116" i="41"/>
  <c r="V115" i="41"/>
  <c r="Z102" i="41"/>
  <c r="J102" i="41" s="1"/>
  <c r="U92" i="41"/>
  <c r="U91" i="41"/>
  <c r="V90" i="41"/>
  <c r="V89" i="41"/>
  <c r="Z77" i="41"/>
  <c r="J77" i="41" s="1"/>
  <c r="U66" i="41"/>
  <c r="U65" i="41"/>
  <c r="V64" i="41"/>
  <c r="V63" i="41"/>
  <c r="Z52" i="41"/>
  <c r="J52" i="41" s="1"/>
  <c r="Z44" i="41"/>
  <c r="J44" i="41" s="1"/>
  <c r="Z43" i="41"/>
  <c r="J43" i="41" s="1"/>
  <c r="Z42" i="41"/>
  <c r="J42" i="41" s="1"/>
  <c r="Z41" i="41"/>
  <c r="J41" i="41" s="1"/>
  <c r="U38" i="41"/>
  <c r="V37" i="41"/>
  <c r="V36" i="41"/>
  <c r="V35" i="41"/>
  <c r="V34" i="41"/>
  <c r="V33" i="41"/>
  <c r="Z29" i="41"/>
  <c r="J29" i="41" s="1"/>
  <c r="Z28" i="41"/>
  <c r="J28" i="41" s="1"/>
  <c r="Z27" i="41"/>
  <c r="J27" i="41" s="1"/>
  <c r="Z26" i="41"/>
  <c r="J26" i="41" s="1"/>
  <c r="Z25" i="41"/>
  <c r="J25" i="41" s="1"/>
  <c r="U22" i="41"/>
  <c r="V21" i="41"/>
  <c r="V20" i="41"/>
  <c r="V19" i="41"/>
  <c r="V18" i="41"/>
  <c r="V17" i="41"/>
  <c r="Z12" i="41"/>
  <c r="J12" i="41" s="1"/>
  <c r="Z11" i="41"/>
  <c r="J11" i="41" s="1"/>
  <c r="Z10" i="41"/>
  <c r="J10" i="41" s="1"/>
  <c r="V5" i="41"/>
  <c r="Z135" i="42"/>
  <c r="J135" i="42" s="1"/>
  <c r="Z92" i="42"/>
  <c r="J92" i="42" s="1"/>
  <c r="U82" i="42"/>
  <c r="Z76" i="42"/>
  <c r="J76" i="42" s="1"/>
  <c r="V53" i="42"/>
  <c r="U52" i="42"/>
  <c r="U51" i="42"/>
  <c r="V45" i="42"/>
  <c r="Z12" i="42"/>
  <c r="J12" i="42" s="1"/>
  <c r="Z8" i="42"/>
  <c r="J8" i="42" s="1"/>
  <c r="V172" i="41"/>
  <c r="U171" i="41"/>
  <c r="U159" i="41"/>
  <c r="V148" i="41"/>
  <c r="U147" i="41"/>
  <c r="U141" i="41"/>
  <c r="V140" i="41"/>
  <c r="V139" i="41"/>
  <c r="V138" i="41"/>
  <c r="V137" i="41"/>
  <c r="V136" i="41"/>
  <c r="V135" i="41"/>
  <c r="V134" i="41"/>
  <c r="V133" i="41"/>
  <c r="V131" i="41"/>
  <c r="Z127" i="41"/>
  <c r="J127" i="41" s="1"/>
  <c r="Z126" i="41"/>
  <c r="J126" i="41" s="1"/>
  <c r="Z125" i="41"/>
  <c r="J125" i="41" s="1"/>
  <c r="Z124" i="41"/>
  <c r="J124" i="41" s="1"/>
  <c r="Z123" i="41"/>
  <c r="J123" i="41" s="1"/>
  <c r="Z122" i="41"/>
  <c r="J122" i="41" s="1"/>
  <c r="Z121" i="41"/>
  <c r="J121" i="41" s="1"/>
  <c r="Z120" i="41"/>
  <c r="J120" i="41" s="1"/>
  <c r="Z119" i="41"/>
  <c r="J119" i="41" s="1"/>
  <c r="U116" i="41"/>
  <c r="U115" i="41"/>
  <c r="V114" i="41"/>
  <c r="V113" i="41"/>
  <c r="V112" i="41"/>
  <c r="V111" i="41"/>
  <c r="V110" i="41"/>
  <c r="V109" i="41"/>
  <c r="V108" i="41"/>
  <c r="V107" i="41"/>
  <c r="Z101" i="41"/>
  <c r="J101" i="41" s="1"/>
  <c r="Z100" i="41"/>
  <c r="J100" i="41" s="1"/>
  <c r="Z99" i="41"/>
  <c r="J99" i="41" s="1"/>
  <c r="Z98" i="41"/>
  <c r="J98" i="41" s="1"/>
  <c r="Z97" i="41"/>
  <c r="J97" i="41" s="1"/>
  <c r="Z96" i="41"/>
  <c r="J96" i="41" s="1"/>
  <c r="Z95" i="41"/>
  <c r="J95" i="41" s="1"/>
  <c r="Z94" i="41"/>
  <c r="J94" i="41" s="1"/>
  <c r="U90" i="41"/>
  <c r="U89" i="41"/>
  <c r="V88" i="41"/>
  <c r="V87" i="41"/>
  <c r="V86" i="41"/>
  <c r="V85" i="41"/>
  <c r="V84" i="41"/>
  <c r="V83" i="41"/>
  <c r="V82" i="41"/>
  <c r="V81" i="41"/>
  <c r="Z76" i="41"/>
  <c r="J76" i="41" s="1"/>
  <c r="Z75" i="41"/>
  <c r="J75" i="41" s="1"/>
  <c r="Z74" i="41"/>
  <c r="J74" i="41" s="1"/>
  <c r="Z73" i="41"/>
  <c r="J73" i="41" s="1"/>
  <c r="Z72" i="41"/>
  <c r="J72" i="41" s="1"/>
  <c r="Z71" i="41"/>
  <c r="J71" i="41" s="1"/>
  <c r="Z70" i="41"/>
  <c r="J70" i="41" s="1"/>
  <c r="Z69" i="41"/>
  <c r="J69" i="41" s="1"/>
  <c r="U19" i="41"/>
  <c r="U5" i="41"/>
  <c r="Z24" i="41"/>
  <c r="J24" i="41" s="1"/>
  <c r="Z40" i="41"/>
  <c r="J40" i="41" s="1"/>
  <c r="V58" i="41"/>
  <c r="V62" i="41"/>
  <c r="Z6" i="40"/>
  <c r="J6" i="40" s="1"/>
  <c r="U189" i="40"/>
  <c r="V188" i="40"/>
  <c r="V187" i="40"/>
  <c r="Z182" i="40"/>
  <c r="J182" i="40" s="1"/>
  <c r="Z181" i="40"/>
  <c r="J181" i="40" s="1"/>
  <c r="U176" i="40"/>
  <c r="V175" i="40"/>
  <c r="Z170" i="40"/>
  <c r="J170" i="40" s="1"/>
  <c r="U166" i="40"/>
  <c r="U165" i="40"/>
  <c r="V164" i="40"/>
  <c r="Z160" i="40"/>
  <c r="J160" i="40" s="1"/>
  <c r="U156" i="40"/>
  <c r="U155" i="40"/>
  <c r="V154" i="40"/>
  <c r="V153" i="40"/>
  <c r="Z146" i="40"/>
  <c r="J146" i="40" s="1"/>
  <c r="Z145" i="40"/>
  <c r="J145" i="40" s="1"/>
  <c r="U138" i="40"/>
  <c r="U137" i="40"/>
  <c r="U136" i="40"/>
  <c r="U135" i="40"/>
  <c r="V134" i="40"/>
  <c r="V133" i="40"/>
  <c r="V132" i="40"/>
  <c r="V131" i="40"/>
  <c r="Z122" i="40"/>
  <c r="J122" i="40" s="1"/>
  <c r="Z121" i="40"/>
  <c r="J121" i="40" s="1"/>
  <c r="U116" i="40"/>
  <c r="U115" i="40"/>
  <c r="V114" i="40"/>
  <c r="V113" i="40"/>
  <c r="Z107" i="40"/>
  <c r="J107" i="40" s="1"/>
  <c r="Z106" i="40"/>
  <c r="J106" i="40" s="1"/>
  <c r="U102" i="40"/>
  <c r="U101" i="40"/>
  <c r="V100" i="40"/>
  <c r="Z92" i="40"/>
  <c r="J92" i="40" s="1"/>
  <c r="U88" i="40"/>
  <c r="V87" i="40"/>
  <c r="V86" i="40"/>
  <c r="Z81" i="40"/>
  <c r="J81" i="40" s="1"/>
  <c r="U77" i="40"/>
  <c r="U76" i="40"/>
  <c r="V75" i="40"/>
  <c r="Z71" i="40"/>
  <c r="J71" i="40" s="1"/>
  <c r="Z70" i="40"/>
  <c r="J70" i="40" s="1"/>
  <c r="U66" i="40"/>
  <c r="V65" i="40"/>
  <c r="Z59" i="40"/>
  <c r="J59" i="40" s="1"/>
  <c r="U56" i="40"/>
  <c r="V55" i="40"/>
  <c r="V54" i="40"/>
  <c r="Z49" i="40"/>
  <c r="J49" i="40" s="1"/>
  <c r="U43" i="40"/>
  <c r="V42" i="40"/>
  <c r="Z38" i="40"/>
  <c r="J38" i="40" s="1"/>
  <c r="U35" i="40"/>
  <c r="V34" i="40"/>
  <c r="Z28" i="40"/>
  <c r="J28" i="40" s="1"/>
  <c r="U24" i="40"/>
  <c r="V23" i="40"/>
  <c r="V22" i="40"/>
  <c r="Z17" i="40"/>
  <c r="J17" i="40" s="1"/>
  <c r="U14" i="40"/>
  <c r="V13" i="40"/>
  <c r="U188" i="40"/>
  <c r="U187" i="40"/>
  <c r="V186" i="40"/>
  <c r="Z180" i="40"/>
  <c r="J180" i="40" s="1"/>
  <c r="Z179" i="40"/>
  <c r="J179" i="40" s="1"/>
  <c r="U175" i="40"/>
  <c r="V174" i="40"/>
  <c r="Z169" i="40"/>
  <c r="J169" i="40" s="1"/>
  <c r="U164" i="40"/>
  <c r="V163" i="40"/>
  <c r="Z159" i="40"/>
  <c r="J159" i="40" s="1"/>
  <c r="U154" i="40"/>
  <c r="U153" i="40"/>
  <c r="V152" i="40"/>
  <c r="V151" i="40"/>
  <c r="Z144" i="40"/>
  <c r="J144" i="40" s="1"/>
  <c r="Z143" i="40"/>
  <c r="J143" i="40" s="1"/>
  <c r="U134" i="40"/>
  <c r="U133" i="40"/>
  <c r="U132" i="40"/>
  <c r="U131" i="40"/>
  <c r="V130" i="40"/>
  <c r="V129" i="40"/>
  <c r="V128" i="40"/>
  <c r="V127" i="40"/>
  <c r="Z120" i="40"/>
  <c r="J120" i="40" s="1"/>
  <c r="Z119" i="40"/>
  <c r="J119" i="40" s="1"/>
  <c r="U114" i="40"/>
  <c r="U113" i="40"/>
  <c r="V112" i="40"/>
  <c r="V111" i="40"/>
  <c r="Z105" i="40"/>
  <c r="J105" i="40" s="1"/>
  <c r="Z104" i="40"/>
  <c r="J104" i="40" s="1"/>
  <c r="U100" i="40"/>
  <c r="V99" i="40"/>
  <c r="V98" i="40"/>
  <c r="Z91" i="40"/>
  <c r="J91" i="40" s="1"/>
  <c r="Z90" i="40"/>
  <c r="J90" i="40" s="1"/>
  <c r="U87" i="40"/>
  <c r="U86" i="40"/>
  <c r="V85" i="40"/>
  <c r="V84" i="40"/>
  <c r="Z80" i="40"/>
  <c r="J80" i="40" s="1"/>
  <c r="U75" i="40"/>
  <c r="V74" i="40"/>
  <c r="Z69" i="40"/>
  <c r="J69" i="40" s="1"/>
  <c r="Z68" i="40"/>
  <c r="J68" i="40" s="1"/>
  <c r="U65" i="40"/>
  <c r="V64" i="40"/>
  <c r="Z58" i="40"/>
  <c r="J58" i="40" s="1"/>
  <c r="U55" i="40"/>
  <c r="U54" i="40"/>
  <c r="V53" i="40"/>
  <c r="V52" i="40"/>
  <c r="Z48" i="40"/>
  <c r="J48" i="40" s="1"/>
  <c r="U42" i="40"/>
  <c r="V41" i="40"/>
  <c r="Z37" i="40"/>
  <c r="J37" i="40" s="1"/>
  <c r="U34" i="40"/>
  <c r="V33" i="40"/>
  <c r="Z27" i="40"/>
  <c r="J27" i="40" s="1"/>
  <c r="Z26" i="40"/>
  <c r="J26" i="40" s="1"/>
  <c r="U23" i="40"/>
  <c r="U22" i="40"/>
  <c r="V21" i="40"/>
  <c r="V20" i="40"/>
  <c r="Z16" i="40"/>
  <c r="J16" i="40" s="1"/>
  <c r="U13" i="40"/>
  <c r="V12" i="40"/>
  <c r="U186" i="40"/>
  <c r="V185" i="40"/>
  <c r="Z178" i="40"/>
  <c r="J178" i="40" s="1"/>
  <c r="Z177" i="40"/>
  <c r="J177" i="40" s="1"/>
  <c r="U174" i="40"/>
  <c r="V173" i="40"/>
  <c r="Z168" i="40"/>
  <c r="J168" i="40" s="1"/>
  <c r="Z167" i="40"/>
  <c r="J167" i="40" s="1"/>
  <c r="U163" i="40"/>
  <c r="V162" i="40"/>
  <c r="Z158" i="40"/>
  <c r="J158" i="40" s="1"/>
  <c r="Z157" i="40"/>
  <c r="J157" i="40" s="1"/>
  <c r="U152" i="40"/>
  <c r="U151" i="40"/>
  <c r="V150" i="40"/>
  <c r="V149" i="40"/>
  <c r="Z142" i="40"/>
  <c r="J142" i="40" s="1"/>
  <c r="Z141" i="40"/>
  <c r="J141" i="40" s="1"/>
  <c r="Z140" i="40"/>
  <c r="J140" i="40" s="1"/>
  <c r="Z139" i="40"/>
  <c r="J139" i="40" s="1"/>
  <c r="U130" i="40"/>
  <c r="U129" i="40"/>
  <c r="U128" i="40"/>
  <c r="U127" i="40"/>
  <c r="V126" i="40"/>
  <c r="V125" i="40"/>
  <c r="Z118" i="40"/>
  <c r="J118" i="40" s="1"/>
  <c r="Z117" i="40"/>
  <c r="J117" i="40" s="1"/>
  <c r="U112" i="40"/>
  <c r="U111" i="40"/>
  <c r="V110" i="40"/>
  <c r="V109" i="40"/>
  <c r="Z103" i="40"/>
  <c r="J103" i="40" s="1"/>
  <c r="U99" i="40"/>
  <c r="U98" i="40"/>
  <c r="V97" i="40"/>
  <c r="V96" i="40"/>
  <c r="V95" i="40"/>
  <c r="Z89" i="40"/>
  <c r="J89" i="40" s="1"/>
  <c r="U85" i="40"/>
  <c r="U84" i="40"/>
  <c r="V83" i="40"/>
  <c r="Z79" i="40"/>
  <c r="J79" i="40" s="1"/>
  <c r="Z78" i="40"/>
  <c r="J78" i="40" s="1"/>
  <c r="U74" i="40"/>
  <c r="V73" i="40"/>
  <c r="Z67" i="40"/>
  <c r="J67" i="40" s="1"/>
  <c r="U64" i="40"/>
  <c r="V63" i="40"/>
  <c r="V62" i="40"/>
  <c r="Z57" i="40"/>
  <c r="J57" i="40" s="1"/>
  <c r="U53" i="40"/>
  <c r="U52" i="40"/>
  <c r="V51" i="40"/>
  <c r="Z47" i="40"/>
  <c r="J47" i="40" s="1"/>
  <c r="Z46" i="40"/>
  <c r="J46" i="40" s="1"/>
  <c r="Z44" i="40"/>
  <c r="J44" i="40" s="1"/>
  <c r="U41" i="40"/>
  <c r="V40" i="40"/>
  <c r="Z36" i="40"/>
  <c r="J36" i="40" s="1"/>
  <c r="U33" i="40"/>
  <c r="V32" i="40"/>
  <c r="V31" i="40"/>
  <c r="V30" i="40"/>
  <c r="Z25" i="40"/>
  <c r="J25" i="40" s="1"/>
  <c r="U21" i="40"/>
  <c r="U20" i="40"/>
  <c r="V19" i="40"/>
  <c r="Z15" i="40"/>
  <c r="J15" i="40" s="1"/>
  <c r="U12" i="40"/>
  <c r="Z189" i="40"/>
  <c r="J189" i="40" s="1"/>
  <c r="U185" i="40"/>
  <c r="V184" i="40"/>
  <c r="V183" i="40"/>
  <c r="Z176" i="40"/>
  <c r="J176" i="40" s="1"/>
  <c r="U173" i="40"/>
  <c r="V172" i="40"/>
  <c r="V171" i="40"/>
  <c r="Z166" i="40"/>
  <c r="J166" i="40" s="1"/>
  <c r="Z165" i="40"/>
  <c r="J165" i="40" s="1"/>
  <c r="U162" i="40"/>
  <c r="V161" i="40"/>
  <c r="Z156" i="40"/>
  <c r="J156" i="40" s="1"/>
  <c r="Z155" i="40"/>
  <c r="J155" i="40" s="1"/>
  <c r="U150" i="40"/>
  <c r="U149" i="40"/>
  <c r="V148" i="40"/>
  <c r="V147" i="40"/>
  <c r="Z138" i="40"/>
  <c r="J138" i="40" s="1"/>
  <c r="Z137" i="40"/>
  <c r="J137" i="40" s="1"/>
  <c r="Z136" i="40"/>
  <c r="J136" i="40" s="1"/>
  <c r="Z135" i="40"/>
  <c r="J135" i="40" s="1"/>
  <c r="U126" i="40"/>
  <c r="U125" i="40"/>
  <c r="V124" i="40"/>
  <c r="V123" i="40"/>
  <c r="Z116" i="40"/>
  <c r="J116" i="40" s="1"/>
  <c r="Z115" i="40"/>
  <c r="J115" i="40" s="1"/>
  <c r="U110" i="40"/>
  <c r="U109" i="40"/>
  <c r="V108" i="40"/>
  <c r="Z102" i="40"/>
  <c r="J102" i="40" s="1"/>
  <c r="Z101" i="40"/>
  <c r="J101" i="40" s="1"/>
  <c r="U97" i="40"/>
  <c r="U96" i="40"/>
  <c r="U95" i="40"/>
  <c r="V94" i="40"/>
  <c r="V93" i="40"/>
  <c r="Z88" i="40"/>
  <c r="J88" i="40" s="1"/>
  <c r="U83" i="40"/>
  <c r="V82" i="40"/>
  <c r="Z77" i="40"/>
  <c r="J77" i="40" s="1"/>
  <c r="Z76" i="40"/>
  <c r="J76" i="40" s="1"/>
  <c r="U73" i="40"/>
  <c r="V72" i="40"/>
  <c r="Z66" i="40"/>
  <c r="J66" i="40" s="1"/>
  <c r="U63" i="40"/>
  <c r="U62" i="40"/>
  <c r="V61" i="40"/>
  <c r="V60" i="40"/>
  <c r="Z56" i="40"/>
  <c r="J56" i="40" s="1"/>
  <c r="U51" i="40"/>
  <c r="V50" i="40"/>
  <c r="Z45" i="40"/>
  <c r="J45" i="40" s="1"/>
  <c r="Z43" i="40"/>
  <c r="J43" i="40" s="1"/>
  <c r="U40" i="40"/>
  <c r="V39" i="40"/>
  <c r="Z35" i="40"/>
  <c r="J35" i="40" s="1"/>
  <c r="U32" i="40"/>
  <c r="U31" i="40"/>
  <c r="U30" i="40"/>
  <c r="V29" i="40"/>
  <c r="Z24" i="40"/>
  <c r="J24" i="40" s="1"/>
  <c r="U19" i="40"/>
  <c r="V18" i="40"/>
  <c r="Z14" i="40"/>
  <c r="J14" i="40" s="1"/>
  <c r="U11" i="40"/>
  <c r="V10" i="40"/>
  <c r="V9" i="40"/>
  <c r="Z188" i="40"/>
  <c r="J188" i="40" s="1"/>
  <c r="Z187" i="40"/>
  <c r="J187" i="40" s="1"/>
  <c r="U184" i="40"/>
  <c r="U183" i="40"/>
  <c r="V182" i="40"/>
  <c r="V181" i="40"/>
  <c r="Z175" i="40"/>
  <c r="J175" i="40" s="1"/>
  <c r="U172" i="40"/>
  <c r="U171" i="40"/>
  <c r="V170" i="40"/>
  <c r="Z164" i="40"/>
  <c r="J164" i="40" s="1"/>
  <c r="U161" i="40"/>
  <c r="V160" i="40"/>
  <c r="Z154" i="40"/>
  <c r="J154" i="40" s="1"/>
  <c r="Z153" i="40"/>
  <c r="J153" i="40" s="1"/>
  <c r="U148" i="40"/>
  <c r="U147" i="40"/>
  <c r="V146" i="40"/>
  <c r="V145" i="40"/>
  <c r="Z134" i="40"/>
  <c r="J134" i="40" s="1"/>
  <c r="Z133" i="40"/>
  <c r="J133" i="40" s="1"/>
  <c r="Z132" i="40"/>
  <c r="J132" i="40" s="1"/>
  <c r="Z131" i="40"/>
  <c r="J131" i="40" s="1"/>
  <c r="U124" i="40"/>
  <c r="U123" i="40"/>
  <c r="V122" i="40"/>
  <c r="V121" i="40"/>
  <c r="Z114" i="40"/>
  <c r="J114" i="40" s="1"/>
  <c r="Z113" i="40"/>
  <c r="J113" i="40" s="1"/>
  <c r="U108" i="40"/>
  <c r="V107" i="40"/>
  <c r="V106" i="40"/>
  <c r="Z100" i="40"/>
  <c r="J100" i="40" s="1"/>
  <c r="U94" i="40"/>
  <c r="U93" i="40"/>
  <c r="V92" i="40"/>
  <c r="Z87" i="40"/>
  <c r="J87" i="40" s="1"/>
  <c r="Z86" i="40"/>
  <c r="J86" i="40" s="1"/>
  <c r="U82" i="40"/>
  <c r="V81" i="40"/>
  <c r="Z75" i="40"/>
  <c r="J75" i="40" s="1"/>
  <c r="Z186" i="40"/>
  <c r="J186" i="40" s="1"/>
  <c r="U182" i="40"/>
  <c r="U181" i="40"/>
  <c r="V180" i="40"/>
  <c r="V179" i="40"/>
  <c r="Z174" i="40"/>
  <c r="J174" i="40" s="1"/>
  <c r="U170" i="40"/>
  <c r="V169" i="40"/>
  <c r="Z163" i="40"/>
  <c r="J163" i="40" s="1"/>
  <c r="U160" i="40"/>
  <c r="V159" i="40"/>
  <c r="Z152" i="40"/>
  <c r="J152" i="40" s="1"/>
  <c r="Z151" i="40"/>
  <c r="J151" i="40" s="1"/>
  <c r="U146" i="40"/>
  <c r="U145" i="40"/>
  <c r="V144" i="40"/>
  <c r="V143" i="40"/>
  <c r="Z130" i="40"/>
  <c r="J130" i="40" s="1"/>
  <c r="Z129" i="40"/>
  <c r="J129" i="40" s="1"/>
  <c r="Z128" i="40"/>
  <c r="J128" i="40" s="1"/>
  <c r="Z127" i="40"/>
  <c r="J127" i="40" s="1"/>
  <c r="U122" i="40"/>
  <c r="U121" i="40"/>
  <c r="V120" i="40"/>
  <c r="V119" i="40"/>
  <c r="Z112" i="40"/>
  <c r="J112" i="40" s="1"/>
  <c r="Z111" i="40"/>
  <c r="J111" i="40" s="1"/>
  <c r="U107" i="40"/>
  <c r="U106" i="40"/>
  <c r="V105" i="40"/>
  <c r="V104" i="40"/>
  <c r="Z99" i="40"/>
  <c r="J99" i="40" s="1"/>
  <c r="Z98" i="40"/>
  <c r="J98" i="40" s="1"/>
  <c r="U92" i="40"/>
  <c r="V91" i="40"/>
  <c r="V90" i="40"/>
  <c r="Z85" i="40"/>
  <c r="J85" i="40" s="1"/>
  <c r="Z84" i="40"/>
  <c r="J84" i="40" s="1"/>
  <c r="U81" i="40"/>
  <c r="V80" i="40"/>
  <c r="Z74" i="40"/>
  <c r="J74" i="40" s="1"/>
  <c r="Z9" i="40"/>
  <c r="J9" i="40" s="1"/>
  <c r="V24" i="40"/>
  <c r="V25" i="40"/>
  <c r="V26" i="40"/>
  <c r="Z30" i="40"/>
  <c r="J30" i="40" s="1"/>
  <c r="Z34" i="40"/>
  <c r="J34" i="40" s="1"/>
  <c r="Z42" i="40"/>
  <c r="J42" i="40" s="1"/>
  <c r="U46" i="40"/>
  <c r="V47" i="40"/>
  <c r="V48" i="40"/>
  <c r="V49" i="40"/>
  <c r="Z64" i="40"/>
  <c r="J64" i="40" s="1"/>
  <c r="U67" i="40"/>
  <c r="U68" i="40"/>
  <c r="V69" i="40"/>
  <c r="V70" i="40"/>
  <c r="Z73" i="40"/>
  <c r="J73" i="40" s="1"/>
  <c r="V116" i="40"/>
  <c r="V117" i="40"/>
  <c r="V137" i="40"/>
  <c r="U144" i="40"/>
  <c r="U158" i="40"/>
  <c r="U159" i="40"/>
  <c r="U180" i="40"/>
  <c r="Z7" i="40"/>
  <c r="J7" i="40" s="1"/>
  <c r="Z8" i="40"/>
  <c r="J8" i="40" s="1"/>
  <c r="V11" i="40"/>
  <c r="Z13" i="40"/>
  <c r="J13" i="40" s="1"/>
  <c r="Z21" i="40"/>
  <c r="J21" i="40" s="1"/>
  <c r="U45" i="40"/>
  <c r="V46" i="40"/>
  <c r="Z51" i="40"/>
  <c r="J51" i="40" s="1"/>
  <c r="Z55" i="40"/>
  <c r="J55" i="40" s="1"/>
  <c r="V66" i="40"/>
  <c r="V67" i="40"/>
  <c r="V68" i="40"/>
  <c r="U79" i="40"/>
  <c r="U80" i="40"/>
  <c r="U91" i="40"/>
  <c r="Z96" i="40"/>
  <c r="J96" i="40" s="1"/>
  <c r="V101" i="40"/>
  <c r="Z126" i="40"/>
  <c r="J126" i="40" s="1"/>
  <c r="Z148" i="40"/>
  <c r="J148" i="40" s="1"/>
  <c r="U157" i="40"/>
  <c r="V158" i="40"/>
  <c r="V165" i="40"/>
  <c r="Z172" i="40"/>
  <c r="J172" i="40" s="1"/>
  <c r="Z184" i="40"/>
  <c r="J184" i="40" s="1"/>
  <c r="V189" i="40"/>
  <c r="U10" i="40"/>
  <c r="Z29" i="40"/>
  <c r="J29" i="40" s="1"/>
  <c r="Z33" i="40"/>
  <c r="J33" i="40" s="1"/>
  <c r="U36" i="40"/>
  <c r="U37" i="40"/>
  <c r="U38" i="40"/>
  <c r="U39" i="40"/>
  <c r="Z41" i="40"/>
  <c r="J41" i="40" s="1"/>
  <c r="U44" i="40"/>
  <c r="V45" i="40"/>
  <c r="U61" i="40"/>
  <c r="Z63" i="40"/>
  <c r="J63" i="40" s="1"/>
  <c r="Z72" i="40"/>
  <c r="J72" i="40" s="1"/>
  <c r="U78" i="40"/>
  <c r="V79" i="40"/>
  <c r="V115" i="40"/>
  <c r="V136" i="40"/>
  <c r="U142" i="40"/>
  <c r="U143" i="40"/>
  <c r="V156" i="40"/>
  <c r="V157" i="40"/>
  <c r="U178" i="40"/>
  <c r="U179" i="40"/>
  <c r="Z5" i="40"/>
  <c r="J5" i="40" s="1"/>
  <c r="Z12" i="40"/>
  <c r="J12" i="40" s="1"/>
  <c r="U15" i="40"/>
  <c r="U16" i="40"/>
  <c r="U17" i="40"/>
  <c r="U18" i="40"/>
  <c r="Z20" i="40"/>
  <c r="J20" i="40" s="1"/>
  <c r="V35" i="40"/>
  <c r="V36" i="40"/>
  <c r="V37" i="40"/>
  <c r="V38" i="40"/>
  <c r="V43" i="40"/>
  <c r="V44" i="40"/>
  <c r="Z50" i="40"/>
  <c r="J50" i="40" s="1"/>
  <c r="Z54" i="40"/>
  <c r="J54" i="40" s="1"/>
  <c r="U57" i="40"/>
  <c r="U58" i="40"/>
  <c r="U59" i="40"/>
  <c r="U60" i="40"/>
  <c r="V77" i="40"/>
  <c r="V78" i="40"/>
  <c r="U89" i="40"/>
  <c r="U90" i="40"/>
  <c r="Z95" i="40"/>
  <c r="J95" i="40" s="1"/>
  <c r="Z110" i="40"/>
  <c r="J110" i="40" s="1"/>
  <c r="Z125" i="40"/>
  <c r="J125" i="40" s="1"/>
  <c r="U141" i="40"/>
  <c r="V142" i="40"/>
  <c r="Z147" i="40"/>
  <c r="J147" i="40" s="1"/>
  <c r="Z171" i="40"/>
  <c r="J171" i="40" s="1"/>
  <c r="U177" i="40"/>
  <c r="V178" i="40"/>
  <c r="Z183" i="40"/>
  <c r="J183" i="40" s="1"/>
  <c r="U7" i="40"/>
  <c r="U8" i="40"/>
  <c r="U9" i="40"/>
  <c r="V14" i="40"/>
  <c r="V15" i="40"/>
  <c r="V16" i="40"/>
  <c r="V17" i="40"/>
  <c r="Z32" i="40"/>
  <c r="J32" i="40" s="1"/>
  <c r="Z40" i="40"/>
  <c r="J40" i="40" s="1"/>
  <c r="V56" i="40"/>
  <c r="V57" i="40"/>
  <c r="V58" i="40"/>
  <c r="V59" i="40"/>
  <c r="Z62" i="40"/>
  <c r="J62" i="40" s="1"/>
  <c r="V88" i="40"/>
  <c r="V89" i="40"/>
  <c r="U105" i="40"/>
  <c r="U120" i="40"/>
  <c r="V135" i="40"/>
  <c r="U140" i="40"/>
  <c r="V141" i="40"/>
  <c r="V155" i="40"/>
  <c r="Z162" i="40"/>
  <c r="J162" i="40" s="1"/>
  <c r="V176" i="40"/>
  <c r="V177" i="40"/>
  <c r="U6" i="40"/>
  <c r="V7" i="40"/>
  <c r="V8" i="40"/>
  <c r="Z11" i="40"/>
  <c r="J11" i="40" s="1"/>
  <c r="Z19" i="40"/>
  <c r="J19" i="40" s="1"/>
  <c r="Z23" i="40"/>
  <c r="J23" i="40" s="1"/>
  <c r="Z53" i="40"/>
  <c r="J53" i="40" s="1"/>
  <c r="V76" i="40"/>
  <c r="Z83" i="40"/>
  <c r="J83" i="40" s="1"/>
  <c r="Z94" i="40"/>
  <c r="J94" i="40" s="1"/>
  <c r="Z109" i="40"/>
  <c r="J109" i="40" s="1"/>
  <c r="Z124" i="40"/>
  <c r="J124" i="40" s="1"/>
  <c r="U139" i="40"/>
  <c r="V140" i="40"/>
  <c r="Z150" i="40"/>
  <c r="J150" i="40" s="1"/>
  <c r="U168" i="40"/>
  <c r="U169" i="40"/>
  <c r="U5" i="40"/>
  <c r="V6" i="40"/>
  <c r="Z10" i="40"/>
  <c r="J10" i="40" s="1"/>
  <c r="U27" i="40"/>
  <c r="U28" i="40"/>
  <c r="U29" i="40"/>
  <c r="Z31" i="40"/>
  <c r="J31" i="40" s="1"/>
  <c r="Z39" i="40"/>
  <c r="J39" i="40" s="1"/>
  <c r="Z61" i="40"/>
  <c r="J61" i="40" s="1"/>
  <c r="Z65" i="40"/>
  <c r="J65" i="40" s="1"/>
  <c r="U71" i="40"/>
  <c r="U72" i="40"/>
  <c r="U103" i="40"/>
  <c r="U104" i="40"/>
  <c r="U118" i="40"/>
  <c r="U119" i="40"/>
  <c r="V138" i="40"/>
  <c r="V139" i="40"/>
  <c r="Z161" i="40"/>
  <c r="J161" i="40" s="1"/>
  <c r="U167" i="40"/>
  <c r="V168" i="40"/>
  <c r="V5" i="40"/>
  <c r="Z18" i="40"/>
  <c r="J18" i="40" s="1"/>
  <c r="Z22" i="40"/>
  <c r="J22" i="40" s="1"/>
  <c r="U25" i="40"/>
  <c r="U26" i="40"/>
  <c r="V27" i="40"/>
  <c r="V28" i="40"/>
  <c r="U47" i="40"/>
  <c r="U48" i="40"/>
  <c r="U49" i="40"/>
  <c r="U50" i="40"/>
  <c r="Z52" i="40"/>
  <c r="J52" i="40" s="1"/>
  <c r="Z60" i="40"/>
  <c r="J60" i="40" s="1"/>
  <c r="U69" i="40"/>
  <c r="U70" i="40"/>
  <c r="V71" i="40"/>
  <c r="Z82" i="40"/>
  <c r="J82" i="40" s="1"/>
  <c r="Z93" i="40"/>
  <c r="J93" i="40" s="1"/>
  <c r="Z97" i="40"/>
  <c r="J97" i="40" s="1"/>
  <c r="V102" i="40"/>
  <c r="V103" i="40"/>
  <c r="Z108" i="40"/>
  <c r="J108" i="40" s="1"/>
  <c r="U117" i="40"/>
  <c r="V118" i="40"/>
  <c r="Z123" i="40"/>
  <c r="J123" i="40" s="1"/>
  <c r="Z149" i="40"/>
  <c r="J149" i="40" s="1"/>
  <c r="V166" i="40"/>
  <c r="V167" i="40"/>
  <c r="Z173" i="40"/>
  <c r="J173" i="40" s="1"/>
  <c r="Z185" i="40"/>
  <c r="J185" i="40" s="1"/>
  <c r="U7" i="30"/>
  <c r="V5" i="30"/>
  <c r="V9" i="30"/>
  <c r="V10" i="30"/>
  <c r="U10" i="30"/>
  <c r="U5" i="30"/>
  <c r="U6" i="30"/>
  <c r="V6" i="30"/>
  <c r="U8" i="30"/>
  <c r="V7" i="30"/>
  <c r="U9" i="30"/>
  <c r="V8" i="30"/>
  <c r="U189" i="30"/>
  <c r="Z189" i="30"/>
  <c r="J189" i="30" s="1"/>
  <c r="Z5" i="30"/>
  <c r="J5" i="30" s="1"/>
  <c r="Z14" i="30"/>
  <c r="J14" i="30" s="1"/>
  <c r="Z22" i="30"/>
  <c r="J22" i="30" s="1"/>
  <c r="Z30" i="30"/>
  <c r="J30" i="30" s="1"/>
  <c r="Z38" i="30"/>
  <c r="J38" i="30" s="1"/>
  <c r="Z46" i="30"/>
  <c r="J46" i="30" s="1"/>
  <c r="Z54" i="30"/>
  <c r="J54" i="30" s="1"/>
  <c r="Z62" i="30"/>
  <c r="J62" i="30" s="1"/>
  <c r="Z70" i="30"/>
  <c r="J70" i="30" s="1"/>
  <c r="Z78" i="30"/>
  <c r="J78" i="30" s="1"/>
  <c r="Z86" i="30"/>
  <c r="J86" i="30" s="1"/>
  <c r="Z94" i="30"/>
  <c r="J94" i="30" s="1"/>
  <c r="Z102" i="30"/>
  <c r="J102" i="30" s="1"/>
  <c r="Z110" i="30"/>
  <c r="J110" i="30" s="1"/>
  <c r="Z118" i="30"/>
  <c r="J118" i="30" s="1"/>
  <c r="Z126" i="30"/>
  <c r="J126" i="30" s="1"/>
  <c r="Z134" i="30"/>
  <c r="J134" i="30" s="1"/>
  <c r="Z142" i="30"/>
  <c r="J142" i="30" s="1"/>
  <c r="Z150" i="30"/>
  <c r="J150" i="30" s="1"/>
  <c r="Z158" i="30"/>
  <c r="J158" i="30" s="1"/>
  <c r="Z166" i="30"/>
  <c r="J166" i="30" s="1"/>
  <c r="Z174" i="30"/>
  <c r="J174" i="30" s="1"/>
  <c r="Z182" i="30"/>
  <c r="J182" i="30" s="1"/>
  <c r="Z6" i="30"/>
  <c r="J6" i="30" s="1"/>
  <c r="Z15" i="30"/>
  <c r="J15" i="30" s="1"/>
  <c r="Z23" i="30"/>
  <c r="J23" i="30" s="1"/>
  <c r="Z31" i="30"/>
  <c r="J31" i="30" s="1"/>
  <c r="Z39" i="30"/>
  <c r="J39" i="30" s="1"/>
  <c r="Z47" i="30"/>
  <c r="J47" i="30" s="1"/>
  <c r="Z55" i="30"/>
  <c r="J55" i="30" s="1"/>
  <c r="Z63" i="30"/>
  <c r="J63" i="30" s="1"/>
  <c r="Z71" i="30"/>
  <c r="J71" i="30" s="1"/>
  <c r="Z79" i="30"/>
  <c r="J79" i="30" s="1"/>
  <c r="Z87" i="30"/>
  <c r="J87" i="30" s="1"/>
  <c r="Z95" i="30"/>
  <c r="J95" i="30" s="1"/>
  <c r="Z103" i="30"/>
  <c r="J103" i="30" s="1"/>
  <c r="Z111" i="30"/>
  <c r="J111" i="30" s="1"/>
  <c r="Z119" i="30"/>
  <c r="J119" i="30" s="1"/>
  <c r="Z127" i="30"/>
  <c r="J127" i="30" s="1"/>
  <c r="Z135" i="30"/>
  <c r="J135" i="30" s="1"/>
  <c r="Z143" i="30"/>
  <c r="J143" i="30" s="1"/>
  <c r="Z151" i="30"/>
  <c r="J151" i="30" s="1"/>
  <c r="Z159" i="30"/>
  <c r="J159" i="30" s="1"/>
  <c r="Z167" i="30"/>
  <c r="J167" i="30" s="1"/>
  <c r="Z175" i="30"/>
  <c r="J175" i="30" s="1"/>
  <c r="Z183" i="30"/>
  <c r="J183" i="30" s="1"/>
  <c r="Z7" i="30"/>
  <c r="J7" i="30" s="1"/>
  <c r="Z16" i="30"/>
  <c r="J16" i="30" s="1"/>
  <c r="Z24" i="30"/>
  <c r="J24" i="30" s="1"/>
  <c r="Z32" i="30"/>
  <c r="J32" i="30" s="1"/>
  <c r="Z40" i="30"/>
  <c r="J40" i="30" s="1"/>
  <c r="Z48" i="30"/>
  <c r="J48" i="30" s="1"/>
  <c r="Z56" i="30"/>
  <c r="J56" i="30" s="1"/>
  <c r="Z64" i="30"/>
  <c r="J64" i="30" s="1"/>
  <c r="Z72" i="30"/>
  <c r="J72" i="30" s="1"/>
  <c r="Z80" i="30"/>
  <c r="J80" i="30" s="1"/>
  <c r="Z88" i="30"/>
  <c r="J88" i="30" s="1"/>
  <c r="Z96" i="30"/>
  <c r="J96" i="30" s="1"/>
  <c r="Z104" i="30"/>
  <c r="J104" i="30" s="1"/>
  <c r="Z112" i="30"/>
  <c r="J112" i="30" s="1"/>
  <c r="Z120" i="30"/>
  <c r="J120" i="30" s="1"/>
  <c r="Z128" i="30"/>
  <c r="J128" i="30" s="1"/>
  <c r="Z136" i="30"/>
  <c r="J136" i="30" s="1"/>
  <c r="Z144" i="30"/>
  <c r="J144" i="30" s="1"/>
  <c r="Z152" i="30"/>
  <c r="J152" i="30" s="1"/>
  <c r="Z160" i="30"/>
  <c r="J160" i="30" s="1"/>
  <c r="Z168" i="30"/>
  <c r="J168" i="30" s="1"/>
  <c r="Z176" i="30"/>
  <c r="J176" i="30" s="1"/>
  <c r="Z184" i="30"/>
  <c r="J184" i="30" s="1"/>
  <c r="Z8" i="30"/>
  <c r="J8" i="30" s="1"/>
  <c r="Z17" i="30"/>
  <c r="J17" i="30" s="1"/>
  <c r="Z25" i="30"/>
  <c r="J25" i="30" s="1"/>
  <c r="Z33" i="30"/>
  <c r="J33" i="30" s="1"/>
  <c r="Z41" i="30"/>
  <c r="J41" i="30" s="1"/>
  <c r="Z49" i="30"/>
  <c r="J49" i="30" s="1"/>
  <c r="Z57" i="30"/>
  <c r="J57" i="30" s="1"/>
  <c r="Z65" i="30"/>
  <c r="J65" i="30" s="1"/>
  <c r="Z73" i="30"/>
  <c r="J73" i="30" s="1"/>
  <c r="Z81" i="30"/>
  <c r="J81" i="30" s="1"/>
  <c r="Z89" i="30"/>
  <c r="J89" i="30" s="1"/>
  <c r="Z97" i="30"/>
  <c r="J97" i="30" s="1"/>
  <c r="Z105" i="30"/>
  <c r="J105" i="30" s="1"/>
  <c r="Z113" i="30"/>
  <c r="J113" i="30" s="1"/>
  <c r="Z121" i="30"/>
  <c r="J121" i="30" s="1"/>
  <c r="Z129" i="30"/>
  <c r="J129" i="30" s="1"/>
  <c r="Z137" i="30"/>
  <c r="J137" i="30" s="1"/>
  <c r="Z145" i="30"/>
  <c r="J145" i="30" s="1"/>
  <c r="Z153" i="30"/>
  <c r="J153" i="30" s="1"/>
  <c r="Z161" i="30"/>
  <c r="J161" i="30" s="1"/>
  <c r="Z169" i="30"/>
  <c r="J169" i="30" s="1"/>
  <c r="Z177" i="30"/>
  <c r="J177" i="30" s="1"/>
  <c r="Z185" i="30"/>
  <c r="J185" i="30" s="1"/>
  <c r="Z9" i="30"/>
  <c r="J9" i="30" s="1"/>
  <c r="Z18" i="30"/>
  <c r="J18" i="30" s="1"/>
  <c r="Z26" i="30"/>
  <c r="J26" i="30" s="1"/>
  <c r="Z34" i="30"/>
  <c r="J34" i="30" s="1"/>
  <c r="Z42" i="30"/>
  <c r="J42" i="30" s="1"/>
  <c r="Z50" i="30"/>
  <c r="J50" i="30" s="1"/>
  <c r="Z58" i="30"/>
  <c r="J58" i="30" s="1"/>
  <c r="Z66" i="30"/>
  <c r="J66" i="30" s="1"/>
  <c r="Z74" i="30"/>
  <c r="J74" i="30" s="1"/>
  <c r="Z82" i="30"/>
  <c r="J82" i="30" s="1"/>
  <c r="Z90" i="30"/>
  <c r="J90" i="30" s="1"/>
  <c r="Z98" i="30"/>
  <c r="J98" i="30" s="1"/>
  <c r="Z106" i="30"/>
  <c r="J106" i="30" s="1"/>
  <c r="Z114" i="30"/>
  <c r="J114" i="30" s="1"/>
  <c r="Z122" i="30"/>
  <c r="J122" i="30" s="1"/>
  <c r="Z130" i="30"/>
  <c r="J130" i="30" s="1"/>
  <c r="Z138" i="30"/>
  <c r="J138" i="30" s="1"/>
  <c r="Z146" i="30"/>
  <c r="J146" i="30" s="1"/>
  <c r="Z154" i="30"/>
  <c r="J154" i="30" s="1"/>
  <c r="Z162" i="30"/>
  <c r="J162" i="30" s="1"/>
  <c r="Z170" i="30"/>
  <c r="J170" i="30" s="1"/>
  <c r="Z178" i="30"/>
  <c r="J178" i="30" s="1"/>
  <c r="Z186" i="30"/>
  <c r="J186" i="30" s="1"/>
  <c r="Z10" i="30"/>
  <c r="J10" i="30" s="1"/>
  <c r="Z19" i="30"/>
  <c r="J19" i="30" s="1"/>
  <c r="Z27" i="30"/>
  <c r="J27" i="30" s="1"/>
  <c r="Z35" i="30"/>
  <c r="J35" i="30" s="1"/>
  <c r="Z43" i="30"/>
  <c r="J43" i="30" s="1"/>
  <c r="Z51" i="30"/>
  <c r="J51" i="30" s="1"/>
  <c r="Z59" i="30"/>
  <c r="J59" i="30" s="1"/>
  <c r="Z67" i="30"/>
  <c r="J67" i="30" s="1"/>
  <c r="Z75" i="30"/>
  <c r="J75" i="30" s="1"/>
  <c r="Z83" i="30"/>
  <c r="J83" i="30" s="1"/>
  <c r="Z91" i="30"/>
  <c r="J91" i="30" s="1"/>
  <c r="Z99" i="30"/>
  <c r="J99" i="30" s="1"/>
  <c r="Z107" i="30"/>
  <c r="J107" i="30" s="1"/>
  <c r="Z115" i="30"/>
  <c r="J115" i="30" s="1"/>
  <c r="Z123" i="30"/>
  <c r="J123" i="30" s="1"/>
  <c r="Z131" i="30"/>
  <c r="J131" i="30" s="1"/>
  <c r="Z139" i="30"/>
  <c r="J139" i="30" s="1"/>
  <c r="Z147" i="30"/>
  <c r="J147" i="30" s="1"/>
  <c r="Z155" i="30"/>
  <c r="J155" i="30" s="1"/>
  <c r="Z163" i="30"/>
  <c r="J163" i="30" s="1"/>
  <c r="Z171" i="30"/>
  <c r="J171" i="30" s="1"/>
  <c r="Z179" i="30"/>
  <c r="J179" i="30" s="1"/>
  <c r="Z187" i="30"/>
  <c r="J187" i="30" s="1"/>
  <c r="Z12" i="30"/>
  <c r="J12" i="30" s="1"/>
  <c r="Z20" i="30"/>
  <c r="J20" i="30" s="1"/>
  <c r="Z28" i="30"/>
  <c r="J28" i="30" s="1"/>
  <c r="Z36" i="30"/>
  <c r="J36" i="30" s="1"/>
  <c r="Z44" i="30"/>
  <c r="J44" i="30" s="1"/>
  <c r="Z52" i="30"/>
  <c r="J52" i="30" s="1"/>
  <c r="Z60" i="30"/>
  <c r="J60" i="30" s="1"/>
  <c r="Z68" i="30"/>
  <c r="J68" i="30" s="1"/>
  <c r="Z76" i="30"/>
  <c r="J76" i="30" s="1"/>
  <c r="Z84" i="30"/>
  <c r="J84" i="30" s="1"/>
  <c r="Z92" i="30"/>
  <c r="J92" i="30" s="1"/>
  <c r="Z100" i="30"/>
  <c r="J100" i="30" s="1"/>
  <c r="Z108" i="30"/>
  <c r="J108" i="30" s="1"/>
  <c r="Z116" i="30"/>
  <c r="J116" i="30" s="1"/>
  <c r="Z124" i="30"/>
  <c r="J124" i="30" s="1"/>
  <c r="Z132" i="30"/>
  <c r="J132" i="30" s="1"/>
  <c r="Z140" i="30"/>
  <c r="J140" i="30" s="1"/>
  <c r="Z148" i="30"/>
  <c r="J148" i="30" s="1"/>
  <c r="Z156" i="30"/>
  <c r="J156" i="30" s="1"/>
  <c r="Z164" i="30"/>
  <c r="J164" i="30" s="1"/>
  <c r="Z172" i="30"/>
  <c r="J172" i="30" s="1"/>
  <c r="Z180" i="30"/>
  <c r="J180" i="30" s="1"/>
  <c r="Z188" i="30"/>
  <c r="J188" i="30" s="1"/>
  <c r="Z13" i="30"/>
  <c r="J13" i="30" s="1"/>
  <c r="Z21" i="30"/>
  <c r="J21" i="30" s="1"/>
  <c r="Z29" i="30"/>
  <c r="J29" i="30" s="1"/>
  <c r="Z37" i="30"/>
  <c r="J37" i="30" s="1"/>
  <c r="Z45" i="30"/>
  <c r="J45" i="30" s="1"/>
  <c r="Z53" i="30"/>
  <c r="J53" i="30" s="1"/>
  <c r="Z61" i="30"/>
  <c r="J61" i="30" s="1"/>
  <c r="Z69" i="30"/>
  <c r="J69" i="30" s="1"/>
  <c r="Z77" i="30"/>
  <c r="J77" i="30" s="1"/>
  <c r="Z85" i="30"/>
  <c r="J85" i="30" s="1"/>
  <c r="Z93" i="30"/>
  <c r="J93" i="30" s="1"/>
  <c r="Z101" i="30"/>
  <c r="J101" i="30" s="1"/>
  <c r="Z109" i="30"/>
  <c r="J109" i="30" s="1"/>
  <c r="Z117" i="30"/>
  <c r="J117" i="30" s="1"/>
  <c r="Z125" i="30"/>
  <c r="J125" i="30" s="1"/>
  <c r="Z133" i="30"/>
  <c r="J133" i="30" s="1"/>
  <c r="Z141" i="30"/>
  <c r="J141" i="30" s="1"/>
  <c r="Z149" i="30"/>
  <c r="J149" i="30" s="1"/>
  <c r="Z157" i="30"/>
  <c r="J157" i="30" s="1"/>
  <c r="Z165" i="30"/>
  <c r="J165" i="30" s="1"/>
  <c r="Z173" i="30"/>
  <c r="J173" i="30" s="1"/>
  <c r="Z181" i="30"/>
  <c r="J181" i="30" s="1"/>
  <c r="V11" i="30"/>
  <c r="V14" i="30"/>
  <c r="V22" i="30"/>
  <c r="V30" i="30"/>
  <c r="V38" i="30"/>
  <c r="V46" i="30"/>
  <c r="V54" i="30"/>
  <c r="V62" i="30"/>
  <c r="V70" i="30"/>
  <c r="V78" i="30"/>
  <c r="V86" i="30"/>
  <c r="V94" i="30"/>
  <c r="V102" i="30"/>
  <c r="V110" i="30"/>
  <c r="V118" i="30"/>
  <c r="V126" i="30"/>
  <c r="V134" i="30"/>
  <c r="V142" i="30"/>
  <c r="V150" i="30"/>
  <c r="V158" i="30"/>
  <c r="V166" i="30"/>
  <c r="V174" i="30"/>
  <c r="V182" i="30"/>
  <c r="U11" i="30"/>
  <c r="U14" i="30"/>
  <c r="U22" i="30"/>
  <c r="U30" i="30"/>
  <c r="U38" i="30"/>
  <c r="U46" i="30"/>
  <c r="U54" i="30"/>
  <c r="U62" i="30"/>
  <c r="U70" i="30"/>
  <c r="U78" i="30"/>
  <c r="U86" i="30"/>
  <c r="U94" i="30"/>
  <c r="U102" i="30"/>
  <c r="U110" i="30"/>
  <c r="U118" i="30"/>
  <c r="U126" i="30"/>
  <c r="U134" i="30"/>
  <c r="U142" i="30"/>
  <c r="U150" i="30"/>
  <c r="U158" i="30"/>
  <c r="U166" i="30"/>
  <c r="U174" i="30"/>
  <c r="U182" i="30"/>
  <c r="V15" i="30"/>
  <c r="V23" i="30"/>
  <c r="V31" i="30"/>
  <c r="V39" i="30"/>
  <c r="V47" i="30"/>
  <c r="V55" i="30"/>
  <c r="V63" i="30"/>
  <c r="V71" i="30"/>
  <c r="V79" i="30"/>
  <c r="V87" i="30"/>
  <c r="V95" i="30"/>
  <c r="V103" i="30"/>
  <c r="V111" i="30"/>
  <c r="V119" i="30"/>
  <c r="V127" i="30"/>
  <c r="V135" i="30"/>
  <c r="V143" i="30"/>
  <c r="V151" i="30"/>
  <c r="V159" i="30"/>
  <c r="V167" i="30"/>
  <c r="V175" i="30"/>
  <c r="V183" i="30"/>
  <c r="U15" i="30"/>
  <c r="U23" i="30"/>
  <c r="U31" i="30"/>
  <c r="U39" i="30"/>
  <c r="U47" i="30"/>
  <c r="U55" i="30"/>
  <c r="U63" i="30"/>
  <c r="U71" i="30"/>
  <c r="U79" i="30"/>
  <c r="U87" i="30"/>
  <c r="U95" i="30"/>
  <c r="U103" i="30"/>
  <c r="U111" i="30"/>
  <c r="U119" i="30"/>
  <c r="U127" i="30"/>
  <c r="U135" i="30"/>
  <c r="U143" i="30"/>
  <c r="U151" i="30"/>
  <c r="U159" i="30"/>
  <c r="U167" i="30"/>
  <c r="U175" i="30"/>
  <c r="U183" i="30"/>
  <c r="V16" i="30"/>
  <c r="V24" i="30"/>
  <c r="V32" i="30"/>
  <c r="V40" i="30"/>
  <c r="V48" i="30"/>
  <c r="V56" i="30"/>
  <c r="V64" i="30"/>
  <c r="V72" i="30"/>
  <c r="V80" i="30"/>
  <c r="V88" i="30"/>
  <c r="V96" i="30"/>
  <c r="V104" i="30"/>
  <c r="V112" i="30"/>
  <c r="V120" i="30"/>
  <c r="V128" i="30"/>
  <c r="V136" i="30"/>
  <c r="V144" i="30"/>
  <c r="V152" i="30"/>
  <c r="V160" i="30"/>
  <c r="V168" i="30"/>
  <c r="V176" i="30"/>
  <c r="V184" i="30"/>
  <c r="U16" i="30"/>
  <c r="U24" i="30"/>
  <c r="U32" i="30"/>
  <c r="U40" i="30"/>
  <c r="U48" i="30"/>
  <c r="U56" i="30"/>
  <c r="U64" i="30"/>
  <c r="U72" i="30"/>
  <c r="U80" i="30"/>
  <c r="U88" i="30"/>
  <c r="U96" i="30"/>
  <c r="U104" i="30"/>
  <c r="U112" i="30"/>
  <c r="U120" i="30"/>
  <c r="U128" i="30"/>
  <c r="U136" i="30"/>
  <c r="U144" i="30"/>
  <c r="U152" i="30"/>
  <c r="U160" i="30"/>
  <c r="U168" i="30"/>
  <c r="U176" i="30"/>
  <c r="U184" i="30"/>
  <c r="V17" i="30"/>
  <c r="V25" i="30"/>
  <c r="V33" i="30"/>
  <c r="V41" i="30"/>
  <c r="V49" i="30"/>
  <c r="V57" i="30"/>
  <c r="V65" i="30"/>
  <c r="V73" i="30"/>
  <c r="V81" i="30"/>
  <c r="V89" i="30"/>
  <c r="V97" i="30"/>
  <c r="V105" i="30"/>
  <c r="V113" i="30"/>
  <c r="V121" i="30"/>
  <c r="V129" i="30"/>
  <c r="V137" i="30"/>
  <c r="V145" i="30"/>
  <c r="V153" i="30"/>
  <c r="V161" i="30"/>
  <c r="V169" i="30"/>
  <c r="V177" i="30"/>
  <c r="V185" i="30"/>
  <c r="U17" i="30"/>
  <c r="U25" i="30"/>
  <c r="U33" i="30"/>
  <c r="U41" i="30"/>
  <c r="U49" i="30"/>
  <c r="U57" i="30"/>
  <c r="U65" i="30"/>
  <c r="U73" i="30"/>
  <c r="U81" i="30"/>
  <c r="U89" i="30"/>
  <c r="U97" i="30"/>
  <c r="U105" i="30"/>
  <c r="U113" i="30"/>
  <c r="U121" i="30"/>
  <c r="U129" i="30"/>
  <c r="U137" i="30"/>
  <c r="U145" i="30"/>
  <c r="U153" i="30"/>
  <c r="U161" i="30"/>
  <c r="U169" i="30"/>
  <c r="U177" i="30"/>
  <c r="U185" i="30"/>
  <c r="V18" i="30"/>
  <c r="V26" i="30"/>
  <c r="V34" i="30"/>
  <c r="V42" i="30"/>
  <c r="V50" i="30"/>
  <c r="V58" i="30"/>
  <c r="V66" i="30"/>
  <c r="V74" i="30"/>
  <c r="V82" i="30"/>
  <c r="V90" i="30"/>
  <c r="V98" i="30"/>
  <c r="V106" i="30"/>
  <c r="V114" i="30"/>
  <c r="V122" i="30"/>
  <c r="V130" i="30"/>
  <c r="V138" i="30"/>
  <c r="V146" i="30"/>
  <c r="V154" i="30"/>
  <c r="V162" i="30"/>
  <c r="V170" i="30"/>
  <c r="V178" i="30"/>
  <c r="V186" i="30"/>
  <c r="U18" i="30"/>
  <c r="U26" i="30"/>
  <c r="U34" i="30"/>
  <c r="U42" i="30"/>
  <c r="U50" i="30"/>
  <c r="U58" i="30"/>
  <c r="U66" i="30"/>
  <c r="U74" i="30"/>
  <c r="U82" i="30"/>
  <c r="U90" i="30"/>
  <c r="U98" i="30"/>
  <c r="U106" i="30"/>
  <c r="U114" i="30"/>
  <c r="U122" i="30"/>
  <c r="U130" i="30"/>
  <c r="U138" i="30"/>
  <c r="U146" i="30"/>
  <c r="U154" i="30"/>
  <c r="U162" i="30"/>
  <c r="U170" i="30"/>
  <c r="U178" i="30"/>
  <c r="U186" i="30"/>
  <c r="V19" i="30"/>
  <c r="V27" i="30"/>
  <c r="V35" i="30"/>
  <c r="V43" i="30"/>
  <c r="V51" i="30"/>
  <c r="V59" i="30"/>
  <c r="V67" i="30"/>
  <c r="V75" i="30"/>
  <c r="V83" i="30"/>
  <c r="V91" i="30"/>
  <c r="V99" i="30"/>
  <c r="V107" i="30"/>
  <c r="V115" i="30"/>
  <c r="V123" i="30"/>
  <c r="V131" i="30"/>
  <c r="V139" i="30"/>
  <c r="V147" i="30"/>
  <c r="V155" i="30"/>
  <c r="V163" i="30"/>
  <c r="V171" i="30"/>
  <c r="V179" i="30"/>
  <c r="V187" i="30"/>
  <c r="U19" i="30"/>
  <c r="U27" i="30"/>
  <c r="U35" i="30"/>
  <c r="U43" i="30"/>
  <c r="U51" i="30"/>
  <c r="U59" i="30"/>
  <c r="U67" i="30"/>
  <c r="U75" i="30"/>
  <c r="U83" i="30"/>
  <c r="U91" i="30"/>
  <c r="U99" i="30"/>
  <c r="U107" i="30"/>
  <c r="U115" i="30"/>
  <c r="U123" i="30"/>
  <c r="U131" i="30"/>
  <c r="U139" i="30"/>
  <c r="U147" i="30"/>
  <c r="U155" i="30"/>
  <c r="U163" i="30"/>
  <c r="U171" i="30"/>
  <c r="U179" i="30"/>
  <c r="U187" i="30"/>
  <c r="V12" i="30"/>
  <c r="V20" i="30"/>
  <c r="V28" i="30"/>
  <c r="V36" i="30"/>
  <c r="V44" i="30"/>
  <c r="V52" i="30"/>
  <c r="V60" i="30"/>
  <c r="V68" i="30"/>
  <c r="V76" i="30"/>
  <c r="V84" i="30"/>
  <c r="V92" i="30"/>
  <c r="V100" i="30"/>
  <c r="V108" i="30"/>
  <c r="V116" i="30"/>
  <c r="V124" i="30"/>
  <c r="V132" i="30"/>
  <c r="V140" i="30"/>
  <c r="V148" i="30"/>
  <c r="V156" i="30"/>
  <c r="V164" i="30"/>
  <c r="V172" i="30"/>
  <c r="V180" i="30"/>
  <c r="V188" i="30"/>
  <c r="U12" i="30"/>
  <c r="U20" i="30"/>
  <c r="U28" i="30"/>
  <c r="U36" i="30"/>
  <c r="U44" i="30"/>
  <c r="U52" i="30"/>
  <c r="U60" i="30"/>
  <c r="U68" i="30"/>
  <c r="U76" i="30"/>
  <c r="U84" i="30"/>
  <c r="U92" i="30"/>
  <c r="U100" i="30"/>
  <c r="U108" i="30"/>
  <c r="U116" i="30"/>
  <c r="U124" i="30"/>
  <c r="U132" i="30"/>
  <c r="U140" i="30"/>
  <c r="U148" i="30"/>
  <c r="U156" i="30"/>
  <c r="U164" i="30"/>
  <c r="U172" i="30"/>
  <c r="U180" i="30"/>
  <c r="U188" i="30"/>
  <c r="Z11" i="30"/>
  <c r="J11" i="30" s="1"/>
  <c r="V13" i="30"/>
  <c r="V21" i="30"/>
  <c r="V29" i="30"/>
  <c r="V37" i="30"/>
  <c r="V45" i="30"/>
  <c r="V53" i="30"/>
  <c r="V61" i="30"/>
  <c r="V69" i="30"/>
  <c r="V77" i="30"/>
  <c r="V85" i="30"/>
  <c r="V93" i="30"/>
  <c r="V101" i="30"/>
  <c r="V109" i="30"/>
  <c r="V117" i="30"/>
  <c r="V125" i="30"/>
  <c r="V133" i="30"/>
  <c r="V141" i="30"/>
  <c r="V149" i="30"/>
  <c r="V157" i="30"/>
  <c r="V165" i="30"/>
  <c r="V173" i="30"/>
  <c r="V181" i="30"/>
  <c r="V189" i="30"/>
  <c r="U13" i="30"/>
  <c r="U21" i="30"/>
  <c r="U29" i="30"/>
  <c r="U37" i="30"/>
  <c r="U45" i="30"/>
  <c r="U53" i="30"/>
  <c r="U61" i="30"/>
  <c r="U69" i="30"/>
  <c r="U77" i="30"/>
  <c r="U85" i="30"/>
  <c r="U93" i="30"/>
  <c r="U101" i="30"/>
  <c r="U109" i="30"/>
  <c r="U117" i="30"/>
  <c r="U125" i="30"/>
  <c r="U133" i="30"/>
  <c r="U141" i="30"/>
  <c r="U149" i="30"/>
  <c r="U157" i="30"/>
  <c r="U165" i="30"/>
  <c r="U173" i="30"/>
  <c r="U181" i="30"/>
  <c r="K152" i="42"/>
  <c r="K131" i="42"/>
  <c r="K108" i="42"/>
  <c r="K169" i="42"/>
  <c r="K147" i="42"/>
  <c r="K127" i="42"/>
  <c r="K186" i="42"/>
  <c r="K160" i="42"/>
  <c r="K144" i="42"/>
  <c r="K122" i="42"/>
  <c r="K99" i="42"/>
  <c r="K116" i="42"/>
  <c r="K180" i="42"/>
  <c r="K46" i="42"/>
  <c r="K16" i="42"/>
  <c r="K91" i="42"/>
  <c r="K189" i="41"/>
  <c r="K94" i="42"/>
  <c r="K39" i="42"/>
  <c r="K183" i="41"/>
  <c r="K159" i="41"/>
  <c r="K93" i="42"/>
  <c r="K37" i="42"/>
  <c r="K180" i="41"/>
  <c r="K67" i="42"/>
  <c r="K166" i="42"/>
  <c r="K56" i="42"/>
  <c r="K154" i="41"/>
  <c r="K173" i="41"/>
  <c r="K54" i="41"/>
  <c r="K53" i="41"/>
  <c r="K18" i="42"/>
  <c r="K45" i="41"/>
  <c r="K11" i="41"/>
  <c r="K121" i="41"/>
  <c r="K97" i="41"/>
  <c r="K73" i="41"/>
  <c r="K48" i="41"/>
  <c r="K40" i="41"/>
  <c r="K145" i="41"/>
  <c r="K144" i="41"/>
  <c r="K170" i="41"/>
  <c r="K130" i="41"/>
  <c r="K89" i="41"/>
  <c r="K33" i="41"/>
  <c r="K20" i="41"/>
  <c r="K137" i="41"/>
  <c r="K107" i="41"/>
  <c r="K83" i="41"/>
  <c r="K62" i="41"/>
  <c r="K151" i="42"/>
  <c r="K130" i="42"/>
  <c r="K107" i="42"/>
  <c r="K105" i="42"/>
  <c r="K185" i="42"/>
  <c r="K159" i="42"/>
  <c r="K143" i="42"/>
  <c r="K121" i="42"/>
  <c r="K98" i="42"/>
  <c r="K95" i="42"/>
  <c r="K15" i="42"/>
  <c r="K40" i="42"/>
  <c r="K141" i="41"/>
  <c r="K92" i="42"/>
  <c r="K38" i="42"/>
  <c r="K182" i="41"/>
  <c r="K158" i="41"/>
  <c r="K71" i="42"/>
  <c r="K36" i="42"/>
  <c r="K66" i="42"/>
  <c r="K156" i="41"/>
  <c r="K156" i="42"/>
  <c r="K82" i="42"/>
  <c r="K55" i="42"/>
  <c r="K153" i="41"/>
  <c r="K26" i="42"/>
  <c r="K106" i="41"/>
  <c r="K42" i="42"/>
  <c r="K151" i="41"/>
  <c r="K44" i="41"/>
  <c r="K43" i="42"/>
  <c r="K128" i="41"/>
  <c r="K120" i="41"/>
  <c r="K96" i="41"/>
  <c r="K72" i="41"/>
  <c r="K47" i="41"/>
  <c r="K143" i="41"/>
  <c r="K93" i="41"/>
  <c r="K19" i="41"/>
  <c r="K53" i="42"/>
  <c r="K136" i="41"/>
  <c r="K114" i="41"/>
  <c r="K82" i="41"/>
  <c r="K61" i="41"/>
  <c r="K176" i="42"/>
  <c r="K150" i="42"/>
  <c r="K129" i="42"/>
  <c r="K106" i="42"/>
  <c r="K85" i="42"/>
  <c r="K104" i="42"/>
  <c r="K62" i="42"/>
  <c r="K184" i="42"/>
  <c r="K142" i="42"/>
  <c r="K120" i="42"/>
  <c r="K97" i="42"/>
  <c r="K178" i="42"/>
  <c r="K181" i="41"/>
  <c r="K165" i="41"/>
  <c r="K78" i="42"/>
  <c r="K35" i="42"/>
  <c r="K114" i="42"/>
  <c r="K65" i="42"/>
  <c r="K155" i="41"/>
  <c r="K80" i="42"/>
  <c r="K63" i="42"/>
  <c r="K54" i="42"/>
  <c r="K25" i="42"/>
  <c r="K105" i="41"/>
  <c r="K27" i="42"/>
  <c r="K43" i="41"/>
  <c r="K127" i="41"/>
  <c r="K119" i="41"/>
  <c r="K95" i="41"/>
  <c r="K71" i="41"/>
  <c r="K46" i="41"/>
  <c r="K23" i="41"/>
  <c r="K117" i="41"/>
  <c r="K22" i="41"/>
  <c r="K81" i="42"/>
  <c r="K24" i="42"/>
  <c r="K116" i="41"/>
  <c r="K18" i="41"/>
  <c r="K148" i="41"/>
  <c r="K135" i="41"/>
  <c r="K113" i="41"/>
  <c r="K81" i="41"/>
  <c r="K16" i="41"/>
  <c r="K175" i="42"/>
  <c r="K149" i="42"/>
  <c r="K128" i="42"/>
  <c r="K113" i="42"/>
  <c r="K84" i="42"/>
  <c r="K146" i="42"/>
  <c r="K183" i="42"/>
  <c r="K141" i="42"/>
  <c r="K119" i="42"/>
  <c r="K96" i="42"/>
  <c r="K182" i="42"/>
  <c r="K142" i="41"/>
  <c r="K188" i="41"/>
  <c r="K164" i="41"/>
  <c r="K125" i="42"/>
  <c r="K77" i="42"/>
  <c r="K34" i="42"/>
  <c r="K10" i="42"/>
  <c r="K64" i="42"/>
  <c r="K154" i="42"/>
  <c r="K178" i="41"/>
  <c r="K88" i="42"/>
  <c r="K21" i="42"/>
  <c r="K31" i="41"/>
  <c r="K78" i="41"/>
  <c r="K30" i="41"/>
  <c r="K77" i="41"/>
  <c r="K42" i="41"/>
  <c r="K29" i="41"/>
  <c r="K176" i="41"/>
  <c r="K126" i="41"/>
  <c r="K94" i="41"/>
  <c r="K70" i="41"/>
  <c r="K169" i="41"/>
  <c r="K129" i="41"/>
  <c r="K44" i="42"/>
  <c r="K66" i="41"/>
  <c r="K20" i="42"/>
  <c r="K115" i="41"/>
  <c r="K17" i="41"/>
  <c r="K32" i="41"/>
  <c r="K174" i="42"/>
  <c r="K148" i="42"/>
  <c r="K112" i="42"/>
  <c r="K164" i="42"/>
  <c r="K140" i="42"/>
  <c r="K118" i="42"/>
  <c r="K181" i="42"/>
  <c r="K135" i="42"/>
  <c r="K72" i="42"/>
  <c r="K187" i="41"/>
  <c r="K163" i="41"/>
  <c r="K115" i="42"/>
  <c r="K76" i="42"/>
  <c r="K33" i="42"/>
  <c r="K9" i="42"/>
  <c r="K86" i="42"/>
  <c r="K177" i="41"/>
  <c r="K17" i="42"/>
  <c r="K149" i="41"/>
  <c r="K80" i="41"/>
  <c r="K175" i="41"/>
  <c r="K41" i="41"/>
  <c r="K28" i="41"/>
  <c r="K125" i="41"/>
  <c r="K101" i="41"/>
  <c r="K69" i="41"/>
  <c r="K68" i="41"/>
  <c r="K65" i="41"/>
  <c r="K52" i="42"/>
  <c r="K157" i="41"/>
  <c r="K64" i="41"/>
  <c r="K37" i="41"/>
  <c r="K45" i="42"/>
  <c r="K133" i="41"/>
  <c r="K111" i="41"/>
  <c r="K87" i="41"/>
  <c r="K59" i="41"/>
  <c r="K173" i="42"/>
  <c r="K111" i="42"/>
  <c r="K189" i="42"/>
  <c r="K163" i="42"/>
  <c r="K139" i="42"/>
  <c r="K102" i="42"/>
  <c r="K158" i="42"/>
  <c r="K49" i="42"/>
  <c r="K41" i="42"/>
  <c r="K168" i="41"/>
  <c r="K145" i="42"/>
  <c r="K14" i="42"/>
  <c r="K166" i="41"/>
  <c r="K124" i="42"/>
  <c r="K186" i="41"/>
  <c r="K162" i="41"/>
  <c r="K75" i="42"/>
  <c r="K32" i="42"/>
  <c r="K165" i="42"/>
  <c r="K79" i="42"/>
  <c r="K70" i="42"/>
  <c r="K61" i="42"/>
  <c r="K29" i="42"/>
  <c r="K179" i="41"/>
  <c r="K59" i="42"/>
  <c r="K28" i="42"/>
  <c r="K79" i="41"/>
  <c r="K174" i="41"/>
  <c r="K104" i="41"/>
  <c r="K27" i="41"/>
  <c r="K124" i="41"/>
  <c r="K100" i="41"/>
  <c r="K76" i="41"/>
  <c r="K51" i="41"/>
  <c r="K23" i="42"/>
  <c r="K67" i="41"/>
  <c r="K51" i="42"/>
  <c r="K63" i="41"/>
  <c r="K36" i="41"/>
  <c r="K140" i="41"/>
  <c r="K131" i="41"/>
  <c r="K110" i="41"/>
  <c r="K86" i="41"/>
  <c r="K134" i="41"/>
  <c r="K112" i="41"/>
  <c r="K88" i="41"/>
  <c r="K161" i="41"/>
  <c r="K69" i="42"/>
  <c r="K177" i="42"/>
  <c r="K99" i="41"/>
  <c r="K50" i="41"/>
  <c r="K19" i="42"/>
  <c r="K146" i="41"/>
  <c r="K50" i="42"/>
  <c r="K35" i="41"/>
  <c r="K55" i="41"/>
  <c r="K102" i="41"/>
  <c r="K74" i="41"/>
  <c r="K39" i="41"/>
  <c r="K108" i="41"/>
  <c r="K83" i="42"/>
  <c r="K188" i="42"/>
  <c r="K15" i="41"/>
  <c r="K14" i="41"/>
  <c r="K152" i="41"/>
  <c r="K85" i="41"/>
  <c r="K179" i="42"/>
  <c r="K22" i="42"/>
  <c r="K12" i="41"/>
  <c r="K98" i="41"/>
  <c r="K171" i="41"/>
  <c r="K21" i="41"/>
  <c r="K58" i="41"/>
  <c r="K168" i="42"/>
  <c r="K60" i="42"/>
  <c r="K26" i="41"/>
  <c r="K123" i="41"/>
  <c r="K75" i="41"/>
  <c r="K118" i="41"/>
  <c r="K139" i="41"/>
  <c r="K109" i="41"/>
  <c r="K153" i="42"/>
  <c r="K49" i="41"/>
  <c r="K90" i="41"/>
  <c r="K172" i="41"/>
  <c r="K162" i="42"/>
  <c r="K101" i="42"/>
  <c r="K48" i="42"/>
  <c r="K167" i="41"/>
  <c r="K13" i="42"/>
  <c r="K12" i="42"/>
  <c r="K31" i="42"/>
  <c r="K155" i="42"/>
  <c r="K132" i="41"/>
  <c r="K150" i="41"/>
  <c r="K89" i="42"/>
  <c r="K25" i="41"/>
  <c r="K122" i="41"/>
  <c r="K91" i="41"/>
  <c r="K126" i="42"/>
  <c r="K157" i="42"/>
  <c r="K185" i="41"/>
  <c r="K74" i="42"/>
  <c r="K56" i="41"/>
  <c r="K57" i="41"/>
  <c r="K172" i="42"/>
  <c r="K133" i="42"/>
  <c r="K110" i="42"/>
  <c r="K138" i="42"/>
  <c r="K136" i="42"/>
  <c r="K58" i="42"/>
  <c r="K103" i="41"/>
  <c r="K92" i="41"/>
  <c r="K147" i="41"/>
  <c r="K52" i="41"/>
  <c r="K38" i="41"/>
  <c r="K60" i="41"/>
  <c r="K171" i="42"/>
  <c r="K132" i="42"/>
  <c r="K109" i="42"/>
  <c r="K170" i="42"/>
  <c r="K167" i="42"/>
  <c r="K187" i="42"/>
  <c r="K161" i="42"/>
  <c r="K123" i="42"/>
  <c r="K100" i="42"/>
  <c r="K137" i="42"/>
  <c r="K117" i="42"/>
  <c r="K90" i="42"/>
  <c r="K47" i="42"/>
  <c r="K134" i="42"/>
  <c r="K103" i="42"/>
  <c r="K11" i="42"/>
  <c r="K184" i="41"/>
  <c r="K160" i="41"/>
  <c r="K73" i="42"/>
  <c r="K30" i="42"/>
  <c r="K68" i="42"/>
  <c r="K87" i="42"/>
  <c r="K57" i="42"/>
  <c r="K13" i="41"/>
  <c r="K24" i="41"/>
  <c r="K34" i="41"/>
  <c r="K138" i="41"/>
  <c r="K84" i="41"/>
  <c r="K123" i="30"/>
  <c r="K44" i="40"/>
  <c r="K78" i="40"/>
  <c r="K104" i="40"/>
  <c r="K145" i="40"/>
  <c r="K38" i="30"/>
  <c r="K117" i="40"/>
  <c r="K154" i="30"/>
  <c r="K111" i="30"/>
  <c r="K77" i="30"/>
  <c r="K172" i="30"/>
  <c r="K34" i="30"/>
  <c r="K79" i="40"/>
  <c r="K61" i="30"/>
  <c r="K175" i="30"/>
  <c r="K22" i="30"/>
  <c r="K41" i="30"/>
  <c r="K98" i="40"/>
  <c r="K69" i="40"/>
  <c r="K40" i="40"/>
  <c r="K50" i="30"/>
  <c r="K74" i="30"/>
  <c r="K54" i="30"/>
  <c r="K161" i="40"/>
  <c r="K17" i="30"/>
  <c r="K95" i="40"/>
  <c r="K60" i="40"/>
  <c r="K167" i="40"/>
  <c r="K40" i="30"/>
  <c r="K183" i="30"/>
  <c r="K182" i="30"/>
  <c r="K19" i="40"/>
  <c r="K143" i="40"/>
  <c r="K115" i="40"/>
  <c r="K36" i="40"/>
  <c r="K149" i="40"/>
  <c r="K24" i="30"/>
  <c r="K98" i="30"/>
  <c r="K165" i="30"/>
  <c r="K124" i="30"/>
  <c r="K111" i="40"/>
  <c r="K107" i="40"/>
  <c r="K39" i="40"/>
  <c r="K141" i="30"/>
  <c r="K123" i="40"/>
  <c r="K80" i="40"/>
  <c r="K121" i="40"/>
  <c r="K186" i="30"/>
  <c r="K87" i="40"/>
  <c r="K137" i="30"/>
  <c r="K100" i="40"/>
  <c r="K129" i="30"/>
  <c r="K70" i="30"/>
  <c r="K185" i="40"/>
  <c r="K51" i="30"/>
  <c r="K146" i="40"/>
  <c r="K155" i="40"/>
  <c r="K130" i="40"/>
  <c r="K45" i="30"/>
  <c r="K120" i="40"/>
  <c r="K14" i="30"/>
  <c r="K184" i="40"/>
  <c r="K82" i="30"/>
  <c r="K71" i="30"/>
  <c r="K126" i="30"/>
  <c r="K110" i="40"/>
  <c r="K180" i="40"/>
  <c r="K125" i="30"/>
  <c r="K30" i="40"/>
  <c r="K91" i="40"/>
  <c r="K100" i="30"/>
  <c r="K126" i="40"/>
  <c r="K115" i="30"/>
  <c r="K20" i="30"/>
  <c r="K134" i="40"/>
  <c r="K138" i="40"/>
  <c r="K176" i="30"/>
  <c r="K170" i="30"/>
  <c r="K162" i="40"/>
  <c r="K12" i="40"/>
  <c r="K78" i="30"/>
  <c r="K128" i="30"/>
  <c r="K84" i="40"/>
  <c r="K142" i="40"/>
  <c r="K62" i="40"/>
  <c r="K147" i="40"/>
  <c r="K158" i="40"/>
  <c r="K34" i="40"/>
  <c r="K20" i="40"/>
  <c r="K96" i="40"/>
  <c r="K118" i="40"/>
  <c r="K168" i="30"/>
  <c r="K97" i="40"/>
  <c r="K174" i="30"/>
  <c r="K86" i="30"/>
  <c r="K146" i="30"/>
  <c r="K76" i="30"/>
  <c r="K81" i="30"/>
  <c r="K80" i="30"/>
  <c r="K186" i="40"/>
  <c r="K86" i="40"/>
  <c r="K106" i="40"/>
  <c r="K81" i="40"/>
  <c r="K64" i="40"/>
  <c r="K154" i="40"/>
  <c r="K13" i="40"/>
  <c r="K187" i="40"/>
  <c r="K162" i="30"/>
  <c r="K30" i="30"/>
  <c r="K37" i="30"/>
  <c r="K66" i="40"/>
  <c r="K141" i="40"/>
  <c r="K57" i="40"/>
  <c r="K64" i="30"/>
  <c r="K185" i="30"/>
  <c r="K52" i="30"/>
  <c r="K150" i="30"/>
  <c r="K133" i="30"/>
  <c r="K101" i="40"/>
  <c r="K11" i="40"/>
  <c r="K21" i="30"/>
  <c r="K47" i="30"/>
  <c r="K29" i="30"/>
  <c r="K12" i="30"/>
  <c r="K90" i="30"/>
  <c r="K137" i="40"/>
  <c r="K105" i="40"/>
  <c r="K94" i="40"/>
  <c r="K150" i="40"/>
  <c r="K165" i="40"/>
  <c r="K63" i="40"/>
  <c r="K73" i="30"/>
  <c r="K164" i="30"/>
  <c r="K19" i="30"/>
  <c r="K174" i="40"/>
  <c r="K31" i="40"/>
  <c r="K110" i="30"/>
  <c r="K152" i="30"/>
  <c r="K132" i="30"/>
  <c r="K166" i="40"/>
  <c r="K79" i="30"/>
  <c r="K181" i="30"/>
  <c r="K61" i="40"/>
  <c r="K23" i="30"/>
  <c r="K66" i="30"/>
  <c r="K18" i="30"/>
  <c r="K62" i="30"/>
  <c r="K132" i="40"/>
  <c r="K159" i="40"/>
  <c r="K52" i="40"/>
  <c r="K134" i="30"/>
  <c r="K136" i="30"/>
  <c r="K181" i="40"/>
  <c r="K59" i="30"/>
  <c r="K58" i="40"/>
  <c r="K31" i="30"/>
  <c r="K140" i="40"/>
  <c r="K107" i="30"/>
  <c r="K48" i="30"/>
  <c r="K131" i="40"/>
  <c r="K130" i="30"/>
  <c r="K160" i="30"/>
  <c r="K149" i="30"/>
  <c r="K151" i="40"/>
  <c r="K103" i="40"/>
  <c r="K113" i="40"/>
  <c r="K178" i="30"/>
  <c r="K116" i="40"/>
  <c r="K122" i="40"/>
  <c r="K55" i="30"/>
  <c r="K112" i="40"/>
  <c r="K131" i="30"/>
  <c r="K175" i="40"/>
  <c r="K24" i="40"/>
  <c r="K116" i="30"/>
  <c r="K163" i="40"/>
  <c r="K73" i="40"/>
  <c r="K182" i="40"/>
  <c r="K160" i="40"/>
  <c r="K152" i="40"/>
  <c r="K139" i="30"/>
  <c r="K21" i="40"/>
  <c r="K91" i="30"/>
  <c r="K184" i="30"/>
  <c r="K89" i="30"/>
  <c r="K27" i="30"/>
  <c r="K72" i="30"/>
  <c r="K53" i="30"/>
  <c r="K72" i="40"/>
  <c r="K16" i="40"/>
  <c r="K168" i="40"/>
  <c r="K71" i="40"/>
  <c r="K171" i="40"/>
  <c r="K120" i="30"/>
  <c r="K26" i="40"/>
  <c r="K125" i="40"/>
  <c r="K27" i="40"/>
  <c r="K82" i="40"/>
  <c r="K144" i="40"/>
  <c r="K109" i="40"/>
  <c r="K83" i="40"/>
  <c r="K49" i="30"/>
  <c r="K187" i="30"/>
  <c r="K103" i="30"/>
  <c r="K69" i="30"/>
  <c r="K56" i="30"/>
  <c r="K32" i="30"/>
  <c r="K167" i="30"/>
  <c r="K43" i="30"/>
  <c r="K114" i="30"/>
  <c r="K37" i="40"/>
  <c r="K65" i="30"/>
  <c r="K65" i="40"/>
  <c r="K14" i="40"/>
  <c r="K135" i="40"/>
  <c r="K63" i="30"/>
  <c r="K35" i="30"/>
  <c r="K25" i="40"/>
  <c r="K88" i="40"/>
  <c r="K42" i="40"/>
  <c r="K59" i="40"/>
  <c r="K75" i="40"/>
  <c r="K159" i="30"/>
  <c r="K189" i="30"/>
  <c r="K16" i="30"/>
  <c r="K139" i="40"/>
  <c r="K50" i="40"/>
  <c r="K172" i="40"/>
  <c r="K124" i="40"/>
  <c r="K22" i="40"/>
  <c r="K163" i="30"/>
  <c r="K74" i="40"/>
  <c r="K13" i="30"/>
  <c r="K145" i="30"/>
  <c r="K15" i="30"/>
  <c r="K55" i="40"/>
  <c r="K76" i="40"/>
  <c r="K47" i="40"/>
  <c r="K46" i="30"/>
  <c r="K188" i="40"/>
  <c r="K75" i="30"/>
  <c r="K157" i="30"/>
  <c r="K88" i="30"/>
  <c r="K101" i="30"/>
  <c r="K104" i="30"/>
  <c r="K67" i="30"/>
  <c r="K128" i="40"/>
  <c r="K57" i="30"/>
  <c r="K173" i="40"/>
  <c r="K67" i="40"/>
  <c r="K95" i="30"/>
  <c r="K117" i="30"/>
  <c r="K33" i="30"/>
  <c r="K32" i="40"/>
  <c r="K29" i="40"/>
  <c r="K143" i="30"/>
  <c r="K84" i="30"/>
  <c r="K136" i="40"/>
  <c r="K89" i="40"/>
  <c r="K142" i="30"/>
  <c r="K28" i="40"/>
  <c r="K112" i="30"/>
  <c r="K60" i="30"/>
  <c r="K170" i="40"/>
  <c r="K109" i="30"/>
  <c r="K46" i="40"/>
  <c r="K87" i="30"/>
  <c r="K176" i="40"/>
  <c r="K138" i="30"/>
  <c r="K17" i="40"/>
  <c r="K25" i="30"/>
  <c r="K108" i="30"/>
  <c r="K189" i="40"/>
  <c r="K157" i="40"/>
  <c r="K51" i="40"/>
  <c r="K113" i="30"/>
  <c r="K171" i="30"/>
  <c r="K11" i="30"/>
  <c r="K94" i="30"/>
  <c r="K68" i="30"/>
  <c r="K97" i="30"/>
  <c r="K135" i="30"/>
  <c r="K49" i="40"/>
  <c r="K133" i="40"/>
  <c r="K43" i="40"/>
  <c r="K177" i="30"/>
  <c r="K153" i="30"/>
  <c r="K102" i="40"/>
  <c r="K99" i="30"/>
  <c r="K148" i="30"/>
  <c r="K144" i="30"/>
  <c r="K108" i="40"/>
  <c r="K92" i="40"/>
  <c r="K41" i="40"/>
  <c r="K119" i="30"/>
  <c r="K164" i="40"/>
  <c r="K56" i="40"/>
  <c r="K26" i="30"/>
  <c r="K127" i="30"/>
  <c r="K158" i="30"/>
  <c r="K147" i="30"/>
  <c r="K68" i="40"/>
  <c r="K45" i="40"/>
  <c r="K96" i="30"/>
  <c r="K48" i="40"/>
  <c r="K33" i="40"/>
  <c r="K180" i="30"/>
  <c r="K77" i="40"/>
  <c r="K148" i="40"/>
  <c r="K99" i="40"/>
  <c r="K39" i="30"/>
  <c r="K15" i="40"/>
  <c r="K177" i="40"/>
  <c r="K93" i="40"/>
  <c r="K119" i="40"/>
  <c r="K70" i="40"/>
  <c r="K54" i="40"/>
  <c r="K140" i="30"/>
  <c r="K53" i="40"/>
  <c r="K58" i="30"/>
  <c r="K151" i="30"/>
  <c r="K92" i="30"/>
  <c r="K155" i="30"/>
  <c r="K36" i="30"/>
  <c r="K83" i="30"/>
  <c r="K161" i="30"/>
  <c r="K118" i="30"/>
  <c r="K179" i="30"/>
  <c r="K105" i="30"/>
  <c r="K166" i="30"/>
  <c r="K102" i="30"/>
  <c r="K169" i="30"/>
  <c r="K156" i="40"/>
  <c r="K127" i="40"/>
  <c r="K85" i="40"/>
  <c r="K23" i="40"/>
  <c r="K90" i="40"/>
  <c r="K38" i="40"/>
  <c r="K114" i="40"/>
  <c r="K28" i="30"/>
  <c r="K156" i="30"/>
  <c r="K183" i="40"/>
  <c r="K35" i="40"/>
  <c r="K18" i="40"/>
  <c r="K173" i="30"/>
  <c r="K121" i="30"/>
  <c r="K93" i="30"/>
  <c r="K42" i="30"/>
  <c r="K106" i="30"/>
  <c r="K178" i="40"/>
  <c r="K85" i="30"/>
  <c r="K153" i="40"/>
  <c r="K179" i="40"/>
  <c r="K129" i="40"/>
  <c r="K188" i="30"/>
  <c r="K44" i="30"/>
  <c r="K169" i="40"/>
  <c r="K122" i="30"/>
  <c r="L84" i="41" l="1"/>
  <c r="M84" i="41"/>
  <c r="M138" i="41"/>
  <c r="L138" i="41"/>
  <c r="L34" i="41"/>
  <c r="M34" i="41"/>
  <c r="M24" i="41"/>
  <c r="L24" i="41"/>
  <c r="M13" i="41"/>
  <c r="L13" i="41"/>
  <c r="L57" i="42"/>
  <c r="M57" i="42"/>
  <c r="L87" i="42"/>
  <c r="M87" i="42"/>
  <c r="M68" i="42"/>
  <c r="L68" i="42"/>
  <c r="M30" i="42"/>
  <c r="L30" i="42"/>
  <c r="L73" i="42"/>
  <c r="M73" i="42"/>
  <c r="M160" i="41"/>
  <c r="L160" i="41"/>
  <c r="M184" i="41"/>
  <c r="L184" i="41"/>
  <c r="M11" i="42"/>
  <c r="L11" i="42"/>
  <c r="L103" i="42"/>
  <c r="M103" i="42"/>
  <c r="L134" i="42"/>
  <c r="M134" i="42"/>
  <c r="L47" i="42"/>
  <c r="M47" i="42"/>
  <c r="L90" i="42"/>
  <c r="M90" i="42"/>
  <c r="L117" i="42"/>
  <c r="M117" i="42"/>
  <c r="M137" i="42"/>
  <c r="L137" i="42"/>
  <c r="M100" i="42"/>
  <c r="L100" i="42"/>
  <c r="L123" i="42"/>
  <c r="M123" i="42"/>
  <c r="L161" i="42"/>
  <c r="M161" i="42"/>
  <c r="M187" i="42"/>
  <c r="L187" i="42"/>
  <c r="M167" i="42"/>
  <c r="L167" i="42"/>
  <c r="M170" i="42"/>
  <c r="L170" i="42"/>
  <c r="L109" i="42"/>
  <c r="M109" i="42"/>
  <c r="M132" i="42"/>
  <c r="L132" i="42"/>
  <c r="M171" i="42"/>
  <c r="L171" i="42"/>
  <c r="M60" i="41"/>
  <c r="L60" i="41"/>
  <c r="L38" i="41"/>
  <c r="M38" i="41"/>
  <c r="M52" i="41"/>
  <c r="L52" i="41"/>
  <c r="L147" i="41"/>
  <c r="M147" i="41"/>
  <c r="M92" i="41"/>
  <c r="L92" i="41"/>
  <c r="M103" i="41"/>
  <c r="L103" i="41"/>
  <c r="M58" i="42"/>
  <c r="L58" i="42"/>
  <c r="M136" i="42"/>
  <c r="L136" i="42"/>
  <c r="M138" i="42"/>
  <c r="L138" i="42"/>
  <c r="M110" i="42"/>
  <c r="L110" i="42"/>
  <c r="M133" i="42"/>
  <c r="L133" i="42"/>
  <c r="M172" i="42"/>
  <c r="L172" i="42"/>
  <c r="M57" i="41"/>
  <c r="L57" i="41"/>
  <c r="M56" i="41"/>
  <c r="L56" i="41"/>
  <c r="M74" i="42"/>
  <c r="L74" i="42"/>
  <c r="M185" i="41"/>
  <c r="L185" i="41"/>
  <c r="M157" i="42"/>
  <c r="L157" i="42"/>
  <c r="M126" i="42"/>
  <c r="L126" i="42"/>
  <c r="L91" i="41"/>
  <c r="M91" i="41"/>
  <c r="L122" i="41"/>
  <c r="M122" i="41"/>
  <c r="M25" i="41"/>
  <c r="L25" i="41"/>
  <c r="L89" i="42"/>
  <c r="M89" i="42"/>
  <c r="L150" i="41"/>
  <c r="M150" i="41"/>
  <c r="M132" i="41"/>
  <c r="L132" i="41"/>
  <c r="M155" i="42"/>
  <c r="L155" i="42"/>
  <c r="L31" i="42"/>
  <c r="M31" i="42"/>
  <c r="L12" i="42"/>
  <c r="M12" i="42"/>
  <c r="M13" i="42"/>
  <c r="L13" i="42"/>
  <c r="M167" i="41"/>
  <c r="L167" i="41"/>
  <c r="M48" i="42"/>
  <c r="L48" i="42"/>
  <c r="L101" i="42"/>
  <c r="M101" i="42"/>
  <c r="M162" i="42"/>
  <c r="L162" i="42"/>
  <c r="M172" i="41"/>
  <c r="L172" i="41"/>
  <c r="M90" i="41"/>
  <c r="L90" i="41"/>
  <c r="L49" i="41"/>
  <c r="M49" i="41"/>
  <c r="M153" i="42"/>
  <c r="L153" i="42"/>
  <c r="M109" i="41"/>
  <c r="L109" i="41"/>
  <c r="M139" i="41"/>
  <c r="L139" i="41"/>
  <c r="M118" i="41"/>
  <c r="L118" i="41"/>
  <c r="M75" i="41"/>
  <c r="L75" i="41"/>
  <c r="M123" i="41"/>
  <c r="L123" i="41"/>
  <c r="L26" i="41"/>
  <c r="M26" i="41"/>
  <c r="M60" i="42"/>
  <c r="L60" i="42"/>
  <c r="M168" i="42"/>
  <c r="L168" i="42"/>
  <c r="M58" i="41"/>
  <c r="L58" i="41"/>
  <c r="M21" i="41"/>
  <c r="L21" i="41"/>
  <c r="M171" i="41"/>
  <c r="L171" i="41"/>
  <c r="M98" i="41"/>
  <c r="L98" i="41"/>
  <c r="L12" i="41"/>
  <c r="M12" i="41"/>
  <c r="L22" i="42"/>
  <c r="M22" i="42"/>
  <c r="M179" i="42"/>
  <c r="L179" i="42"/>
  <c r="L85" i="41"/>
  <c r="M85" i="41"/>
  <c r="L152" i="41"/>
  <c r="M152" i="41"/>
  <c r="L14" i="41"/>
  <c r="M14" i="41"/>
  <c r="M15" i="41"/>
  <c r="L15" i="41"/>
  <c r="M188" i="42"/>
  <c r="L188" i="42"/>
  <c r="L83" i="42"/>
  <c r="M83" i="42"/>
  <c r="M108" i="41"/>
  <c r="L108" i="41"/>
  <c r="M39" i="41"/>
  <c r="L39" i="41"/>
  <c r="M74" i="41"/>
  <c r="L74" i="41"/>
  <c r="L102" i="41"/>
  <c r="M102" i="41"/>
  <c r="L55" i="41"/>
  <c r="M55" i="41"/>
  <c r="L35" i="41"/>
  <c r="M35" i="41"/>
  <c r="M50" i="42"/>
  <c r="L50" i="42"/>
  <c r="M146" i="41"/>
  <c r="L146" i="41"/>
  <c r="M19" i="42"/>
  <c r="L19" i="42"/>
  <c r="L50" i="41"/>
  <c r="M50" i="41"/>
  <c r="M99" i="41"/>
  <c r="L99" i="41"/>
  <c r="M177" i="42"/>
  <c r="L177" i="42"/>
  <c r="L69" i="42"/>
  <c r="M69" i="42"/>
  <c r="M161" i="41"/>
  <c r="L161" i="41"/>
  <c r="M88" i="41"/>
  <c r="L88" i="41"/>
  <c r="L112" i="41"/>
  <c r="M112" i="41"/>
  <c r="L134" i="41"/>
  <c r="M134" i="41"/>
  <c r="M86" i="41"/>
  <c r="L86" i="41"/>
  <c r="L110" i="41"/>
  <c r="M110" i="41"/>
  <c r="M131" i="41"/>
  <c r="L131" i="41"/>
  <c r="M140" i="41"/>
  <c r="L140" i="41"/>
  <c r="L36" i="41"/>
  <c r="M36" i="41"/>
  <c r="L63" i="41"/>
  <c r="M63" i="41"/>
  <c r="L51" i="42"/>
  <c r="M51" i="42"/>
  <c r="M67" i="41"/>
  <c r="L67" i="41"/>
  <c r="M23" i="42"/>
  <c r="L23" i="42"/>
  <c r="M51" i="41"/>
  <c r="L51" i="41"/>
  <c r="M76" i="41"/>
  <c r="L76" i="41"/>
  <c r="M100" i="41"/>
  <c r="L100" i="41"/>
  <c r="M124" i="41"/>
  <c r="L124" i="41"/>
  <c r="L27" i="41"/>
  <c r="M27" i="41"/>
  <c r="L104" i="41"/>
  <c r="M104" i="41"/>
  <c r="L174" i="41"/>
  <c r="M174" i="41"/>
  <c r="L79" i="41"/>
  <c r="M79" i="41"/>
  <c r="M28" i="42"/>
  <c r="L28" i="42"/>
  <c r="L59" i="42"/>
  <c r="M59" i="42"/>
  <c r="L179" i="41"/>
  <c r="M179" i="41"/>
  <c r="L29" i="42"/>
  <c r="M29" i="42"/>
  <c r="L61" i="42"/>
  <c r="M61" i="42"/>
  <c r="M70" i="42"/>
  <c r="L70" i="42"/>
  <c r="L79" i="42"/>
  <c r="M79" i="42"/>
  <c r="M165" i="42"/>
  <c r="L165" i="42"/>
  <c r="M32" i="42"/>
  <c r="L32" i="42"/>
  <c r="M75" i="42"/>
  <c r="L75" i="42"/>
  <c r="M162" i="41"/>
  <c r="L162" i="41"/>
  <c r="M186" i="41"/>
  <c r="L186" i="41"/>
  <c r="M124" i="42"/>
  <c r="L124" i="42"/>
  <c r="M166" i="41"/>
  <c r="L166" i="41"/>
  <c r="L14" i="42"/>
  <c r="M14" i="42"/>
  <c r="M145" i="42"/>
  <c r="L145" i="42"/>
  <c r="L168" i="41"/>
  <c r="M168" i="41"/>
  <c r="M41" i="42"/>
  <c r="L41" i="42"/>
  <c r="M49" i="42"/>
  <c r="L49" i="42"/>
  <c r="L158" i="42"/>
  <c r="M158" i="42"/>
  <c r="M102" i="42"/>
  <c r="L102" i="42"/>
  <c r="M139" i="42"/>
  <c r="L139" i="42"/>
  <c r="M163" i="42"/>
  <c r="L163" i="42"/>
  <c r="M189" i="42"/>
  <c r="L189" i="42"/>
  <c r="L111" i="42"/>
  <c r="M111" i="42"/>
  <c r="M173" i="42"/>
  <c r="L173" i="42"/>
  <c r="M59" i="41"/>
  <c r="L59" i="41"/>
  <c r="L87" i="41"/>
  <c r="M87" i="41"/>
  <c r="L111" i="41"/>
  <c r="M111" i="41"/>
  <c r="L133" i="41"/>
  <c r="M133" i="41"/>
  <c r="L45" i="42"/>
  <c r="M45" i="42"/>
  <c r="L37" i="41"/>
  <c r="M37" i="41"/>
  <c r="L64" i="41"/>
  <c r="M64" i="41"/>
  <c r="L157" i="41"/>
  <c r="M157" i="41"/>
  <c r="M52" i="42"/>
  <c r="L52" i="42"/>
  <c r="M65" i="41"/>
  <c r="L65" i="41"/>
  <c r="M68" i="41"/>
  <c r="L68" i="41"/>
  <c r="M69" i="41"/>
  <c r="L69" i="41"/>
  <c r="M101" i="41"/>
  <c r="L101" i="41"/>
  <c r="M125" i="41"/>
  <c r="L125" i="41"/>
  <c r="L28" i="41"/>
  <c r="M28" i="41"/>
  <c r="M41" i="41"/>
  <c r="L41" i="41"/>
  <c r="L175" i="41"/>
  <c r="M175" i="41"/>
  <c r="L80" i="41"/>
  <c r="M80" i="41"/>
  <c r="M149" i="41"/>
  <c r="L149" i="41"/>
  <c r="M17" i="42"/>
  <c r="L17" i="42"/>
  <c r="M177" i="41"/>
  <c r="L177" i="41"/>
  <c r="M86" i="42"/>
  <c r="L86" i="42"/>
  <c r="M9" i="42"/>
  <c r="L9" i="42"/>
  <c r="M33" i="42"/>
  <c r="L33" i="42"/>
  <c r="M76" i="42"/>
  <c r="L76" i="42"/>
  <c r="L115" i="42"/>
  <c r="M115" i="42"/>
  <c r="M163" i="41"/>
  <c r="L163" i="41"/>
  <c r="M187" i="41"/>
  <c r="L187" i="41"/>
  <c r="M72" i="42"/>
  <c r="L72" i="42"/>
  <c r="M135" i="42"/>
  <c r="L135" i="42"/>
  <c r="M181" i="42"/>
  <c r="L181" i="42"/>
  <c r="L118" i="42"/>
  <c r="M118" i="42"/>
  <c r="L140" i="42"/>
  <c r="M140" i="42"/>
  <c r="M164" i="42"/>
  <c r="L164" i="42"/>
  <c r="M112" i="42"/>
  <c r="L112" i="42"/>
  <c r="M148" i="42"/>
  <c r="L148" i="42"/>
  <c r="L174" i="42"/>
  <c r="M174" i="42"/>
  <c r="M32" i="41"/>
  <c r="L32" i="41"/>
  <c r="M17" i="41"/>
  <c r="L17" i="41"/>
  <c r="L115" i="41"/>
  <c r="M115" i="41"/>
  <c r="L20" i="42"/>
  <c r="M20" i="42"/>
  <c r="M66" i="41"/>
  <c r="L66" i="41"/>
  <c r="M44" i="42"/>
  <c r="L44" i="42"/>
  <c r="M129" i="41"/>
  <c r="L129" i="41"/>
  <c r="L169" i="41"/>
  <c r="M169" i="41"/>
  <c r="M70" i="41"/>
  <c r="L70" i="41"/>
  <c r="M94" i="41"/>
  <c r="L94" i="41"/>
  <c r="M126" i="41"/>
  <c r="L126" i="41"/>
  <c r="L176" i="41"/>
  <c r="M176" i="41"/>
  <c r="L29" i="41"/>
  <c r="M29" i="41"/>
  <c r="L42" i="41"/>
  <c r="M42" i="41"/>
  <c r="M77" i="41"/>
  <c r="L77" i="41"/>
  <c r="L30" i="41"/>
  <c r="M30" i="41"/>
  <c r="L78" i="41"/>
  <c r="M78" i="41"/>
  <c r="L31" i="41"/>
  <c r="M31" i="41"/>
  <c r="M21" i="42"/>
  <c r="L21" i="42"/>
  <c r="L88" i="42"/>
  <c r="M88" i="42"/>
  <c r="L178" i="41"/>
  <c r="M178" i="41"/>
  <c r="L154" i="42"/>
  <c r="M154" i="42"/>
  <c r="M64" i="42"/>
  <c r="L64" i="42"/>
  <c r="L10" i="42"/>
  <c r="M10" i="42"/>
  <c r="M34" i="42"/>
  <c r="L34" i="42"/>
  <c r="L77" i="42"/>
  <c r="M77" i="42"/>
  <c r="L125" i="42"/>
  <c r="M125" i="42"/>
  <c r="M164" i="41"/>
  <c r="L164" i="41"/>
  <c r="L188" i="41"/>
  <c r="M188" i="41"/>
  <c r="L142" i="41"/>
  <c r="M142" i="41"/>
  <c r="M182" i="42"/>
  <c r="L182" i="42"/>
  <c r="M96" i="42"/>
  <c r="L96" i="42"/>
  <c r="L119" i="42"/>
  <c r="M119" i="42"/>
  <c r="M141" i="42"/>
  <c r="L141" i="42"/>
  <c r="M183" i="42"/>
  <c r="L183" i="42"/>
  <c r="M146" i="42"/>
  <c r="L146" i="42"/>
  <c r="M84" i="42"/>
  <c r="L84" i="42"/>
  <c r="L113" i="42"/>
  <c r="M113" i="42"/>
  <c r="L128" i="42"/>
  <c r="M128" i="42"/>
  <c r="M149" i="42"/>
  <c r="L149" i="42"/>
  <c r="M175" i="42"/>
  <c r="L175" i="42"/>
  <c r="L16" i="41"/>
  <c r="M16" i="41"/>
  <c r="L81" i="41"/>
  <c r="M81" i="41"/>
  <c r="L113" i="41"/>
  <c r="M113" i="41"/>
  <c r="L135" i="41"/>
  <c r="M135" i="41"/>
  <c r="M148" i="41"/>
  <c r="L148" i="41"/>
  <c r="M18" i="41"/>
  <c r="L18" i="41"/>
  <c r="L116" i="41"/>
  <c r="M116" i="41"/>
  <c r="L24" i="42"/>
  <c r="M24" i="42"/>
  <c r="L81" i="42"/>
  <c r="M81" i="42"/>
  <c r="L22" i="41"/>
  <c r="M22" i="41"/>
  <c r="M117" i="41"/>
  <c r="L117" i="41"/>
  <c r="M23" i="41"/>
  <c r="L23" i="41"/>
  <c r="M46" i="41"/>
  <c r="L46" i="41"/>
  <c r="M71" i="41"/>
  <c r="L71" i="41"/>
  <c r="L95" i="41"/>
  <c r="M95" i="41"/>
  <c r="M119" i="41"/>
  <c r="L119" i="41"/>
  <c r="M127" i="41"/>
  <c r="L127" i="41"/>
  <c r="L43" i="41"/>
  <c r="M43" i="41"/>
  <c r="M27" i="42"/>
  <c r="L27" i="42"/>
  <c r="M105" i="41"/>
  <c r="L105" i="41"/>
  <c r="M25" i="42"/>
  <c r="L25" i="42"/>
  <c r="M54" i="42"/>
  <c r="L54" i="42"/>
  <c r="L63" i="42"/>
  <c r="M63" i="42"/>
  <c r="M80" i="42"/>
  <c r="L80" i="42"/>
  <c r="M155" i="41"/>
  <c r="L155" i="41"/>
  <c r="L65" i="42"/>
  <c r="M65" i="42"/>
  <c r="L114" i="42"/>
  <c r="M114" i="42"/>
  <c r="M35" i="42"/>
  <c r="L35" i="42"/>
  <c r="M78" i="42"/>
  <c r="L78" i="42"/>
  <c r="M165" i="41"/>
  <c r="L165" i="41"/>
  <c r="M181" i="41"/>
  <c r="L181" i="41"/>
  <c r="M178" i="42"/>
  <c r="L178" i="42"/>
  <c r="L97" i="42"/>
  <c r="M97" i="42"/>
  <c r="M120" i="42"/>
  <c r="L120" i="42"/>
  <c r="M142" i="42"/>
  <c r="L142" i="42"/>
  <c r="M184" i="42"/>
  <c r="L184" i="42"/>
  <c r="M62" i="42"/>
  <c r="L62" i="42"/>
  <c r="M104" i="42"/>
  <c r="L104" i="42"/>
  <c r="L85" i="42"/>
  <c r="M85" i="42"/>
  <c r="L106" i="42"/>
  <c r="M106" i="42"/>
  <c r="M129" i="42"/>
  <c r="L129" i="42"/>
  <c r="L150" i="42"/>
  <c r="M150" i="42"/>
  <c r="M176" i="42"/>
  <c r="L176" i="42"/>
  <c r="M61" i="41"/>
  <c r="L61" i="41"/>
  <c r="L82" i="41"/>
  <c r="M82" i="41"/>
  <c r="L114" i="41"/>
  <c r="M114" i="41"/>
  <c r="L136" i="41"/>
  <c r="M136" i="41"/>
  <c r="L53" i="42"/>
  <c r="M53" i="42"/>
  <c r="M19" i="41"/>
  <c r="L19" i="41"/>
  <c r="M93" i="41"/>
  <c r="L93" i="41"/>
  <c r="L143" i="41"/>
  <c r="M143" i="41"/>
  <c r="L47" i="41"/>
  <c r="M47" i="41"/>
  <c r="L72" i="41"/>
  <c r="M72" i="41"/>
  <c r="M96" i="41"/>
  <c r="L96" i="41"/>
  <c r="M120" i="41"/>
  <c r="L120" i="41"/>
  <c r="M128" i="41"/>
  <c r="L128" i="41"/>
  <c r="L43" i="42"/>
  <c r="M43" i="42"/>
  <c r="L44" i="41"/>
  <c r="M44" i="41"/>
  <c r="M151" i="41"/>
  <c r="L151" i="41"/>
  <c r="L42" i="42"/>
  <c r="M42" i="42"/>
  <c r="M106" i="41"/>
  <c r="L106" i="41"/>
  <c r="L26" i="42"/>
  <c r="M26" i="42"/>
  <c r="M153" i="41"/>
  <c r="L153" i="41"/>
  <c r="L55" i="42"/>
  <c r="M55" i="42"/>
  <c r="L82" i="42"/>
  <c r="M82" i="42"/>
  <c r="L156" i="42"/>
  <c r="M156" i="42"/>
  <c r="M156" i="41"/>
  <c r="L156" i="41"/>
  <c r="L66" i="42"/>
  <c r="M66" i="42"/>
  <c r="L36" i="42"/>
  <c r="M36" i="42"/>
  <c r="L71" i="42"/>
  <c r="M71" i="42"/>
  <c r="M158" i="41"/>
  <c r="L158" i="41"/>
  <c r="L182" i="41"/>
  <c r="M182" i="41"/>
  <c r="L38" i="42"/>
  <c r="M38" i="42"/>
  <c r="M92" i="42"/>
  <c r="L92" i="42"/>
  <c r="M141" i="41"/>
  <c r="L141" i="41"/>
  <c r="L40" i="42"/>
  <c r="M40" i="42"/>
  <c r="M15" i="42"/>
  <c r="L15" i="42"/>
  <c r="L95" i="42"/>
  <c r="M95" i="42"/>
  <c r="L98" i="42"/>
  <c r="M98" i="42"/>
  <c r="L121" i="42"/>
  <c r="M121" i="42"/>
  <c r="M143" i="42"/>
  <c r="L143" i="42"/>
  <c r="M159" i="42"/>
  <c r="L159" i="42"/>
  <c r="M185" i="42"/>
  <c r="L185" i="42"/>
  <c r="L105" i="42"/>
  <c r="M105" i="42"/>
  <c r="L107" i="42"/>
  <c r="M107" i="42"/>
  <c r="M130" i="42"/>
  <c r="L130" i="42"/>
  <c r="M151" i="42"/>
  <c r="L151" i="42"/>
  <c r="M62" i="41"/>
  <c r="L62" i="41"/>
  <c r="L83" i="41"/>
  <c r="M83" i="41"/>
  <c r="M107" i="41"/>
  <c r="L107" i="41"/>
  <c r="L137" i="41"/>
  <c r="M137" i="41"/>
  <c r="L20" i="41"/>
  <c r="M20" i="41"/>
  <c r="L33" i="41"/>
  <c r="M33" i="41"/>
  <c r="M89" i="41"/>
  <c r="L89" i="41"/>
  <c r="M130" i="41"/>
  <c r="L130" i="41"/>
  <c r="M170" i="41"/>
  <c r="L170" i="41"/>
  <c r="M144" i="41"/>
  <c r="L144" i="41"/>
  <c r="M145" i="41"/>
  <c r="L145" i="41"/>
  <c r="L40" i="41"/>
  <c r="M40" i="41"/>
  <c r="M48" i="41"/>
  <c r="L48" i="41"/>
  <c r="L73" i="41"/>
  <c r="M73" i="41"/>
  <c r="M97" i="41"/>
  <c r="L97" i="41"/>
  <c r="M121" i="41"/>
  <c r="L121" i="41"/>
  <c r="M11" i="41"/>
  <c r="L11" i="41"/>
  <c r="L45" i="41"/>
  <c r="M45" i="41"/>
  <c r="M18" i="42"/>
  <c r="L18" i="42"/>
  <c r="M53" i="41"/>
  <c r="L53" i="41"/>
  <c r="M54" i="41"/>
  <c r="L54" i="41"/>
  <c r="L173" i="41"/>
  <c r="M173" i="41"/>
  <c r="M154" i="41"/>
  <c r="L154" i="41"/>
  <c r="L56" i="42"/>
  <c r="M56" i="42"/>
  <c r="M166" i="42"/>
  <c r="L166" i="42"/>
  <c r="L67" i="42"/>
  <c r="M67" i="42"/>
  <c r="L180" i="41"/>
  <c r="M180" i="41"/>
  <c r="M37" i="42"/>
  <c r="L37" i="42"/>
  <c r="L93" i="42"/>
  <c r="M93" i="42"/>
  <c r="L159" i="41"/>
  <c r="M159" i="41"/>
  <c r="M183" i="41"/>
  <c r="L183" i="41"/>
  <c r="M39" i="42"/>
  <c r="L39" i="42"/>
  <c r="M94" i="42"/>
  <c r="L94" i="42"/>
  <c r="L189" i="41"/>
  <c r="M189" i="41"/>
  <c r="L91" i="42"/>
  <c r="M91" i="42"/>
  <c r="M16" i="42"/>
  <c r="L16" i="42"/>
  <c r="M46" i="42"/>
  <c r="L46" i="42"/>
  <c r="M180" i="42"/>
  <c r="L180" i="42"/>
  <c r="M116" i="42"/>
  <c r="L116" i="42"/>
  <c r="L99" i="42"/>
  <c r="M99" i="42"/>
  <c r="L122" i="42"/>
  <c r="M122" i="42"/>
  <c r="M144" i="42"/>
  <c r="L144" i="42"/>
  <c r="M160" i="42"/>
  <c r="L160" i="42"/>
  <c r="M186" i="42"/>
  <c r="L186" i="42"/>
  <c r="M127" i="42"/>
  <c r="L127" i="42"/>
  <c r="M147" i="42"/>
  <c r="L147" i="42"/>
  <c r="M169" i="42"/>
  <c r="L169" i="42"/>
  <c r="M108" i="42"/>
  <c r="L108" i="42"/>
  <c r="M131" i="42"/>
  <c r="L131" i="42"/>
  <c r="M152" i="42"/>
  <c r="L152" i="42"/>
  <c r="L167" i="40"/>
  <c r="M167" i="40"/>
  <c r="M135" i="40"/>
  <c r="L135" i="40"/>
  <c r="M57" i="40"/>
  <c r="L57" i="40"/>
  <c r="M68" i="40"/>
  <c r="L68" i="40"/>
  <c r="M137" i="40"/>
  <c r="L137" i="40"/>
  <c r="L26" i="40"/>
  <c r="M26" i="40"/>
  <c r="L179" i="40"/>
  <c r="M179" i="40"/>
  <c r="L181" i="40"/>
  <c r="M181" i="40"/>
  <c r="M184" i="40"/>
  <c r="L184" i="40"/>
  <c r="M63" i="40"/>
  <c r="L63" i="40"/>
  <c r="L126" i="40"/>
  <c r="M126" i="40"/>
  <c r="L52" i="40"/>
  <c r="M52" i="40"/>
  <c r="L112" i="40"/>
  <c r="M112" i="40"/>
  <c r="M130" i="40"/>
  <c r="L130" i="40"/>
  <c r="M152" i="40"/>
  <c r="L152" i="40"/>
  <c r="M42" i="40"/>
  <c r="L42" i="40"/>
  <c r="M87" i="40"/>
  <c r="L87" i="40"/>
  <c r="M113" i="40"/>
  <c r="L113" i="40"/>
  <c r="M133" i="40"/>
  <c r="L133" i="40"/>
  <c r="M153" i="40"/>
  <c r="L153" i="40"/>
  <c r="L166" i="40"/>
  <c r="M166" i="40"/>
  <c r="L56" i="40"/>
  <c r="M56" i="40"/>
  <c r="M38" i="40"/>
  <c r="L38" i="40"/>
  <c r="M45" i="40"/>
  <c r="L45" i="40"/>
  <c r="L67" i="40"/>
  <c r="M67" i="40"/>
  <c r="L11" i="40"/>
  <c r="M11" i="40"/>
  <c r="L117" i="40"/>
  <c r="M117" i="40"/>
  <c r="M49" i="40"/>
  <c r="L49" i="40"/>
  <c r="L25" i="40"/>
  <c r="M25" i="40"/>
  <c r="M90" i="40"/>
  <c r="L90" i="40"/>
  <c r="L180" i="40"/>
  <c r="M180" i="40"/>
  <c r="L160" i="40"/>
  <c r="M160" i="40"/>
  <c r="M182" i="40"/>
  <c r="L182" i="40"/>
  <c r="M60" i="40"/>
  <c r="L60" i="40"/>
  <c r="M123" i="40"/>
  <c r="L123" i="40"/>
  <c r="L147" i="40"/>
  <c r="M147" i="40"/>
  <c r="M30" i="40"/>
  <c r="L30" i="40"/>
  <c r="L109" i="40"/>
  <c r="M109" i="40"/>
  <c r="L149" i="40"/>
  <c r="M149" i="40"/>
  <c r="M12" i="40"/>
  <c r="L12" i="40"/>
  <c r="M53" i="40"/>
  <c r="L53" i="40"/>
  <c r="M74" i="40"/>
  <c r="L74" i="40"/>
  <c r="L22" i="40"/>
  <c r="M22" i="40"/>
  <c r="M114" i="40"/>
  <c r="L114" i="40"/>
  <c r="M134" i="40"/>
  <c r="L134" i="40"/>
  <c r="M154" i="40"/>
  <c r="L154" i="40"/>
  <c r="M175" i="40"/>
  <c r="L175" i="40"/>
  <c r="M102" i="40"/>
  <c r="L102" i="40"/>
  <c r="L76" i="40"/>
  <c r="M76" i="40"/>
  <c r="M136" i="40"/>
  <c r="L136" i="40"/>
  <c r="M92" i="40"/>
  <c r="L92" i="40"/>
  <c r="M39" i="40"/>
  <c r="L39" i="40"/>
  <c r="M124" i="40"/>
  <c r="L124" i="40"/>
  <c r="M176" i="40"/>
  <c r="L176" i="40"/>
  <c r="L89" i="40"/>
  <c r="M89" i="40"/>
  <c r="L36" i="40"/>
  <c r="M36" i="40"/>
  <c r="L115" i="40"/>
  <c r="M115" i="40"/>
  <c r="L189" i="40"/>
  <c r="M189" i="40"/>
  <c r="L101" i="40"/>
  <c r="M101" i="40"/>
  <c r="L47" i="40"/>
  <c r="M47" i="40"/>
  <c r="M121" i="40"/>
  <c r="L121" i="40"/>
  <c r="L145" i="40"/>
  <c r="M145" i="40"/>
  <c r="M171" i="40"/>
  <c r="L171" i="40"/>
  <c r="M32" i="40"/>
  <c r="L32" i="40"/>
  <c r="L51" i="40"/>
  <c r="M51" i="40"/>
  <c r="L73" i="40"/>
  <c r="M73" i="40"/>
  <c r="M95" i="40"/>
  <c r="L95" i="40"/>
  <c r="M173" i="40"/>
  <c r="L173" i="40"/>
  <c r="L99" i="40"/>
  <c r="M99" i="40"/>
  <c r="L186" i="40"/>
  <c r="M186" i="40"/>
  <c r="M54" i="40"/>
  <c r="L54" i="40"/>
  <c r="M75" i="40"/>
  <c r="L75" i="40"/>
  <c r="L100" i="40"/>
  <c r="M100" i="40"/>
  <c r="L138" i="40"/>
  <c r="M138" i="40"/>
  <c r="M43" i="40"/>
  <c r="L43" i="40"/>
  <c r="M116" i="40"/>
  <c r="L116" i="40"/>
  <c r="L148" i="40"/>
  <c r="M148" i="40"/>
  <c r="M31" i="40"/>
  <c r="L31" i="40"/>
  <c r="M118" i="40"/>
  <c r="L118" i="40"/>
  <c r="L71" i="40"/>
  <c r="M71" i="40"/>
  <c r="L168" i="40"/>
  <c r="M168" i="40"/>
  <c r="M140" i="40"/>
  <c r="L140" i="40"/>
  <c r="L88" i="40"/>
  <c r="M88" i="40"/>
  <c r="M17" i="40"/>
  <c r="L17" i="40"/>
  <c r="L178" i="40"/>
  <c r="M178" i="40"/>
  <c r="M35" i="40"/>
  <c r="L35" i="40"/>
  <c r="L79" i="40"/>
  <c r="M79" i="40"/>
  <c r="L70" i="40"/>
  <c r="M70" i="40"/>
  <c r="M119" i="40"/>
  <c r="L119" i="40"/>
  <c r="L143" i="40"/>
  <c r="M143" i="40"/>
  <c r="M122" i="40"/>
  <c r="L122" i="40"/>
  <c r="L146" i="40"/>
  <c r="M146" i="40"/>
  <c r="L170" i="40"/>
  <c r="M170" i="40"/>
  <c r="L108" i="40"/>
  <c r="M108" i="40"/>
  <c r="L172" i="40"/>
  <c r="M172" i="40"/>
  <c r="M96" i="40"/>
  <c r="L96" i="40"/>
  <c r="M20" i="40"/>
  <c r="L20" i="40"/>
  <c r="L84" i="40"/>
  <c r="M84" i="40"/>
  <c r="M163" i="40"/>
  <c r="L163" i="40"/>
  <c r="M55" i="40"/>
  <c r="L55" i="40"/>
  <c r="L77" i="40"/>
  <c r="M77" i="40"/>
  <c r="L66" i="40"/>
  <c r="M66" i="40"/>
  <c r="M24" i="40"/>
  <c r="L24" i="40"/>
  <c r="M159" i="40"/>
  <c r="L159" i="40"/>
  <c r="L18" i="40"/>
  <c r="M18" i="40"/>
  <c r="M61" i="40"/>
  <c r="L61" i="40"/>
  <c r="M110" i="40"/>
  <c r="L110" i="40"/>
  <c r="M150" i="40"/>
  <c r="L150" i="40"/>
  <c r="L33" i="40"/>
  <c r="M33" i="40"/>
  <c r="L98" i="40"/>
  <c r="M98" i="40"/>
  <c r="L23" i="40"/>
  <c r="M23" i="40"/>
  <c r="L28" i="40"/>
  <c r="M28" i="40"/>
  <c r="M155" i="40"/>
  <c r="L155" i="40"/>
  <c r="L16" i="40"/>
  <c r="M16" i="40"/>
  <c r="M46" i="40"/>
  <c r="L46" i="40"/>
  <c r="L69" i="40"/>
  <c r="M69" i="40"/>
  <c r="M80" i="40"/>
  <c r="L80" i="40"/>
  <c r="M120" i="40"/>
  <c r="L120" i="40"/>
  <c r="M144" i="40"/>
  <c r="L144" i="40"/>
  <c r="M169" i="40"/>
  <c r="L169" i="40"/>
  <c r="M29" i="40"/>
  <c r="L29" i="40"/>
  <c r="M93" i="40"/>
  <c r="L93" i="40"/>
  <c r="L19" i="40"/>
  <c r="M19" i="40"/>
  <c r="M97" i="40"/>
  <c r="L97" i="40"/>
  <c r="L21" i="40"/>
  <c r="M21" i="40"/>
  <c r="M41" i="40"/>
  <c r="L41" i="40"/>
  <c r="M64" i="40"/>
  <c r="L64" i="40"/>
  <c r="M85" i="40"/>
  <c r="L85" i="40"/>
  <c r="L127" i="40"/>
  <c r="M127" i="40"/>
  <c r="M34" i="40"/>
  <c r="L34" i="40"/>
  <c r="L164" i="40"/>
  <c r="M164" i="40"/>
  <c r="M187" i="40"/>
  <c r="L187" i="40"/>
  <c r="L37" i="40"/>
  <c r="M37" i="40"/>
  <c r="L48" i="40"/>
  <c r="M48" i="40"/>
  <c r="L91" i="40"/>
  <c r="M91" i="40"/>
  <c r="M82" i="40"/>
  <c r="L82" i="40"/>
  <c r="L27" i="40"/>
  <c r="M27" i="40"/>
  <c r="M141" i="40"/>
  <c r="L141" i="40"/>
  <c r="L59" i="40"/>
  <c r="M59" i="40"/>
  <c r="M15" i="40"/>
  <c r="L15" i="40"/>
  <c r="M157" i="40"/>
  <c r="L157" i="40"/>
  <c r="M165" i="40"/>
  <c r="L165" i="40"/>
  <c r="M104" i="40"/>
  <c r="L104" i="40"/>
  <c r="M81" i="40"/>
  <c r="L81" i="40"/>
  <c r="M106" i="40"/>
  <c r="L106" i="40"/>
  <c r="M50" i="40"/>
  <c r="L50" i="40"/>
  <c r="M72" i="40"/>
  <c r="L72" i="40"/>
  <c r="M94" i="40"/>
  <c r="L94" i="40"/>
  <c r="M40" i="40"/>
  <c r="L40" i="40"/>
  <c r="L128" i="40"/>
  <c r="M128" i="40"/>
  <c r="M13" i="40"/>
  <c r="L13" i="40"/>
  <c r="L131" i="40"/>
  <c r="M131" i="40"/>
  <c r="L188" i="40"/>
  <c r="M188" i="40"/>
  <c r="L142" i="40"/>
  <c r="M142" i="40"/>
  <c r="M177" i="40"/>
  <c r="L177" i="40"/>
  <c r="M103" i="40"/>
  <c r="L103" i="40"/>
  <c r="M139" i="40"/>
  <c r="L139" i="40"/>
  <c r="L58" i="40"/>
  <c r="M58" i="40"/>
  <c r="L14" i="40"/>
  <c r="M14" i="40"/>
  <c r="L78" i="40"/>
  <c r="M78" i="40"/>
  <c r="M44" i="40"/>
  <c r="L44" i="40"/>
  <c r="M156" i="40"/>
  <c r="L156" i="40"/>
  <c r="M158" i="40"/>
  <c r="L158" i="40"/>
  <c r="L105" i="40"/>
  <c r="M105" i="40"/>
  <c r="L107" i="40"/>
  <c r="M107" i="40"/>
  <c r="L161" i="40"/>
  <c r="M161" i="40"/>
  <c r="M183" i="40"/>
  <c r="L183" i="40"/>
  <c r="L62" i="40"/>
  <c r="M62" i="40"/>
  <c r="M83" i="40"/>
  <c r="L83" i="40"/>
  <c r="M125" i="40"/>
  <c r="L125" i="40"/>
  <c r="M162" i="40"/>
  <c r="L162" i="40"/>
  <c r="M185" i="40"/>
  <c r="L185" i="40"/>
  <c r="L111" i="40"/>
  <c r="M111" i="40"/>
  <c r="L129" i="40"/>
  <c r="M129" i="40"/>
  <c r="M151" i="40"/>
  <c r="L151" i="40"/>
  <c r="L174" i="40"/>
  <c r="M174" i="40"/>
  <c r="L65" i="40"/>
  <c r="M65" i="40"/>
  <c r="L86" i="40"/>
  <c r="M86" i="40"/>
  <c r="L132" i="40"/>
  <c r="M132" i="40"/>
  <c r="M133" i="30"/>
  <c r="M66" i="30"/>
  <c r="M155" i="30"/>
  <c r="M92" i="30"/>
  <c r="M124" i="30"/>
  <c r="M95" i="30"/>
  <c r="M156" i="30"/>
  <c r="M188" i="30"/>
  <c r="M31" i="30"/>
  <c r="M189" i="30"/>
  <c r="M27" i="30"/>
  <c r="M89" i="30"/>
  <c r="M126" i="30"/>
  <c r="M35" i="30"/>
  <c r="M33" i="30"/>
  <c r="M61" i="30"/>
  <c r="M153" i="30"/>
  <c r="M56" i="30"/>
  <c r="M87" i="30"/>
  <c r="M99" i="30"/>
  <c r="M70" i="30"/>
  <c r="M180" i="30"/>
  <c r="M186" i="30"/>
  <c r="M25" i="30"/>
  <c r="M101" i="30"/>
  <c r="M131" i="30"/>
  <c r="M98" i="30"/>
  <c r="M129" i="30"/>
  <c r="M96" i="30"/>
  <c r="M32" i="30"/>
  <c r="M127" i="30"/>
  <c r="M102" i="30"/>
  <c r="M60" i="30"/>
  <c r="M128" i="30"/>
  <c r="M116" i="30"/>
  <c r="M122" i="30"/>
  <c r="M151" i="30"/>
  <c r="M165" i="30"/>
  <c r="M28" i="30"/>
  <c r="M67" i="30"/>
  <c r="M34" i="30"/>
  <c r="M166" i="30"/>
  <c r="M62" i="30"/>
  <c r="M51" i="30"/>
  <c r="M184" i="30"/>
  <c r="M109" i="30"/>
  <c r="M37" i="30"/>
  <c r="M71" i="30"/>
  <c r="M132" i="30"/>
  <c r="M158" i="30"/>
  <c r="M69" i="30"/>
  <c r="M103" i="30"/>
  <c r="M125" i="30"/>
  <c r="M159" i="30"/>
  <c r="M104" i="30"/>
  <c r="M45" i="30"/>
  <c r="M169" i="30"/>
  <c r="M81" i="30"/>
  <c r="M105" i="30"/>
  <c r="M179" i="30"/>
  <c r="M18" i="30"/>
  <c r="M117" i="30"/>
  <c r="M138" i="30"/>
  <c r="M36" i="30"/>
  <c r="M178" i="30"/>
  <c r="M97" i="30"/>
  <c r="M157" i="30"/>
  <c r="M130" i="30"/>
  <c r="M143" i="30"/>
  <c r="M58" i="30"/>
  <c r="M123" i="30"/>
  <c r="M145" i="30"/>
  <c r="M12" i="30"/>
  <c r="M90" i="30"/>
  <c r="M76" i="30"/>
  <c r="M146" i="30"/>
  <c r="M16" i="30"/>
  <c r="M91" i="30"/>
  <c r="M20" i="30"/>
  <c r="M79" i="30"/>
  <c r="M182" i="30"/>
  <c r="M106" i="30"/>
  <c r="M68" i="30"/>
  <c r="M94" i="30"/>
  <c r="M187" i="30"/>
  <c r="M26" i="30"/>
  <c r="M39" i="30"/>
  <c r="M59" i="30"/>
  <c r="M82" i="30"/>
  <c r="M164" i="30"/>
  <c r="M177" i="30"/>
  <c r="M15" i="30"/>
  <c r="M118" i="30"/>
  <c r="M17" i="30"/>
  <c r="M30" i="30"/>
  <c r="M170" i="30"/>
  <c r="M137" i="30"/>
  <c r="M150" i="30"/>
  <c r="M42" i="30"/>
  <c r="M93" i="30"/>
  <c r="M100" i="30"/>
  <c r="M113" i="30"/>
  <c r="M41" i="30"/>
  <c r="M54" i="30"/>
  <c r="M55" i="30"/>
  <c r="M115" i="30"/>
  <c r="M114" i="30"/>
  <c r="M73" i="30"/>
  <c r="M86" i="30"/>
  <c r="M142" i="30"/>
  <c r="M53" i="30"/>
  <c r="M74" i="30"/>
  <c r="M139" i="30"/>
  <c r="M136" i="30"/>
  <c r="M52" i="30"/>
  <c r="M185" i="30"/>
  <c r="M49" i="30"/>
  <c r="M38" i="30"/>
  <c r="M72" i="30"/>
  <c r="M65" i="30"/>
  <c r="M172" i="30"/>
  <c r="M144" i="30"/>
  <c r="M160" i="30"/>
  <c r="M75" i="30"/>
  <c r="M161" i="30"/>
  <c r="M162" i="30"/>
  <c r="M80" i="30"/>
  <c r="M107" i="30"/>
  <c r="M63" i="30"/>
  <c r="M163" i="30"/>
  <c r="M14" i="30"/>
  <c r="M121" i="30"/>
  <c r="M148" i="30"/>
  <c r="M46" i="30"/>
  <c r="M83" i="30"/>
  <c r="M24" i="30"/>
  <c r="M149" i="30"/>
  <c r="M77" i="30"/>
  <c r="M111" i="30"/>
  <c r="M43" i="30"/>
  <c r="M174" i="30"/>
  <c r="M112" i="30"/>
  <c r="M50" i="30"/>
  <c r="M44" i="30"/>
  <c r="M57" i="30"/>
  <c r="M84" i="30"/>
  <c r="M152" i="30"/>
  <c r="M64" i="30"/>
  <c r="M171" i="30"/>
  <c r="M22" i="30"/>
  <c r="M78" i="30"/>
  <c r="M23" i="30"/>
  <c r="M29" i="30"/>
  <c r="M147" i="30"/>
  <c r="M110" i="30"/>
  <c r="M88" i="30"/>
  <c r="M141" i="30"/>
  <c r="M175" i="30"/>
  <c r="M119" i="30"/>
  <c r="M120" i="30"/>
  <c r="M183" i="30"/>
  <c r="M176" i="30"/>
  <c r="M108" i="30"/>
  <c r="M134" i="30"/>
  <c r="M173" i="30"/>
  <c r="M19" i="30"/>
  <c r="M135" i="30"/>
  <c r="M140" i="30"/>
  <c r="M13" i="30"/>
  <c r="M47" i="30"/>
  <c r="M21" i="30"/>
  <c r="M154" i="30"/>
  <c r="M167" i="30"/>
  <c r="M85" i="30"/>
  <c r="M48" i="30"/>
  <c r="M168" i="30"/>
  <c r="M181" i="30"/>
  <c r="M40" i="30"/>
  <c r="L11" i="30"/>
  <c r="L29" i="30"/>
  <c r="L148" i="30"/>
  <c r="L131" i="30"/>
  <c r="L157" i="30"/>
  <c r="L20" i="30"/>
  <c r="L67" i="30"/>
  <c r="L93" i="30"/>
  <c r="L84" i="30"/>
  <c r="L144" i="30"/>
  <c r="L46" i="30"/>
  <c r="L173" i="30"/>
  <c r="L109" i="30"/>
  <c r="L45" i="30"/>
  <c r="L164" i="30"/>
  <c r="L100" i="30"/>
  <c r="L36" i="30"/>
  <c r="L147" i="30"/>
  <c r="L83" i="30"/>
  <c r="L19" i="30"/>
  <c r="L130" i="30"/>
  <c r="L66" i="30"/>
  <c r="L177" i="30"/>
  <c r="L113" i="30"/>
  <c r="L49" i="30"/>
  <c r="L160" i="30"/>
  <c r="L96" i="30"/>
  <c r="L32" i="30"/>
  <c r="L143" i="30"/>
  <c r="L79" i="30"/>
  <c r="L15" i="30"/>
  <c r="L126" i="30"/>
  <c r="L62" i="30"/>
  <c r="L110" i="30"/>
  <c r="L165" i="30"/>
  <c r="L101" i="30"/>
  <c r="L37" i="30"/>
  <c r="L156" i="30"/>
  <c r="L92" i="30"/>
  <c r="L28" i="30"/>
  <c r="L139" i="30"/>
  <c r="L75" i="30"/>
  <c r="L186" i="30"/>
  <c r="L122" i="30"/>
  <c r="L58" i="30"/>
  <c r="L169" i="30"/>
  <c r="L105" i="30"/>
  <c r="L41" i="30"/>
  <c r="L152" i="30"/>
  <c r="L88" i="30"/>
  <c r="L24" i="30"/>
  <c r="L135" i="30"/>
  <c r="L71" i="30"/>
  <c r="L182" i="30"/>
  <c r="L118" i="30"/>
  <c r="L54" i="30"/>
  <c r="L178" i="30"/>
  <c r="L161" i="30"/>
  <c r="L149" i="30"/>
  <c r="L140" i="30"/>
  <c r="L123" i="30"/>
  <c r="L106" i="30"/>
  <c r="L153" i="30"/>
  <c r="L55" i="30"/>
  <c r="L38" i="30"/>
  <c r="L141" i="30"/>
  <c r="L77" i="30"/>
  <c r="L13" i="30"/>
  <c r="L132" i="30"/>
  <c r="L68" i="30"/>
  <c r="L179" i="30"/>
  <c r="L115" i="30"/>
  <c r="L51" i="30"/>
  <c r="L162" i="30"/>
  <c r="L98" i="30"/>
  <c r="L34" i="30"/>
  <c r="L145" i="30"/>
  <c r="L81" i="30"/>
  <c r="L17" i="30"/>
  <c r="L128" i="30"/>
  <c r="L64" i="30"/>
  <c r="L175" i="30"/>
  <c r="L111" i="30"/>
  <c r="L47" i="30"/>
  <c r="L158" i="30"/>
  <c r="L94" i="30"/>
  <c r="L30" i="30"/>
  <c r="L114" i="30"/>
  <c r="L97" i="30"/>
  <c r="L80" i="30"/>
  <c r="L127" i="30"/>
  <c r="L21" i="30"/>
  <c r="L12" i="30"/>
  <c r="L187" i="30"/>
  <c r="L170" i="30"/>
  <c r="L89" i="30"/>
  <c r="L136" i="30"/>
  <c r="L119" i="30"/>
  <c r="L102" i="30"/>
  <c r="L133" i="30"/>
  <c r="L69" i="30"/>
  <c r="L188" i="30"/>
  <c r="L124" i="30"/>
  <c r="L60" i="30"/>
  <c r="L171" i="30"/>
  <c r="L107" i="30"/>
  <c r="L43" i="30"/>
  <c r="L154" i="30"/>
  <c r="L90" i="30"/>
  <c r="L26" i="30"/>
  <c r="L137" i="30"/>
  <c r="L73" i="30"/>
  <c r="L184" i="30"/>
  <c r="L120" i="30"/>
  <c r="L56" i="30"/>
  <c r="L167" i="30"/>
  <c r="L103" i="30"/>
  <c r="L39" i="30"/>
  <c r="L150" i="30"/>
  <c r="L86" i="30"/>
  <c r="L22" i="30"/>
  <c r="L63" i="30"/>
  <c r="L174" i="30"/>
  <c r="L85" i="30"/>
  <c r="L76" i="30"/>
  <c r="L59" i="30"/>
  <c r="L42" i="30"/>
  <c r="L25" i="30"/>
  <c r="L72" i="30"/>
  <c r="L183" i="30"/>
  <c r="L166" i="30"/>
  <c r="L189" i="30"/>
  <c r="L125" i="30"/>
  <c r="L61" i="30"/>
  <c r="L180" i="30"/>
  <c r="L116" i="30"/>
  <c r="L52" i="30"/>
  <c r="L163" i="30"/>
  <c r="L99" i="30"/>
  <c r="L35" i="30"/>
  <c r="L146" i="30"/>
  <c r="L82" i="30"/>
  <c r="L18" i="30"/>
  <c r="L129" i="30"/>
  <c r="L65" i="30"/>
  <c r="L176" i="30"/>
  <c r="L112" i="30"/>
  <c r="L48" i="30"/>
  <c r="L159" i="30"/>
  <c r="L95" i="30"/>
  <c r="L31" i="30"/>
  <c r="L142" i="30"/>
  <c r="L78" i="30"/>
  <c r="L14" i="30"/>
  <c r="L50" i="30"/>
  <c r="L33" i="30"/>
  <c r="L16" i="30"/>
  <c r="L181" i="30"/>
  <c r="L117" i="30"/>
  <c r="L53" i="30"/>
  <c r="L172" i="30"/>
  <c r="L108" i="30"/>
  <c r="L44" i="30"/>
  <c r="L155" i="30"/>
  <c r="L91" i="30"/>
  <c r="L27" i="30"/>
  <c r="L138" i="30"/>
  <c r="L74" i="30"/>
  <c r="L185" i="30"/>
  <c r="L121" i="30"/>
  <c r="L57" i="30"/>
  <c r="L168" i="30"/>
  <c r="L104" i="30"/>
  <c r="L40" i="30"/>
  <c r="L151" i="30"/>
  <c r="L87" i="30"/>
  <c r="L23" i="30"/>
  <c r="L134" i="30"/>
  <c r="L70" i="30"/>
  <c r="M11" i="30"/>
  <c r="C45" i="6" l="1"/>
  <c r="C43" i="6"/>
  <c r="C42" i="6"/>
  <c r="C41" i="6"/>
  <c r="C40" i="6"/>
  <c r="C39" i="6"/>
  <c r="C38" i="6"/>
  <c r="C37" i="6"/>
  <c r="C36" i="6"/>
  <c r="C35" i="6"/>
  <c r="C34" i="6"/>
  <c r="C33" i="6"/>
  <c r="C31" i="6"/>
  <c r="D5" i="7"/>
  <c r="C49" i="6" a="1"/>
  <c r="C67" i="6" a="1"/>
  <c r="C9" i="6" a="1"/>
  <c r="C27" i="6" a="1"/>
  <c r="C5" i="6" a="1"/>
  <c r="C46" i="6" a="1"/>
  <c r="C15" i="6" a="1"/>
  <c r="C50" i="6" a="1"/>
  <c r="C20" i="6" a="1"/>
  <c r="C68" i="6" a="1"/>
  <c r="C32" i="6" a="1"/>
  <c r="C19" i="6" a="1"/>
  <c r="C54" i="6" a="1"/>
  <c r="C44" i="6" a="1"/>
  <c r="C53" i="6" a="1"/>
  <c r="C51" i="6" a="1"/>
  <c r="C58" i="6" a="1"/>
  <c r="C60" i="6" a="1"/>
  <c r="C23" i="6" a="1"/>
  <c r="C17" i="6" a="1"/>
  <c r="C26" i="6" a="1"/>
  <c r="C56" i="6" a="1"/>
  <c r="C28" i="6" a="1"/>
  <c r="C8" i="6" a="1"/>
  <c r="C62" i="6" a="1"/>
  <c r="C47" i="6" a="1"/>
  <c r="C61" i="6" a="1"/>
  <c r="C59" i="6" a="1"/>
  <c r="C7" i="6" a="1"/>
  <c r="C55" i="6" a="1"/>
  <c r="C25" i="6" a="1"/>
  <c r="C30" i="6" a="1"/>
  <c r="C22" i="6" a="1"/>
  <c r="C13" i="6" a="1"/>
  <c r="C57" i="6" a="1"/>
  <c r="C6" i="6" a="1"/>
  <c r="C69" i="6" a="1"/>
  <c r="C14" i="6" a="1"/>
  <c r="C63" i="6" a="1"/>
  <c r="C48" i="6" a="1"/>
  <c r="C29" i="6" a="1"/>
  <c r="C65" i="6" a="1"/>
  <c r="C16" i="6" a="1"/>
  <c r="C24" i="6" a="1"/>
  <c r="C4" i="6" a="1"/>
  <c r="C10" i="6" a="1"/>
  <c r="C12" i="6" a="1"/>
  <c r="C66" i="6" a="1"/>
  <c r="C18" i="6" a="1"/>
  <c r="C64" i="6" a="1"/>
  <c r="C21" i="6" a="1"/>
  <c r="C11" i="6" a="1"/>
  <c r="C52" i="6" a="1"/>
  <c r="D6" i="7" l="1"/>
  <c r="D7" i="7" s="1"/>
  <c r="Q11" i="30"/>
  <c r="Q10" i="30"/>
  <c r="Q9" i="30"/>
  <c r="Q8" i="30"/>
  <c r="Q7" i="30"/>
  <c r="Q6" i="30"/>
  <c r="Q5" i="30"/>
  <c r="C4" i="6"/>
  <c r="C62" i="6"/>
  <c r="C11" i="6"/>
  <c r="T8" i="42" s="1"/>
  <c r="C19" i="6"/>
  <c r="C27" i="6"/>
  <c r="C66" i="6"/>
  <c r="C8" i="6"/>
  <c r="C12" i="6"/>
  <c r="C16" i="6"/>
  <c r="C20" i="6"/>
  <c r="C24" i="6"/>
  <c r="C28" i="6"/>
  <c r="C49" i="6"/>
  <c r="C51" i="6"/>
  <c r="C55" i="6"/>
  <c r="C59" i="6"/>
  <c r="C63" i="6"/>
  <c r="C67" i="6"/>
  <c r="C54" i="6"/>
  <c r="C7" i="6"/>
  <c r="C15" i="6"/>
  <c r="C23" i="6"/>
  <c r="C32" i="6"/>
  <c r="C58" i="6"/>
  <c r="C9" i="6"/>
  <c r="C13" i="6"/>
  <c r="C17" i="6"/>
  <c r="C21" i="6"/>
  <c r="C25" i="6"/>
  <c r="C29" i="6"/>
  <c r="C46" i="6"/>
  <c r="C52" i="6"/>
  <c r="C56" i="6"/>
  <c r="C60" i="6"/>
  <c r="C64" i="6"/>
  <c r="C68" i="6"/>
  <c r="C50" i="6"/>
  <c r="C48" i="6"/>
  <c r="C6" i="6"/>
  <c r="C10" i="6"/>
  <c r="C14" i="6"/>
  <c r="C18" i="6"/>
  <c r="C22" i="6"/>
  <c r="C26" i="6"/>
  <c r="C30" i="6"/>
  <c r="C47" i="6"/>
  <c r="C53" i="6"/>
  <c r="C57" i="6"/>
  <c r="C61" i="6"/>
  <c r="C65" i="6"/>
  <c r="C69" i="6"/>
  <c r="C44" i="6"/>
  <c r="C5" i="6"/>
  <c r="K8" i="42"/>
  <c r="M8" i="42"/>
  <c r="L8" i="42" l="1"/>
  <c r="T7" i="42"/>
  <c r="T5" i="42"/>
  <c r="T6" i="42"/>
  <c r="T9" i="41"/>
  <c r="T7" i="41"/>
  <c r="T5" i="41"/>
  <c r="T8" i="41"/>
  <c r="T6" i="41"/>
  <c r="T10" i="41"/>
  <c r="T11" i="30"/>
  <c r="T9" i="40"/>
  <c r="T7" i="40"/>
  <c r="T5" i="40"/>
  <c r="T8" i="40"/>
  <c r="T6" i="40"/>
  <c r="T10" i="40"/>
  <c r="T8" i="30"/>
  <c r="T10" i="30"/>
  <c r="T9" i="30"/>
  <c r="T5" i="30"/>
  <c r="T6" i="30"/>
  <c r="T7" i="30"/>
  <c r="K6" i="42"/>
  <c r="K5" i="40"/>
  <c r="K10" i="41"/>
  <c r="K7" i="41"/>
  <c r="K5" i="41"/>
  <c r="K7" i="42"/>
  <c r="K9" i="40"/>
  <c r="K7" i="40"/>
  <c r="K8" i="40"/>
  <c r="K10" i="40"/>
  <c r="K6" i="30"/>
  <c r="K8" i="41"/>
  <c r="K5" i="42"/>
  <c r="K10" i="30"/>
  <c r="K7" i="30"/>
  <c r="K5" i="30"/>
  <c r="K6" i="41"/>
  <c r="K9" i="41"/>
  <c r="K8" i="30"/>
  <c r="K9" i="30"/>
  <c r="K6" i="40"/>
  <c r="L7" i="42" l="1"/>
  <c r="L6" i="42"/>
  <c r="L5" i="42"/>
  <c r="L5" i="41"/>
  <c r="L7" i="41"/>
  <c r="L9" i="41"/>
  <c r="L10" i="41"/>
  <c r="L6" i="41"/>
  <c r="L8" i="41"/>
  <c r="L10" i="40"/>
  <c r="L6" i="40"/>
  <c r="L8" i="40"/>
  <c r="L5" i="40"/>
  <c r="L7" i="40"/>
  <c r="L9" i="40"/>
  <c r="L8" i="30"/>
  <c r="L6" i="30"/>
  <c r="L7" i="30"/>
  <c r="L5" i="30"/>
  <c r="L9" i="30"/>
  <c r="L10" i="30"/>
  <c r="M10" i="40"/>
  <c r="M9" i="40"/>
  <c r="M8" i="40"/>
  <c r="M7" i="42"/>
  <c r="M5" i="42"/>
  <c r="M7" i="40"/>
  <c r="M6" i="30"/>
  <c r="M9" i="30"/>
  <c r="M7" i="41"/>
  <c r="M7" i="30"/>
  <c r="M5" i="41"/>
  <c r="M5" i="40"/>
  <c r="M8" i="41"/>
  <c r="M6" i="40"/>
  <c r="M8" i="30"/>
  <c r="M9" i="41"/>
  <c r="M5" i="30"/>
  <c r="M6" i="41"/>
  <c r="M10" i="30"/>
  <c r="M10" i="41"/>
  <c r="M6" i="4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7460C19-CCDE-498A-9912-BB06AA6D45C0}" keepAlive="1" name="Query - resourcetypes" description="Connection to the 'resourcetypes' query in the workbook." type="5" refreshedVersion="8" background="1" saveData="1">
    <dbPr connection="Provider=Microsoft.Mashup.OleDb.1;Data Source=$Workbook$;Location=resourcetypes;Extended Properties=&quot;&quot;" command="SELECT * FROM [resourcetyp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<sst xmlns="http://schemas.openxmlformats.org/spreadsheetml/2006/main" count="7423" uniqueCount="1278">
  <si>
    <t>Fill Azure Regions</t>
  </si>
  <si>
    <t xml:space="preserve"> az account list-locations -o table</t>
  </si>
  <si>
    <t>Azure Resource Name Calculator</t>
  </si>
  <si>
    <t>Organization Name</t>
  </si>
  <si>
    <t>Name Format</t>
  </si>
  <si>
    <t>Casing</t>
  </si>
  <si>
    <t>Lower</t>
  </si>
  <si>
    <t>DEBUG</t>
  </si>
  <si>
    <t>Incremental</t>
  </si>
  <si>
    <t>Environment</t>
  </si>
  <si>
    <t>Component(Application/Workload)</t>
  </si>
  <si>
    <t>Azure Region Name</t>
  </si>
  <si>
    <t>Azure Service</t>
  </si>
  <si>
    <t>Computed Name</t>
  </si>
  <si>
    <t>Remaining Characters</t>
  </si>
  <si>
    <t>Meets Name Format</t>
  </si>
  <si>
    <t>Environment Name</t>
  </si>
  <si>
    <t>Environment Short Code</t>
  </si>
  <si>
    <t>Environment Long Code</t>
  </si>
  <si>
    <t>Environment ID</t>
  </si>
  <si>
    <t>Azure Region</t>
  </si>
  <si>
    <t>Azure Region Short Code</t>
  </si>
  <si>
    <t>Azure Service Abbreviation</t>
  </si>
  <si>
    <t>001</t>
  </si>
  <si>
    <t>Production</t>
  </si>
  <si>
    <t>decommisioned</t>
  </si>
  <si>
    <t>North Europe</t>
  </si>
  <si>
    <t>landingzones</t>
  </si>
  <si>
    <t>platform</t>
  </si>
  <si>
    <t>sandboxes</t>
  </si>
  <si>
    <t>corp</t>
  </si>
  <si>
    <t>online</t>
  </si>
  <si>
    <t>Shared</t>
  </si>
  <si>
    <t>connectivity</t>
  </si>
  <si>
    <t>management</t>
  </si>
  <si>
    <t>identity</t>
  </si>
  <si>
    <t>East US</t>
  </si>
  <si>
    <t>Environments</t>
  </si>
  <si>
    <t>Guidelines</t>
  </si>
  <si>
    <t>Short Code</t>
  </si>
  <si>
    <t>Long Code</t>
  </si>
  <si>
    <t>ID</t>
  </si>
  <si>
    <t>Development</t>
  </si>
  <si>
    <t>d</t>
  </si>
  <si>
    <t>dev</t>
  </si>
  <si>
    <t>Test</t>
  </si>
  <si>
    <t>t</t>
  </si>
  <si>
    <t>tst</t>
  </si>
  <si>
    <t>s</t>
  </si>
  <si>
    <t>p</t>
  </si>
  <si>
    <t>shd</t>
  </si>
  <si>
    <t>con</t>
  </si>
  <si>
    <t>waf</t>
  </si>
  <si>
    <t>wafrg</t>
  </si>
  <si>
    <t>arck</t>
  </si>
  <si>
    <t>des</t>
  </si>
  <si>
    <t>gal</t>
  </si>
  <si>
    <t>stvm</t>
  </si>
  <si>
    <t>cr</t>
  </si>
  <si>
    <t>ci</t>
  </si>
  <si>
    <t>synw</t>
  </si>
  <si>
    <t>Azure Synapse Analytics SQL Dedicated Pool</t>
  </si>
  <si>
    <t>syndp</t>
  </si>
  <si>
    <t>Azure Synapse Analytics Spark Pool</t>
  </si>
  <si>
    <t>synsp</t>
  </si>
  <si>
    <t>st</t>
  </si>
  <si>
    <t>ssimp</t>
  </si>
  <si>
    <t>as</t>
  </si>
  <si>
    <t>dec</t>
  </si>
  <si>
    <t>dedb</t>
  </si>
  <si>
    <t>dls</t>
  </si>
  <si>
    <t>dla</t>
  </si>
  <si>
    <t>IoT hub</t>
  </si>
  <si>
    <t>sigr</t>
  </si>
  <si>
    <t>Azure SQL Data Warehouse</t>
  </si>
  <si>
    <t>Upper</t>
  </si>
  <si>
    <t>Global</t>
  </si>
  <si>
    <t>^[a-zA-Z0-9_-]{1,64}$</t>
  </si>
  <si>
    <t>resource group</t>
  </si>
  <si>
    <t>App Service Environment</t>
  </si>
  <si>
    <t>global</t>
  </si>
  <si>
    <t>^[a-zA-Z0-9_-]{1,50}$</t>
  </si>
  <si>
    <t>virtual network</t>
  </si>
  <si>
    <t>resource group &amp; region</t>
  </si>
  <si>
    <t>route table</t>
  </si>
  <si>
    <t>Azure Regions</t>
  </si>
  <si>
    <t>Name</t>
  </si>
  <si>
    <t>ShortCode</t>
  </si>
  <si>
    <t>eastus</t>
  </si>
  <si>
    <t>East US 2</t>
  </si>
  <si>
    <t>eastus2</t>
  </si>
  <si>
    <t>South Central US</t>
  </si>
  <si>
    <t>southcentralus</t>
  </si>
  <si>
    <t>West US 2</t>
  </si>
  <si>
    <t>westus2</t>
  </si>
  <si>
    <t>West US 3</t>
  </si>
  <si>
    <t>westus3</t>
  </si>
  <si>
    <t>Australia East</t>
  </si>
  <si>
    <t>australiaeast</t>
  </si>
  <si>
    <t>Southeast Asia</t>
  </si>
  <si>
    <t>southeastasia</t>
  </si>
  <si>
    <t>northeurope</t>
  </si>
  <si>
    <t>Sweden Central</t>
  </si>
  <si>
    <t>swedencentral</t>
  </si>
  <si>
    <t>UK South</t>
  </si>
  <si>
    <t>uksouth</t>
  </si>
  <si>
    <t>West Europe</t>
  </si>
  <si>
    <t>westeurope</t>
  </si>
  <si>
    <t>Central US</t>
  </si>
  <si>
    <t>centralus</t>
  </si>
  <si>
    <t>North Central US</t>
  </si>
  <si>
    <t>northcentralus</t>
  </si>
  <si>
    <t>West US</t>
  </si>
  <si>
    <t>westus</t>
  </si>
  <si>
    <t>South Africa North</t>
  </si>
  <si>
    <t>southafricanorth</t>
  </si>
  <si>
    <t>Central India</t>
  </si>
  <si>
    <t>centralindia</t>
  </si>
  <si>
    <t>East Asia</t>
  </si>
  <si>
    <t>eastasia</t>
  </si>
  <si>
    <t>Japan East</t>
  </si>
  <si>
    <t>japaneast</t>
  </si>
  <si>
    <t>Jio India West</t>
  </si>
  <si>
    <t>jioindiawest</t>
  </si>
  <si>
    <t>Korea Central</t>
  </si>
  <si>
    <t>koreacentral</t>
  </si>
  <si>
    <t>Canada Central</t>
  </si>
  <si>
    <t>canadacentral</t>
  </si>
  <si>
    <t>France Central</t>
  </si>
  <si>
    <t>francecentral</t>
  </si>
  <si>
    <t>Germany West Central</t>
  </si>
  <si>
    <t>germanywestcentral</t>
  </si>
  <si>
    <t>Norway East</t>
  </si>
  <si>
    <t>norwayeast</t>
  </si>
  <si>
    <t>Switzerland North</t>
  </si>
  <si>
    <t>switzerlandnorth</t>
  </si>
  <si>
    <t>UAE North</t>
  </si>
  <si>
    <t>uaenorth</t>
  </si>
  <si>
    <t>Brazil South</t>
  </si>
  <si>
    <t>brazilsouth</t>
  </si>
  <si>
    <t>Asia</t>
  </si>
  <si>
    <t>asia</t>
  </si>
  <si>
    <t>Asia Pacific</t>
  </si>
  <si>
    <t>asiapacific</t>
  </si>
  <si>
    <t>Australia</t>
  </si>
  <si>
    <t>australia</t>
  </si>
  <si>
    <t>Brazil</t>
  </si>
  <si>
    <t>brazil</t>
  </si>
  <si>
    <t>Canada</t>
  </si>
  <si>
    <t>canada</t>
  </si>
  <si>
    <t>Europe</t>
  </si>
  <si>
    <t>europe</t>
  </si>
  <si>
    <t>France</t>
  </si>
  <si>
    <t>france</t>
  </si>
  <si>
    <t>Germany</t>
  </si>
  <si>
    <t>germany</t>
  </si>
  <si>
    <t>India</t>
  </si>
  <si>
    <t>india</t>
  </si>
  <si>
    <t>Japan</t>
  </si>
  <si>
    <t>japan</t>
  </si>
  <si>
    <t>Korea</t>
  </si>
  <si>
    <t>korea</t>
  </si>
  <si>
    <t>Norway</t>
  </si>
  <si>
    <t>norway</t>
  </si>
  <si>
    <t>South Africa</t>
  </si>
  <si>
    <t>southafrica</t>
  </si>
  <si>
    <t>Switzerland</t>
  </si>
  <si>
    <t>switzerland</t>
  </si>
  <si>
    <t>United Arab Emirates</t>
  </si>
  <si>
    <t>uae</t>
  </si>
  <si>
    <t>United Kingdom</t>
  </si>
  <si>
    <t>uk</t>
  </si>
  <si>
    <t>United States</t>
  </si>
  <si>
    <t>unitedstates</t>
  </si>
  <si>
    <t>United States EUAP</t>
  </si>
  <si>
    <t>unitedstateseuap</t>
  </si>
  <si>
    <t>Central US EUAP</t>
  </si>
  <si>
    <t>centraluseuap</t>
  </si>
  <si>
    <t>East US 2 EUAP</t>
  </si>
  <si>
    <t>eastus2euap</t>
  </si>
  <si>
    <t>West Central US</t>
  </si>
  <si>
    <t>westcentralus</t>
  </si>
  <si>
    <t>South Africa West</t>
  </si>
  <si>
    <t>southafricawest</t>
  </si>
  <si>
    <t>Australia Central</t>
  </si>
  <si>
    <t>australiacentral</t>
  </si>
  <si>
    <t>Australia Central 2</t>
  </si>
  <si>
    <t>australiacentral2</t>
  </si>
  <si>
    <t>Australia Southeast</t>
  </si>
  <si>
    <t>australiasoutheast</t>
  </si>
  <si>
    <t>Japan West</t>
  </si>
  <si>
    <t>japanwest</t>
  </si>
  <si>
    <t>Jio India Central</t>
  </si>
  <si>
    <t>jioindiacentral</t>
  </si>
  <si>
    <t>Korea South</t>
  </si>
  <si>
    <t>koreasouth</t>
  </si>
  <si>
    <t>South India</t>
  </si>
  <si>
    <t>southindia</t>
  </si>
  <si>
    <t>West India</t>
  </si>
  <si>
    <t>westindia</t>
  </si>
  <si>
    <t>Canada East</t>
  </si>
  <si>
    <t>canadaeast</t>
  </si>
  <si>
    <t>France South</t>
  </si>
  <si>
    <t>francesouth</t>
  </si>
  <si>
    <t>Germany North</t>
  </si>
  <si>
    <t>germanynorth</t>
  </si>
  <si>
    <t>Norway West</t>
  </si>
  <si>
    <t>norwaywest</t>
  </si>
  <si>
    <t>Switzerland West</t>
  </si>
  <si>
    <t>switzerlandwest</t>
  </si>
  <si>
    <t>UK West</t>
  </si>
  <si>
    <t>ukwest</t>
  </si>
  <si>
    <t>UAE Central</t>
  </si>
  <si>
    <t>uaecentral</t>
  </si>
  <si>
    <t>Brazil Southeast</t>
  </si>
  <si>
    <t>brazilsoutheast</t>
  </si>
  <si>
    <t>osdisk</t>
  </si>
  <si>
    <t>disk</t>
  </si>
  <si>
    <t>example</t>
  </si>
  <si>
    <t>Format</t>
  </si>
  <si>
    <t>Format Name</t>
  </si>
  <si>
    <t>Org</t>
  </si>
  <si>
    <t>Sample Org</t>
  </si>
  <si>
    <t>Orgs</t>
  </si>
  <si>
    <t>so</t>
  </si>
  <si>
    <t>Units/Depts</t>
  </si>
  <si>
    <t>Sample Unit/Dept</t>
  </si>
  <si>
    <t>sud</t>
  </si>
  <si>
    <t>Function</t>
  </si>
  <si>
    <t>Active Directory Federation Service</t>
  </si>
  <si>
    <t>adfs</t>
  </si>
  <si>
    <t>Domain Name Server</t>
  </si>
  <si>
    <t>dns</t>
  </si>
  <si>
    <t>ProjectAppService</t>
  </si>
  <si>
    <t>Func</t>
  </si>
  <si>
    <t>UnitsDepts</t>
  </si>
  <si>
    <t>ProjectsAppsServices</t>
  </si>
  <si>
    <t>Sample Project/App/Service</t>
  </si>
  <si>
    <t>spa</t>
  </si>
  <si>
    <t>^[a-z][a-z0-9]{2,62}$</t>
  </si>
  <si>
    <t>AnalysisServices/servers</t>
  </si>
  <si>
    <t>Azure Component</t>
  </si>
  <si>
    <t>prd</t>
  </si>
  <si>
    <t>Sandbox</t>
  </si>
  <si>
    <t>sbx</t>
  </si>
  <si>
    <t>Staging</t>
  </si>
  <si>
    <t>stg</t>
  </si>
  <si>
    <t>UAT</t>
  </si>
  <si>
    <t>uat</t>
  </si>
  <si>
    <t>u</t>
  </si>
  <si>
    <t>h</t>
  </si>
  <si>
    <t>g</t>
  </si>
  <si>
    <t>Aditional Name Format 1</t>
  </si>
  <si>
    <t>^(?:[a-zA-Z]|[a-zA-Z][a-zA-Z0-9-]{0,48}[a-zA-Z0-9])$</t>
  </si>
  <si>
    <t>ApiManagement/service/api-version-sets</t>
  </si>
  <si>
    <t>ApiManagement/service</t>
  </si>
  <si>
    <t>service</t>
  </si>
  <si>
    <t>apivs</t>
  </si>
  <si>
    <t>^[^\*#&amp;\+:&lt;&gt;\?]{1,256}$</t>
  </si>
  <si>
    <t>ApiManagement/service/apis</t>
  </si>
  <si>
    <t>ApiManagement/service/apis/issues</t>
  </si>
  <si>
    <t>id</t>
  </si>
  <si>
    <t>resource</t>
  </si>
  <si>
    <t>optional</t>
  </si>
  <si>
    <t>exclude</t>
  </si>
  <si>
    <t>property</t>
  </si>
  <si>
    <t>ShortName</t>
  </si>
  <si>
    <t>scope</t>
  </si>
  <si>
    <t>lengthMin</t>
  </si>
  <si>
    <t>lengthMax</t>
  </si>
  <si>
    <t>validText</t>
  </si>
  <si>
    <t>invalidText</t>
  </si>
  <si>
    <t>invalidCharacters</t>
  </si>
  <si>
    <t>invalidCharactersStart</t>
  </si>
  <si>
    <t>invalidCharactersEnd</t>
  </si>
  <si>
    <t>invalidCharactersConsecutive</t>
  </si>
  <si>
    <t>regx</t>
  </si>
  <si>
    <t>staticValues</t>
  </si>
  <si>
    <t>UnitDept</t>
  </si>
  <si>
    <t>Org,Function</t>
  </si>
  <si>
    <t/>
  </si>
  <si>
    <t>3</t>
  </si>
  <si>
    <t>63</t>
  </si>
  <si>
    <t>Lowercase letters and numbers. Start with lowercase letter.</t>
  </si>
  <si>
    <t>apim</t>
  </si>
  <si>
    <t>1</t>
  </si>
  <si>
    <t>50</t>
  </si>
  <si>
    <t>Alphanumerics, and hyphens. Start with letter, and end with alphanumeric.</t>
  </si>
  <si>
    <t>apis</t>
  </si>
  <si>
    <t>256</t>
  </si>
  <si>
    <t>Asterisk, number sign, ampersand, plus, colon, angle brackets, question mark.</t>
  </si>
  <si>
    <t>*#&amp;+:&lt;&gt;?</t>
  </si>
  <si>
    <t>apii</t>
  </si>
  <si>
    <t>api</t>
  </si>
  <si>
    <t>ApiManagement/service/apis/issues/attachments</t>
  </si>
  <si>
    <t>apiia</t>
  </si>
  <si>
    <t>issue</t>
  </si>
  <si>
    <t>ApiManagement/service/apis/issues/comments</t>
  </si>
  <si>
    <t>apiic</t>
  </si>
  <si>
    <t>ApiManagement/service/apis/operations</t>
  </si>
  <si>
    <t>apio</t>
  </si>
  <si>
    <t>ApiManagement/service/apis/operations/tags</t>
  </si>
  <si>
    <t>apiot</t>
  </si>
  <si>
    <t>operation</t>
  </si>
  <si>
    <t>ApiManagement/service/apis/releases</t>
  </si>
  <si>
    <t>apir</t>
  </si>
  <si>
    <t>80</t>
  </si>
  <si>
    <t>Alphanumerics, underscores, and hyphens. Start and end with alphanumeric or underscore.</t>
  </si>
  <si>
    <t>^(?:[a-zA-Z0-9_]|[a-zA-Z0-9_][a-zA-Z0-9_-]{0,78}[a-zA-Z0-9_])$</t>
  </si>
  <si>
    <t>ApiManagement/service/apis/schemas</t>
  </si>
  <si>
    <t>ApiManagement/service/apis/tagDescriptions</t>
  </si>
  <si>
    <t>apitd</t>
  </si>
  <si>
    <t>ApiManagement/service/apis/tags</t>
  </si>
  <si>
    <t>apitg</t>
  </si>
  <si>
    <t>ApiManagement/service/authorizationServers</t>
  </si>
  <si>
    <t>apias</t>
  </si>
  <si>
    <t>ApiManagement/service/backends</t>
  </si>
  <si>
    <t>apib</t>
  </si>
  <si>
    <t>ApiManagement/service/certificates</t>
  </si>
  <si>
    <t>apic</t>
  </si>
  <si>
    <t>ApiManagement/service/diagnostics</t>
  </si>
  <si>
    <t>apid</t>
  </si>
  <si>
    <t>ApiManagement/service/groups</t>
  </si>
  <si>
    <t>apig</t>
  </si>
  <si>
    <t>ApiManagement/service/groups/users</t>
  </si>
  <si>
    <t>apigu</t>
  </si>
  <si>
    <t>group</t>
  </si>
  <si>
    <t>ApiManagement/service/identityProviders</t>
  </si>
  <si>
    <t>apiip</t>
  </si>
  <si>
    <t>ApiManagement/service/loggers</t>
  </si>
  <si>
    <t>apil</t>
  </si>
  <si>
    <t>ApiManagement/service/notifications</t>
  </si>
  <si>
    <t>apin</t>
  </si>
  <si>
    <t>ApiManagement/service/notifications/recipientEmails</t>
  </si>
  <si>
    <t>recem</t>
  </si>
  <si>
    <t>notification</t>
  </si>
  <si>
    <t>ApiManagement/service/openidConnectProviders</t>
  </si>
  <si>
    <t>apioi</t>
  </si>
  <si>
    <t>ApiManagement/service/policies</t>
  </si>
  <si>
    <t>apipo</t>
  </si>
  <si>
    <t>ApiManagement/service/products</t>
  </si>
  <si>
    <t>apipr</t>
  </si>
  <si>
    <t>ApiManagement/service/products/apis</t>
  </si>
  <si>
    <t>product</t>
  </si>
  <si>
    <t>ApiManagement/service/products/groups</t>
  </si>
  <si>
    <t>grp</t>
  </si>
  <si>
    <t>ApiManagement/service/products/tags</t>
  </si>
  <si>
    <t>tag</t>
  </si>
  <si>
    <t>ApiManagement/service/properties</t>
  </si>
  <si>
    <t>prop</t>
  </si>
  <si>
    <t>ApiManagement/service/subscriptions</t>
  </si>
  <si>
    <t>subsr</t>
  </si>
  <si>
    <t>ApiManagement/service/tags</t>
  </si>
  <si>
    <t>ApiManagement/service/templates</t>
  </si>
  <si>
    <t>temp</t>
  </si>
  <si>
    <t>ApiManagement/service/users</t>
  </si>
  <si>
    <t>user</t>
  </si>
  <si>
    <t>AppConfiguration/configurationStores</t>
  </si>
  <si>
    <t>appcs</t>
  </si>
  <si>
    <t>5</t>
  </si>
  <si>
    <t>Alphanumerics, underscores, and hyphens.</t>
  </si>
  <si>
    <t>^[a-zA-Z0-9_-]{5,50}$</t>
  </si>
  <si>
    <t>Authorization/locks</t>
  </si>
  <si>
    <t>lock</t>
  </si>
  <si>
    <t>scope of assignment</t>
  </si>
  <si>
    <t>90</t>
  </si>
  <si>
    <t>Alphanumerics, periods, underscores, hyphens, and parenthesis.</t>
  </si>
  <si>
    <t>Can't end in period</t>
  </si>
  <si>
    <t>.</t>
  </si>
  <si>
    <t>^[a-zA-Z0-9_\.()-]{0,89}[a-zA-Z0-9_()-]$</t>
  </si>
  <si>
    <t>Authorization/policyAssignments</t>
  </si>
  <si>
    <t>Management Group Resource Name</t>
  </si>
  <si>
    <t>pas</t>
  </si>
  <si>
    <t>24</t>
  </si>
  <si>
    <t>Can't include percent sign and can't end with period or space.</t>
  </si>
  <si>
    <t>%</t>
  </si>
  <si>
    <t xml:space="preserve">. </t>
  </si>
  <si>
    <t>^(?!.*[\.]$)(?!.* $)[^%]{1,24}$</t>
  </si>
  <si>
    <t>Resoure Name</t>
  </si>
  <si>
    <t>64</t>
  </si>
  <si>
    <t>^(?!.*[\.]$)(?!.* $)[^%]{1,64}$</t>
  </si>
  <si>
    <t>Display Name</t>
  </si>
  <si>
    <t>128</t>
  </si>
  <si>
    <t>^(?!.*[\.]$)(?!.* $)[^%]{1,128}$</t>
  </si>
  <si>
    <t>Authorization/policyDefinitions</t>
  </si>
  <si>
    <t>policy</t>
  </si>
  <si>
    <t>scope of definition</t>
  </si>
  <si>
    <t>Display name can contain any characters.</t>
  </si>
  <si>
    <t>Authorization/policySetDefinitions</t>
  </si>
  <si>
    <t>init</t>
  </si>
  <si>
    <t>Automation/automationAccounts</t>
  </si>
  <si>
    <t>aa</t>
  </si>
  <si>
    <t>6</t>
  </si>
  <si>
    <t>Alphanumerics and hyphens. Start with letter. End with alphanumeric.</t>
  </si>
  <si>
    <t>^[a-zA-Z][a-zA-Z0-9-]{4,48}[a-zA-Z0-9]$</t>
  </si>
  <si>
    <t>Automation/automationAccounts/certificates</t>
  </si>
  <si>
    <t>cert</t>
  </si>
  <si>
    <t>automation account</t>
  </si>
  <si>
    <t>Angle brackets, asterisk, percent sign, ampersand, colon, backslash, question mark, period, plus sign, and slash. Can't end with space.</t>
  </si>
  <si>
    <t>&lt;&gt;*%&amp;:\?.+/</t>
  </si>
  <si>
    <t>^(?:[^ ]|[^&lt;&gt;\*%&amp;:\\?\.\+/]{1,127}[^ ])$</t>
  </si>
  <si>
    <t>Automation/automationAccounts/connections</t>
  </si>
  <si>
    <t>conn</t>
  </si>
  <si>
    <t>Automation/automationAccounts/credentials</t>
  </si>
  <si>
    <t>cred</t>
  </si>
  <si>
    <t>Automation/automationAccounts/runbooks</t>
  </si>
  <si>
    <t>runbk</t>
  </si>
  <si>
    <t>Alphanumerics, underscores, and hyphens. Start with a letter.</t>
  </si>
  <si>
    <t>^(?:[a-zA-Z]|[a-zA-Z][a-zA-Z0-9_-]{0,62})$</t>
  </si>
  <si>
    <t>Automation/automationAccounts/schedules</t>
  </si>
  <si>
    <t>sched</t>
  </si>
  <si>
    <t>Automation/automationAccounts/variables</t>
  </si>
  <si>
    <t>var</t>
  </si>
  <si>
    <t>Automation/automationAccounts/watchers</t>
  </si>
  <si>
    <t>watch</t>
  </si>
  <si>
    <t>Automation/automationAccounts/webhooks</t>
  </si>
  <si>
    <t>wbhk</t>
  </si>
  <si>
    <t>Batch/batchAccounts</t>
  </si>
  <si>
    <t>ba</t>
  </si>
  <si>
    <t>region</t>
  </si>
  <si>
    <t>Lowercase letters and numbers.</t>
  </si>
  <si>
    <t>^[a-z0-9]{3,24}$</t>
  </si>
  <si>
    <t>Batch/batchAccounts/applications</t>
  </si>
  <si>
    <t>appl</t>
  </si>
  <si>
    <t>batch account</t>
  </si>
  <si>
    <t>Batch/batchAccounts/certificates</t>
  </si>
  <si>
    <t>45</t>
  </si>
  <si>
    <t>^[a-zA-Z0-9_-]{5,45}$</t>
  </si>
  <si>
    <t>Batch/batchAccounts/pools</t>
  </si>
  <si>
    <t>pool</t>
  </si>
  <si>
    <t>Blockchain/blockchainMembers</t>
  </si>
  <si>
    <t>blchm</t>
  </si>
  <si>
    <t>2</t>
  </si>
  <si>
    <t>20</t>
  </si>
  <si>
    <t>^[a-z][a-z0-9]{2,24}$</t>
  </si>
  <si>
    <t>Blueprint/blueprintAssignments</t>
  </si>
  <si>
    <t>Org,UnitDept,Location,Instance</t>
  </si>
  <si>
    <t>bpas</t>
  </si>
  <si>
    <t>tenant</t>
  </si>
  <si>
    <t>Letters, numbers, hyphens, and periods.</t>
  </si>
  <si>
    <t>^[a-zA-Z0-9-.]{1,90}$</t>
  </si>
  <si>
    <t>Blueprint/blueprints</t>
  </si>
  <si>
    <t>bp</t>
  </si>
  <si>
    <t>48</t>
  </si>
  <si>
    <t>^[a-zA-Z0-9-.]{1,48}$</t>
  </si>
  <si>
    <t>Blueprint/blueprints/artifacts</t>
  </si>
  <si>
    <t>bpa</t>
  </si>
  <si>
    <t>Blueprint/blueprints/versions</t>
  </si>
  <si>
    <t>bpv</t>
  </si>
  <si>
    <t>^[a-zA-Z0-9-.]{1,20}$</t>
  </si>
  <si>
    <t>BotService/botServices</t>
  </si>
  <si>
    <t>botsvc</t>
  </si>
  <si>
    <t>Alphanumerics, underscores, periods, and hyphens. Start with alphanumeric.</t>
  </si>
  <si>
    <t>^[a-zA-Z0-9][a-zA-Z0-9_\.-]{1,63}$</t>
  </si>
  <si>
    <t>BotService/botServices/channels</t>
  </si>
  <si>
    <t>chan</t>
  </si>
  <si>
    <t>bot service</t>
  </si>
  <si>
    <t>BotService/botServices/Connections</t>
  </si>
  <si>
    <t>BotService/enterpriseChannels</t>
  </si>
  <si>
    <t>botec</t>
  </si>
  <si>
    <t>Cache/Redis</t>
  </si>
  <si>
    <t>redis</t>
  </si>
  <si>
    <t>Alphanumerics and hyphens. Start and end with alphanumeric.</t>
  </si>
  <si>
    <t>Consecutive hyphens not allowed.</t>
  </si>
  <si>
    <t>-</t>
  </si>
  <si>
    <t>^(?!.*-{2}.*)([a-zA-Z0-9]|[a-zA-Z0-9][a-zA-Z0-9-]{0,61}[a-zA-Z0-9])$</t>
  </si>
  <si>
    <t>Cache/Redis/firewallRules</t>
  </si>
  <si>
    <t>rule</t>
  </si>
  <si>
    <t>Redis</t>
  </si>
  <si>
    <t>Alphanumerics</t>
  </si>
  <si>
    <t>^[a-zA-Z0-9]{1,256}$</t>
  </si>
  <si>
    <t>Cdn/profiles</t>
  </si>
  <si>
    <t>cdnp</t>
  </si>
  <si>
    <t>260</t>
  </si>
  <si>
    <t>^(?:[a-zA-Z0-9]|[a-zA-Z0-9][a-zA-Z0-9-]{0,258}[a-zA-Z0-9])$</t>
  </si>
  <si>
    <t>Cdn/profiles/endpoints</t>
  </si>
  <si>
    <t>cdne</t>
  </si>
  <si>
    <t>^(?:[a-zA-Z0-9]|[a-zA-Z0-9][a-zA-Z0-9-]{0,48}[a-zA-Z0-9])$</t>
  </si>
  <si>
    <t>CertificateRegistration/certificateOrders</t>
  </si>
  <si>
    <t>cerco</t>
  </si>
  <si>
    <t>30</t>
  </si>
  <si>
    <t>Alphanumerics.</t>
  </si>
  <si>
    <t>^[a-zA-Z0-9]{3,30}$</t>
  </si>
  <si>
    <t>CognitiveServices/accounts</t>
  </si>
  <si>
    <t>cog</t>
  </si>
  <si>
    <t>^[a-zA-Z0-9][a-zA-Z0-9-]{0,62}[a-zA-Z0-9]$</t>
  </si>
  <si>
    <t>Compute/availabilitySets</t>
  </si>
  <si>
    <t>UnitDept,Function</t>
  </si>
  <si>
    <t>avail</t>
  </si>
  <si>
    <t>Alphanumerics, underscores, periods, and hyphens. Start with alphanumeric. End with alphanumeric or underscore</t>
  </si>
  <si>
    <t>^(?:[a-zA-Z0-9]|[a-zA-Z0-9][a-zA-Z0-9_\.-]{0,78}[a-zA-Z0-9_])$</t>
  </si>
  <si>
    <t>Compute/cloudServices</t>
  </si>
  <si>
    <t>cld</t>
  </si>
  <si>
    <t>Compute/diskEncryptionSets</t>
  </si>
  <si>
    <t>Alphanumerics and underscores.</t>
  </si>
  <si>
    <t>^[a-zA-Z0-9_]{1,80}$</t>
  </si>
  <si>
    <t>Compute/disks</t>
  </si>
  <si>
    <t>OS Disk</t>
  </si>
  <si>
    <t>Data Disk</t>
  </si>
  <si>
    <t>Compute/galleries</t>
  </si>
  <si>
    <t>Alphanumerics and periods. Start and end with alphanumeric.</t>
  </si>
  <si>
    <t>^(?:[a-zA-Z0-9]|[a-zA-Z0-9][a-zA-Z0-9\.]{0,78}[a-zA-Z0-9])$</t>
  </si>
  <si>
    <t>Compute/galleries/applications</t>
  </si>
  <si>
    <t>app</t>
  </si>
  <si>
    <t>gallery</t>
  </si>
  <si>
    <t>Alphanumerics, hyphens, and periods. Start and end with alphanumeric.</t>
  </si>
  <si>
    <t>^(?:[a-zA-Z0-9]|[a-zA-Z0-9][a-zA-Z0-9-\.]{0,78}[a-zA-Z0-9])$</t>
  </si>
  <si>
    <t>Compute/galleries/applications/versions</t>
  </si>
  <si>
    <t>apver</t>
  </si>
  <si>
    <t>application</t>
  </si>
  <si>
    <t>32-bit integer. Numbers and periods.</t>
  </si>
  <si>
    <t>^[0-9]+[\.][0-9]+[\.][0-9]+$</t>
  </si>
  <si>
    <t>1.0.0</t>
  </si>
  <si>
    <t>Compute/galleries/images</t>
  </si>
  <si>
    <t>gimg</t>
  </si>
  <si>
    <t>Alphanumerics, underscores, hyphens, and periods. Start and end with alphanumeric.</t>
  </si>
  <si>
    <t>^(?:[a-zA-Z0-9]|[a-zA-Z0-9][a-zA-Z0-9_\.-]{0,78}[a-zA-Z0-9])$</t>
  </si>
  <si>
    <t>Compute/galleries/images/versions</t>
  </si>
  <si>
    <t>ver</t>
  </si>
  <si>
    <t>image</t>
  </si>
  <si>
    <t>Compute/images</t>
  </si>
  <si>
    <t>cimg</t>
  </si>
  <si>
    <t>Compute/snapshots</t>
  </si>
  <si>
    <t>snap</t>
  </si>
  <si>
    <t>Compute/virtualMachines</t>
  </si>
  <si>
    <t>Linux</t>
  </si>
  <si>
    <t>vm</t>
  </si>
  <si>
    <t>Backslash, slash, double quote, single quote, square brackets, colon, pipe, angle brackets, plus sign, equals sign, semi-colon, comma, question mark, asterisk, at sign, ampersand, and underscore. Can't end with period or hyphen.</t>
  </si>
  <si>
    <t>\/\'[]:|&lt;&gt;+=;,?*@&amp;_"</t>
  </si>
  <si>
    <t>.-</t>
  </si>
  <si>
    <t>^(?!.*[.]$)(?!.*-$)[^\/\[\]:|&lt;&gt;\+=;,\?@&amp;_\*]{1,64}$</t>
  </si>
  <si>
    <t>Windows</t>
  </si>
  <si>
    <t>15</t>
  </si>
  <si>
    <t>Backslash, slash, double quote, single quote, square brackets, colon, pipe, angle brackets, plus sign, equals sign, semi-colon, comma, question mark, asterisk, at sign, ampersand, and underscore. Can't include space or period. Can't end with hyphen.</t>
  </si>
  <si>
    <t>/\'[]:|&lt;&gt;+=;,?*@&amp;_ ."</t>
  </si>
  <si>
    <t>^(?!.*-$)[^\/\[\]:|&lt;&gt;\+=;,\?@&amp;_\. \*]{1,15}$</t>
  </si>
  <si>
    <t>Compute/virtualMachineScaleSets</t>
  </si>
  <si>
    <t>vmss</t>
  </si>
  <si>
    <t>Backslash, slash, double quote, single quote, square brackets, colon, pipe, angle brackets, plus sign, equals sign, semi-colon, comma, question mark, asterisk, at sign, and ampersand. Can't use space. Can't start with underscore.  Can't end with period or hyphen.</t>
  </si>
  <si>
    <t xml:space="preserve">/"'[]:|&lt;&gt;+=;,?*@&amp; </t>
  </si>
  <si>
    <t>_</t>
  </si>
  <si>
    <t>^(?!_.*$)(?!.*[-\.]$)[^\/\[\]:|&lt;&gt;\+=;,\?@&amp; \*]{1,64}$</t>
  </si>
  <si>
    <t>^(?!_.*$)(?!.*[-.]$)[^"\/\[\]:|&lt;&gt;\+=;,\?@&amp; \*]{1,15}$</t>
  </si>
  <si>
    <t>ContainerInstance/containerGroups</t>
  </si>
  <si>
    <t>Lowercase letters, numbers, and hyphens.</t>
  </si>
  <si>
    <t>Can't start or end with hyphen. Consecutive hyphens aren't allowed.</t>
  </si>
  <si>
    <t>^(?!-.*)(?!.*-$)(?!.*-{2}.*)[a-z0-9-]{1,63}$</t>
  </si>
  <si>
    <t>ContainerRegistry/registries</t>
  </si>
  <si>
    <t>^[a-zA-Z0-9]{5,50}$</t>
  </si>
  <si>
    <t>ContainerRegistry/registries/buildTasks</t>
  </si>
  <si>
    <t>btsk</t>
  </si>
  <si>
    <t>registry</t>
  </si>
  <si>
    <t>ContainerRegistry/registries/buildTasks/steps</t>
  </si>
  <si>
    <t>step</t>
  </si>
  <si>
    <t>build task</t>
  </si>
  <si>
    <t>ContainerRegistry/registries/replications</t>
  </si>
  <si>
    <t>rep</t>
  </si>
  <si>
    <t>ContainerRegistry/registries/scopeMaps</t>
  </si>
  <si>
    <t>scmap</t>
  </si>
  <si>
    <t>Alphanumerics, hyphens, and underscores.</t>
  </si>
  <si>
    <t>ContainerRegistry/registries/tasks</t>
  </si>
  <si>
    <t>task</t>
  </si>
  <si>
    <t>ContainerRegistry/registries/tokens</t>
  </si>
  <si>
    <t>tokn</t>
  </si>
  <si>
    <t>ContainerRegistry/registries/webhooks</t>
  </si>
  <si>
    <t>webhk</t>
  </si>
  <si>
    <t>ContainerService/managedClusters</t>
  </si>
  <si>
    <t>aks</t>
  </si>
  <si>
    <t>Alphanumerics, underscores, and hyphens. Start and end with alphanumeric.</t>
  </si>
  <si>
    <t>^(?:[a-zA-Z0-9]|[a-zA-Z0-9][a-zA-Z0-9_-]{0,61}[a-zA-Z0-9])$</t>
  </si>
  <si>
    <t>ContainerServiceopenShiftManagedClusters</t>
  </si>
  <si>
    <t>osmc</t>
  </si>
  <si>
    <t>^[a-zA-Z0-9]{1,30}$</t>
  </si>
  <si>
    <t>CustomerInsights/hubs</t>
  </si>
  <si>
    <t>cihub</t>
  </si>
  <si>
    <t>Alphanumerics. Start with letter.</t>
  </si>
  <si>
    <t>^[a-zA-Z][a-zA-Z0-9]{0,63}$</t>
  </si>
  <si>
    <t>CustomerInsights/hubs/authorizationPolicies</t>
  </si>
  <si>
    <t>authp</t>
  </si>
  <si>
    <t>hub</t>
  </si>
  <si>
    <t>Alphanumerics, underscores, and periods. Start and end with alphnumeric.</t>
  </si>
  <si>
    <t>^(?:[a-zA-Z0-9]|[a-zA-Z0-9][a-zA-Z0-9_-]{0,48}[a-zA-Z0-9])$</t>
  </si>
  <si>
    <t>CustomerInsights/hubs/connectors</t>
  </si>
  <si>
    <t>Alphanumerics and underscores. Start with letter.</t>
  </si>
  <si>
    <t>^[a-zA-Z][a-zA-Z0-9_]{0,127}$</t>
  </si>
  <si>
    <t>CustomerInsights/hubs/connectors/mappings</t>
  </si>
  <si>
    <t>map</t>
  </si>
  <si>
    <t>connector</t>
  </si>
  <si>
    <t>CustomerInsights/hubs/interactions</t>
  </si>
  <si>
    <t>int</t>
  </si>
  <si>
    <t>CustomerInsights/hubs/kpi</t>
  </si>
  <si>
    <t>kpi</t>
  </si>
  <si>
    <t>512</t>
  </si>
  <si>
    <t>^[a-zA-Z][a-zA-Z0-9_]{0,511}$</t>
  </si>
  <si>
    <t>CustomerInsights/hubs/links</t>
  </si>
  <si>
    <t>link</t>
  </si>
  <si>
    <t>CustomerInsights/hubs/predictions</t>
  </si>
  <si>
    <t>pred</t>
  </si>
  <si>
    <t>CustomerInsights/hubs/profiles</t>
  </si>
  <si>
    <t>prof</t>
  </si>
  <si>
    <t>CustomerInsights/hubs/relationshipLinks</t>
  </si>
  <si>
    <t>rlink</t>
  </si>
  <si>
    <t>CustomerInsights/hubs/relationships</t>
  </si>
  <si>
    <t>rel</t>
  </si>
  <si>
    <t>CustomerInsights/hubs/roleAssignments</t>
  </si>
  <si>
    <t>role</t>
  </si>
  <si>
    <t>CustomerInsights/hubs/views</t>
  </si>
  <si>
    <t>view</t>
  </si>
  <si>
    <t>CustomProviders/associations</t>
  </si>
  <si>
    <t>cpas</t>
  </si>
  <si>
    <t>180</t>
  </si>
  <si>
    <t>Percent sign, ampersand, backslash, question mark, slash. Can't end with period or space.</t>
  </si>
  <si>
    <t>%&amp;\?/</t>
  </si>
  <si>
    <t>^(?:[^%&amp;\\?/\. ]|[^%&amp;\\?/]{1,179}[^. ])$</t>
  </si>
  <si>
    <t>CustomProviders/resourceProviders</t>
  </si>
  <si>
    <t>cprep</t>
  </si>
  <si>
    <t>^[^%&amp;\\?/]{3,63}[^. ]$</t>
  </si>
  <si>
    <t>DataBox/jobs</t>
  </si>
  <si>
    <t>dbjob</t>
  </si>
  <si>
    <t>Alphanumerics, hyphens, underscores and periods.</t>
  </si>
  <si>
    <t>^[a-zA-Z0-9_\.-]{3,24}$</t>
  </si>
  <si>
    <t>Databricks/workspaces</t>
  </si>
  <si>
    <t>dbw</t>
  </si>
  <si>
    <t>Alphanumerics, underscores, and hyphens</t>
  </si>
  <si>
    <t>^[a-zA-Z0-9_-]{3,30}$</t>
  </si>
  <si>
    <t>DataFactory/factories</t>
  </si>
  <si>
    <t>adf</t>
  </si>
  <si>
    <t>^[a-zA-Z0-9][a-zA-Z0-9-]{1,61}[a-zA-Z0-9]$</t>
  </si>
  <si>
    <t>DataFactory/factories/dataflows</t>
  </si>
  <si>
    <t>flow</t>
  </si>
  <si>
    <t>factory</t>
  </si>
  <si>
    <t>Start with alphanumeric.</t>
  </si>
  <si>
    <t>Angle brackets, asterisk, number sign, period, percent sign, ampersand, colon, backslash, question mark, plus sign, and slash</t>
  </si>
  <si>
    <t>&lt;&gt;*#.%&amp;:\+?/</t>
  </si>
  <si>
    <t>^[a-zA-Z0-9][^&lt;&gt;\*#\.%&amp;:\\+\?/]{0,259}$</t>
  </si>
  <si>
    <t>DataFactory/factories/datasets</t>
  </si>
  <si>
    <t>dset</t>
  </si>
  <si>
    <t>DataFactory/factories/integrationRuntimes</t>
  </si>
  <si>
    <t>run</t>
  </si>
  <si>
    <t>DataFactory/factories/linkedservices</t>
  </si>
  <si>
    <t>lksvc</t>
  </si>
  <si>
    <t>DataFactory/factories/pipelines</t>
  </si>
  <si>
    <t>pipe</t>
  </si>
  <si>
    <t>DataFactory/factories/triggers</t>
  </si>
  <si>
    <t>trig</t>
  </si>
  <si>
    <t>DataFactory/factories/triggers/rerunTriggers</t>
  </si>
  <si>
    <t>rerun</t>
  </si>
  <si>
    <t>trigger</t>
  </si>
  <si>
    <t>DataLakeAnalytics/accounts</t>
  </si>
  <si>
    <t>DataLakeAnalytics/accounts/computePolicies</t>
  </si>
  <si>
    <t>cmpol</t>
  </si>
  <si>
    <t>account</t>
  </si>
  <si>
    <t>60</t>
  </si>
  <si>
    <t>^[a-zA-Z0-9_-]{3,60}$</t>
  </si>
  <si>
    <t>DataLakeAnalytics/accounts/dataLakeStoreAccounts</t>
  </si>
  <si>
    <t>dlsta</t>
  </si>
  <si>
    <t>DataLakeAnalytics/accounts/firewallRules</t>
  </si>
  <si>
    <t>^[a-zA-Z0-9_-]{3,50}$</t>
  </si>
  <si>
    <t>DataLakeAnalytics/accounts/storageAccounts</t>
  </si>
  <si>
    <t>dlasa</t>
  </si>
  <si>
    <t>DataLakeStore/accounts</t>
  </si>
  <si>
    <t>DataLakeStore/accounts/firewallRules</t>
  </si>
  <si>
    <t>DataLakeStore/accounts/virtualNetworkRules</t>
  </si>
  <si>
    <t>DataMigration/services</t>
  </si>
  <si>
    <t>dms</t>
  </si>
  <si>
    <t>62</t>
  </si>
  <si>
    <t>Alphanumerics, hyphens, periods, and underscores. Start with alphanumeric</t>
  </si>
  <si>
    <t>^[a-zA-Z0-9][a-zA-Z0-9_\.-]{1,61}$</t>
  </si>
  <si>
    <t>DataMigration/services/projects</t>
  </si>
  <si>
    <t>proj</t>
  </si>
  <si>
    <t>57</t>
  </si>
  <si>
    <t>Alphanumerics, hyphens, periods, and underscores.</t>
  </si>
  <si>
    <t>^[a-zA-Z0-9_\.-]{2,57}$</t>
  </si>
  <si>
    <t>DBforMariaDB/servers</t>
  </si>
  <si>
    <t>mdbsv</t>
  </si>
  <si>
    <t>Lowercase letters, hyphens and numbers.</t>
  </si>
  <si>
    <t>Can't start or end with hyphen.</t>
  </si>
  <si>
    <t>^(?!-.*)(?!.*-$)[a-z0-9-]{3,63}$</t>
  </si>
  <si>
    <t>DBforMariaDB/servers/databases</t>
  </si>
  <si>
    <t>mdbdb</t>
  </si>
  <si>
    <t>servers</t>
  </si>
  <si>
    <t>Alphanumerics and hyphens.</t>
  </si>
  <si>
    <t>^[a-zA-Z0-9-]{1,63}$</t>
  </si>
  <si>
    <t>DBforMariaDB/servers/firewallRules</t>
  </si>
  <si>
    <t>^[a-zA-Z0-9_-]{1,128}$</t>
  </si>
  <si>
    <t>DBforMariaDB/servers/virtualNetworkRules</t>
  </si>
  <si>
    <t>^[a-zA-Z0-9-]{1,128}$</t>
  </si>
  <si>
    <t>DBforMySQL/servers</t>
  </si>
  <si>
    <t>mysql</t>
  </si>
  <si>
    <t>DBforMySQL/servers/databases</t>
  </si>
  <si>
    <t>db</t>
  </si>
  <si>
    <t>DBforMySQL/servers/firewallRules</t>
  </si>
  <si>
    <t>DBforMySQL/servers/virtualNetworkRules</t>
  </si>
  <si>
    <t>DBforPostgreSQL/servers</t>
  </si>
  <si>
    <t>psql</t>
  </si>
  <si>
    <t>DBforPostgreSQL/servers/databases</t>
  </si>
  <si>
    <t>DBforPostgreSQL/servers/firewallRules</t>
  </si>
  <si>
    <t>DBforPostgreSQL/servers/virtualNetworkRules</t>
  </si>
  <si>
    <t>Devices/IotHubs</t>
  </si>
  <si>
    <t>iot</t>
  </si>
  <si>
    <t>Can't end with hyphen.</t>
  </si>
  <si>
    <t>^(?!.*-$)[a-zA-Z0-9-]{3,50}$</t>
  </si>
  <si>
    <t>Devices/IotHubs/certificates</t>
  </si>
  <si>
    <t>^[a-zA-Z0-9_-\.]{1,64}$</t>
  </si>
  <si>
    <t>Devices/IotHubs/eventHubEndpoints/ConsumerGroups</t>
  </si>
  <si>
    <t>congp</t>
  </si>
  <si>
    <t>eventHubEndpoints</t>
  </si>
  <si>
    <t>^[a-zA-Z0-9_\.-]{1,50}$</t>
  </si>
  <si>
    <t>Devices/provisioningServices</t>
  </si>
  <si>
    <t>provs</t>
  </si>
  <si>
    <t>Alphanumerics and hyphens. End with alphanumeric</t>
  </si>
  <si>
    <t>^(?:[a-zA-Z0-9-]{2,63}[a-zA-Z0-9])$</t>
  </si>
  <si>
    <t>Devices/provisioningServices/certificates</t>
  </si>
  <si>
    <t>pcert</t>
  </si>
  <si>
    <t>provisioningServices</t>
  </si>
  <si>
    <t>^[a-zA-Z0-9_\.-]{1,64}$</t>
  </si>
  <si>
    <t>DevTestLab/labs</t>
  </si>
  <si>
    <t>dtlab</t>
  </si>
  <si>
    <t>DevTestLab/labs/customimages</t>
  </si>
  <si>
    <t>img</t>
  </si>
  <si>
    <t>lab</t>
  </si>
  <si>
    <t>Alphanumerics, underscores, hyphens, and parentheses.</t>
  </si>
  <si>
    <t>^[a-zA-Z0-9_()-]{1,80}$</t>
  </si>
  <si>
    <t>DevTestLab/labs/formulas</t>
  </si>
  <si>
    <t>form</t>
  </si>
  <si>
    <t>DevTestLab/labs/virtualmachines</t>
  </si>
  <si>
    <t>Can't be all numbers.</t>
  </si>
  <si>
    <t>^(?![0-9]+$)([a-zA-Z0-9]|[a-zA-Z0-9][a-zA-Z0-9-]{0,13}[a-zA-Z0-9])$</t>
  </si>
  <si>
    <t>^(?![0-9]+$)([a-zA-Z0-9]|[a-zA-Z0-9][a-zA-Z0-9-]{0,62}[a-zA-Z0-9])$</t>
  </si>
  <si>
    <t>DocumentDB/databaseAccounts</t>
  </si>
  <si>
    <t>dbact</t>
  </si>
  <si>
    <t>44</t>
  </si>
  <si>
    <t>Lowercase letters, numbers, and hyphens. Start with lowercase letter or number.</t>
  </si>
  <si>
    <t>^[a-z0-9][a-z0-9-]{2,43}$</t>
  </si>
  <si>
    <t>DocumentDB/databaseAccounts/sqlDatabases</t>
  </si>
  <si>
    <t>cosmos</t>
  </si>
  <si>
    <t>EventGrid/domains</t>
  </si>
  <si>
    <t>evgd</t>
  </si>
  <si>
    <t>^[a-zA-Z0-9-]{3,50}$</t>
  </si>
  <si>
    <t>EventGrid/domains/topics</t>
  </si>
  <si>
    <t>evgt</t>
  </si>
  <si>
    <t>domain</t>
  </si>
  <si>
    <t>EventGrid/eventSubscriptions</t>
  </si>
  <si>
    <t>evgs</t>
  </si>
  <si>
    <t>^[a-zA-Z0-9-]{3,64}$</t>
  </si>
  <si>
    <t>EventGrid/topics</t>
  </si>
  <si>
    <t>egtp</t>
  </si>
  <si>
    <t>EventHub/clusters</t>
  </si>
  <si>
    <t>evhcl</t>
  </si>
  <si>
    <t>Alphanumerics and hyphens. Start with letter.  End with letter or number.</t>
  </si>
  <si>
    <t>EventHub/namespaces</t>
  </si>
  <si>
    <t>evhns</t>
  </si>
  <si>
    <t>EventHub/namespaces/AuthorizationRules</t>
  </si>
  <si>
    <t>namespace</t>
  </si>
  <si>
    <t>Alphanumerics, periods, hyphens and underscores. Start and end with letter or number.</t>
  </si>
  <si>
    <t>^(?:[a-zA-Z0-9]|[a-zA-Z0-9][a-zA-Z0-9_\.-]{0,48}[a-zA-Z0-9])$</t>
  </si>
  <si>
    <t>EventHub/namespaces/disasterRecoveryConfigs</t>
  </si>
  <si>
    <t>drcfg</t>
  </si>
  <si>
    <t>EventHub/namespaces/eventhubs</t>
  </si>
  <si>
    <t>evh</t>
  </si>
  <si>
    <t>EventHub/namespaces/eventhubs/authorizationRules</t>
  </si>
  <si>
    <t>event hub</t>
  </si>
  <si>
    <t>EventHub/namespaces/eventhubs/consumergroups</t>
  </si>
  <si>
    <t>cgrp</t>
  </si>
  <si>
    <t>HDInsight/clusters</t>
  </si>
  <si>
    <t>Spark Cluster</t>
  </si>
  <si>
    <t>mls</t>
  </si>
  <si>
    <t>59</t>
  </si>
  <si>
    <t>Alphanumerics and hyphens. Start and end with letter or number</t>
  </si>
  <si>
    <t>^[a-zA-Z][a-zA-Z0-9-]{1,57}[a-zA-Z0-9]$</t>
  </si>
  <si>
    <t>Storm Cluster</t>
  </si>
  <si>
    <t>spark</t>
  </si>
  <si>
    <t>ML Services Cluster</t>
  </si>
  <si>
    <t>storm</t>
  </si>
  <si>
    <t>Hadoop Cluster</t>
  </si>
  <si>
    <t>hadoop</t>
  </si>
  <si>
    <t>HBase Cluster</t>
  </si>
  <si>
    <t>hbase</t>
  </si>
  <si>
    <t>Kafka Cluster</t>
  </si>
  <si>
    <t>kafka</t>
  </si>
  <si>
    <t>HybridCompute/machines</t>
  </si>
  <si>
    <t>arcs</t>
  </si>
  <si>
    <t>ImportExport/jobs</t>
  </si>
  <si>
    <t>iejob</t>
  </si>
  <si>
    <t xml:space="preserve">Alphanumerics and hyphens. Start with letter.   </t>
  </si>
  <si>
    <t>^[a-zA-Z][a-zA-Z0-9-]{1,63}$</t>
  </si>
  <si>
    <t>Insights/actionGroups</t>
  </si>
  <si>
    <t>ag</t>
  </si>
  <si>
    <t>Slash, ampersand, percent sign, backslash, and question mark. Can't end with space or period.</t>
  </si>
  <si>
    <t>/&amp;%\?</t>
  </si>
  <si>
    <t>^(?!.*[\.]$)(?!.* $)[^/&amp;%\\?]{1,260}$</t>
  </si>
  <si>
    <t>Insights/activityLogAlerts</t>
  </si>
  <si>
    <t>inala</t>
  </si>
  <si>
    <t>Angle brackets, asterisk, percent sign, curly brackets, ampersand, colon, backslash, question mark, plus sign, slash, and number sign. Can't end with space or period.</t>
  </si>
  <si>
    <t>&lt;&gt;*%{}&amp;:\?+/#</t>
  </si>
  <si>
    <t>^(?!.*[\.]$)(?!.* $)[^&lt;&gt;\*%{}&amp;:\\?\+/#]{1,260}$</t>
  </si>
  <si>
    <t>Insights/components</t>
  </si>
  <si>
    <t>appi</t>
  </si>
  <si>
    <t>Percent sign, ampersand, backslash, question mark, and slash. Can't end with space or period.</t>
  </si>
  <si>
    <t>^(?!.*[\.]$)(?!.* $)[^%&amp;\\?/]{1,260}$</t>
  </si>
  <si>
    <t>Insights/metricAlerts</t>
  </si>
  <si>
    <t>inma</t>
  </si>
  <si>
    <t>Asterisk, number sign, ampersand, plus sign, colon, angle brackets, question mark, at sign, percent sign, curly brackets, backslash, and slash. Can't end with space or period.</t>
  </si>
  <si>
    <t>*#&amp;+:&lt;&gt;?@%{}/</t>
  </si>
  <si>
    <t>^(?!.*[\.]$)(?!.* $)[^\*#&amp;\+:&lt;&gt;\?@%{}\/]{1,260}$</t>
  </si>
  <si>
    <t>Insights/scheduledQueryRules</t>
  </si>
  <si>
    <t>insqr</t>
  </si>
  <si>
    <t>Asterisk, angle brackets, percent sign, curly brackets, ampersand, colon backslash, question mark, slash, and number sign. Can't end with space or period.</t>
  </si>
  <si>
    <t>*&lt;&gt;%{}&amp;:\?/#</t>
  </si>
  <si>
    <t>^(?!.*[\.]$)(?!.* $)[^\*&lt;&gt;%{}&amp;:\\?/#]{1,260}$</t>
  </si>
  <si>
    <t>IoTCentral/IoTApps</t>
  </si>
  <si>
    <t>iotapp</t>
  </si>
  <si>
    <t>Lowercase letters, numbers and hyphens. Start with lowercase letter or number</t>
  </si>
  <si>
    <t>^[a-z0-9][a-z0-9-]{1,62}$</t>
  </si>
  <si>
    <t>KeyVault/vaults</t>
  </si>
  <si>
    <t>kv</t>
  </si>
  <si>
    <t>Alphanumerics and hyphens. Start with letter. End with letter or number.</t>
  </si>
  <si>
    <t>Can't contain consecutive hyphens.</t>
  </si>
  <si>
    <t>^(?!.*-{2}.*)([a-zA-Z][a-zA-Z0-9-]{1,22}[a-zA-Z0-9])$</t>
  </si>
  <si>
    <t>KeyVault/vaults/secrets</t>
  </si>
  <si>
    <t>kvs</t>
  </si>
  <si>
    <t>Vault</t>
  </si>
  <si>
    <t>127</t>
  </si>
  <si>
    <t>^[a-zA-Z0-9-]{1,127}$</t>
  </si>
  <si>
    <t>Kubernetes/connectedClusters</t>
  </si>
  <si>
    <t>Kusto/clusters</t>
  </si>
  <si>
    <t>4</t>
  </si>
  <si>
    <t>22</t>
  </si>
  <si>
    <t>Lowercase letters and numbers. Start with letter.</t>
  </si>
  <si>
    <t>^[a-z][a-z0-9]{3,21}$</t>
  </si>
  <si>
    <t>Kusto/clusters/databases</t>
  </si>
  <si>
    <t>cluster</t>
  </si>
  <si>
    <t>Alphanumerics, hyphens, spaces, and periods.</t>
  </si>
  <si>
    <t>^[a-zA-Z0-9-\. ]{1,260}$</t>
  </si>
  <si>
    <t>Kusto/clusters/databases/dataConnections</t>
  </si>
  <si>
    <t>dcon</t>
  </si>
  <si>
    <t>database</t>
  </si>
  <si>
    <t>40</t>
  </si>
  <si>
    <t>^[a-zA-Z0-9-\. ]{1,40}$</t>
  </si>
  <si>
    <t>Kusto/clusters/databases/eventhubconnections</t>
  </si>
  <si>
    <t>ehcon</t>
  </si>
  <si>
    <t>Logic/integrationAccounts</t>
  </si>
  <si>
    <t>ia</t>
  </si>
  <si>
    <t>Alphanumerics, hyphens, underscores, periods, and parenthesis.</t>
  </si>
  <si>
    <t>^[a-zA-Z0-9_\.()-]{1,80}$</t>
  </si>
  <si>
    <t>Logic/integrationAccounts/assemblies</t>
  </si>
  <si>
    <t>assem</t>
  </si>
  <si>
    <t>integration account</t>
  </si>
  <si>
    <t>Logic/integrationAccounts/batchConfigurations</t>
  </si>
  <si>
    <t>bconf</t>
  </si>
  <si>
    <t>^[a-zA-Z0-9]{1,20}$</t>
  </si>
  <si>
    <t>Logic/integrationAccounts/certificates</t>
  </si>
  <si>
    <t>^[a-zA-Z0-9_-\.()]{1,80}$</t>
  </si>
  <si>
    <t>Logic/integrationAccounts/maps</t>
  </si>
  <si>
    <t>Logic/integrationAccounts/partners</t>
  </si>
  <si>
    <t>part</t>
  </si>
  <si>
    <t>Logic/integrationAccounts/rosettanetprocessconfigurations</t>
  </si>
  <si>
    <t>rpcnf</t>
  </si>
  <si>
    <t>Logic/integrationAccounts/schemas</t>
  </si>
  <si>
    <t>schem</t>
  </si>
  <si>
    <t>Logic/integrationAccounts/sessions</t>
  </si>
  <si>
    <t>ses</t>
  </si>
  <si>
    <t>Logic/integrationServiceEnvironments</t>
  </si>
  <si>
    <t>lise</t>
  </si>
  <si>
    <t>^[a-zA-Z0-9_\.-]{1,80}$</t>
  </si>
  <si>
    <t>Logic/integrationServiceEnvironments/managedApis</t>
  </si>
  <si>
    <t>mapi</t>
  </si>
  <si>
    <t>integration service environment</t>
  </si>
  <si>
    <t>Logic/workflows</t>
  </si>
  <si>
    <t>logic</t>
  </si>
  <si>
    <t>MachineLearning/commitmentPlans</t>
  </si>
  <si>
    <t>mlcp</t>
  </si>
  <si>
    <t>Angle brackets, asterisk, percent sign, ampersand, colon, backslash, question mark, plus sign, and slash. Can't end with a space.</t>
  </si>
  <si>
    <t>&lt;&gt;*%&amp;:?+/\</t>
  </si>
  <si>
    <t>^(?!.* $)[^&lt;&gt;\*%&amp;:\+\/\?]{1,260}$</t>
  </si>
  <si>
    <t>MachineLearning/webServices</t>
  </si>
  <si>
    <t>mlweb</t>
  </si>
  <si>
    <t>MachineLearning/workspaces</t>
  </si>
  <si>
    <t>mlws</t>
  </si>
  <si>
    <t>MachineLearningServices/workspaces</t>
  </si>
  <si>
    <t>mlw</t>
  </si>
  <si>
    <t>33</t>
  </si>
  <si>
    <t>^[a-zA-Z0-9-]{3,33}$</t>
  </si>
  <si>
    <t>MachineLearningServices/workspaces/computes</t>
  </si>
  <si>
    <t>mlswc</t>
  </si>
  <si>
    <t>workspace</t>
  </si>
  <si>
    <t>16</t>
  </si>
  <si>
    <t>^[a-zA-Z0-9-]{2,16}$</t>
  </si>
  <si>
    <t>ManagedIdentity/userAssignedIdentities</t>
  </si>
  <si>
    <t>Alphanumerics, hyphens, and underscores.  Start with letter or number.</t>
  </si>
  <si>
    <t>^[a-zA-Z0-9][a-zA-Z0-9_-]{2,127}$</t>
  </si>
  <si>
    <t>Management/managementGroups</t>
  </si>
  <si>
    <t>Org,UnitDept,ProjAppSvc,Environment</t>
  </si>
  <si>
    <t>Function,Instance,Location</t>
  </si>
  <si>
    <t>mg</t>
  </si>
  <si>
    <t>Maps/accounts</t>
  </si>
  <si>
    <t>macc</t>
  </si>
  <si>
    <t>98</t>
  </si>
  <si>
    <t>^[a-zA-Z0-9][a-zA-Z0-9_\.-]{0,97}$</t>
  </si>
  <si>
    <t>Media/mediaservices</t>
  </si>
  <si>
    <t>mms</t>
  </si>
  <si>
    <t>Media/mediaservices/liveEvents</t>
  </si>
  <si>
    <t>lievt</t>
  </si>
  <si>
    <t>Media service</t>
  </si>
  <si>
    <t>32</t>
  </si>
  <si>
    <t>Alphanumerics and hyphens. Start with alphanumeric.</t>
  </si>
  <si>
    <t>^[a-zA-Z0-9][a-zA-Z0-9-]{0,31}$</t>
  </si>
  <si>
    <t>Media/mediaservices/liveEvents/liveOutputs</t>
  </si>
  <si>
    <t>liout</t>
  </si>
  <si>
    <t>Live event</t>
  </si>
  <si>
    <t>^[a-zA-Z0-9][a-zA-Z0-9-]{0,255}$</t>
  </si>
  <si>
    <t>Media/mediaservices/streamingEndpoints</t>
  </si>
  <si>
    <t>strep</t>
  </si>
  <si>
    <t>^[a-zA-Z0-9-]{1,256}$</t>
  </si>
  <si>
    <t>Migrate/assessmentProjects</t>
  </si>
  <si>
    <t>migr</t>
  </si>
  <si>
    <t>Network/applicationGateways</t>
  </si>
  <si>
    <t>agw</t>
  </si>
  <si>
    <t>Alphanumerics, underscores, periods, and hyphens. Start with alphanumeric. End with alphanumeric or underscore.</t>
  </si>
  <si>
    <t>^(?:[a-zA-Z0-9]|[a-zA-Z0-9][a-zA-Z0-9_\.-]{0,22}[a-zA-Z0-9_])$</t>
  </si>
  <si>
    <t>Network/applicationSecurityGroups</t>
  </si>
  <si>
    <t>asg</t>
  </si>
  <si>
    <t>Network/azureFirewalls</t>
  </si>
  <si>
    <t>afw</t>
  </si>
  <si>
    <t>Network/bastionHosts</t>
  </si>
  <si>
    <t>bas</t>
  </si>
  <si>
    <t>Network/connections</t>
  </si>
  <si>
    <t>Network/dnsZones</t>
  </si>
  <si>
    <t>dnsz</t>
  </si>
  <si>
    <t>Each label can contain alphanumerics, underscores, and hyphens. Each label is a set of characters separated by a period. For example, contoso.com has 2 labels. 2 to 34 labels.</t>
  </si>
  <si>
    <t>^(?:[a-zA-Z0-9_-]+[\.]){1,33}[a-zA-Z0-9_-]+$</t>
  </si>
  <si>
    <t>us.contoso.net</t>
  </si>
  <si>
    <t>Network/expressRouteCircuits</t>
  </si>
  <si>
    <t>erc</t>
  </si>
  <si>
    <t>Alphanumerics, underscores, periods, and hyphens. Start with alphanumeric. End alphanumeric or underscore.</t>
  </si>
  <si>
    <t>Network/firewallPolicies</t>
  </si>
  <si>
    <t>Network/firewallPolicies/ruleGroups</t>
  </si>
  <si>
    <t>firewall policy</t>
  </si>
  <si>
    <t>Network/frontDoors</t>
  </si>
  <si>
    <t>fd</t>
  </si>
  <si>
    <t>^[a-zA-Z0-9][a-zA-Z0-9-]{1,62}[a-zA-Z0-9]$</t>
  </si>
  <si>
    <t>Network/frontdoorWebApplicationFirewallPolicies</t>
  </si>
  <si>
    <t>fdfp</t>
  </si>
  <si>
    <t>^(?:[a-zA-Z]|[a-zA-Z][a-zA-Z0-9]{0,127})$</t>
  </si>
  <si>
    <t>Network/loadBalancers</t>
  </si>
  <si>
    <t>internal</t>
  </si>
  <si>
    <t>lbi</t>
  </si>
  <si>
    <t>external</t>
  </si>
  <si>
    <t>lbe</t>
  </si>
  <si>
    <t>Network/loadBalancers/inboundNatRules</t>
  </si>
  <si>
    <t>load balancer</t>
  </si>
  <si>
    <t>Network/localNetworkGateways</t>
  </si>
  <si>
    <t>lgw</t>
  </si>
  <si>
    <t>Network/networkInterfaces</t>
  </si>
  <si>
    <t>nic</t>
  </si>
  <si>
    <t>Network/networkSecurityGroups</t>
  </si>
  <si>
    <t>nsg</t>
  </si>
  <si>
    <t>Network/networkSecurityGroups/securityRules</t>
  </si>
  <si>
    <t>nsgsr</t>
  </si>
  <si>
    <t>network security group</t>
  </si>
  <si>
    <t>AllowDnsTcpInbound,DenyFtpAnyOutbound</t>
  </si>
  <si>
    <t>Network/networkWatchers</t>
  </si>
  <si>
    <t>nw</t>
  </si>
  <si>
    <t>Network/privateDnsZones</t>
  </si>
  <si>
    <t>pdnsz</t>
  </si>
  <si>
    <t>Each label can contain alphanumerics, underscores, and hyphens. Each label is a set of characters separated by a period.  For example, contoso.com has 2 labels. 2 to 34 labels.</t>
  </si>
  <si>
    <t>^(?:[a-zA-Z0-9_-]+\.){1,33}[a-zA-Z0-9_-]+$</t>
  </si>
  <si>
    <t>privatelink.file.core.windows.net</t>
  </si>
  <si>
    <t>Network/privateDnsZones/virtualNetworkLinks</t>
  </si>
  <si>
    <t>pdnsv</t>
  </si>
  <si>
    <t>private DNS zone</t>
  </si>
  <si>
    <t>Alphanumerics, underscores, periods, and hyphens.</t>
  </si>
  <si>
    <t>Network/privateLinkServices</t>
  </si>
  <si>
    <t>pl</t>
  </si>
  <si>
    <t>Network/publicIPAddresses</t>
  </si>
  <si>
    <t>pip</t>
  </si>
  <si>
    <t>Network/publicIPPrefixes</t>
  </si>
  <si>
    <t>ippre</t>
  </si>
  <si>
    <t>Network/routeFilters</t>
  </si>
  <si>
    <t>rf</t>
  </si>
  <si>
    <t>Network/routeFilters/routeFilterRules</t>
  </si>
  <si>
    <t>nrfrr</t>
  </si>
  <si>
    <t>route filter</t>
  </si>
  <si>
    <t>Network/routeTables</t>
  </si>
  <si>
    <t>rt</t>
  </si>
  <si>
    <t>Network/routeTables/routes</t>
  </si>
  <si>
    <t>udr</t>
  </si>
  <si>
    <t>Network/serviceEndpointPolicies</t>
  </si>
  <si>
    <t>se</t>
  </si>
  <si>
    <t>Network/trafficManagerProfiles</t>
  </si>
  <si>
    <t>traf</t>
  </si>
  <si>
    <t>Network/virtualNetworkGateways</t>
  </si>
  <si>
    <t>vgw</t>
  </si>
  <si>
    <t>Network/virtualNetworks</t>
  </si>
  <si>
    <t>vnet</t>
  </si>
  <si>
    <t>Alphanumerics, underscores, periods, and hyphens.  Start with alphanumeric. End alphanumeric or underscore.</t>
  </si>
  <si>
    <t>Network/virtualnetworks/subnets</t>
  </si>
  <si>
    <t>snet</t>
  </si>
  <si>
    <t>Network/virtualNetworks/virtualNetworkPeerings</t>
  </si>
  <si>
    <t>peer</t>
  </si>
  <si>
    <t>Network/virtualWans</t>
  </si>
  <si>
    <t>vwan</t>
  </si>
  <si>
    <t>Network/vpnGateways</t>
  </si>
  <si>
    <t>vpng</t>
  </si>
  <si>
    <t>Network/vpnGateways/vpnConnections</t>
  </si>
  <si>
    <t>vcn</t>
  </si>
  <si>
    <t>VPN gateway</t>
  </si>
  <si>
    <t>Network/vpnSites</t>
  </si>
  <si>
    <t>vpn</t>
  </si>
  <si>
    <t>NotificationHubs/namespaces</t>
  </si>
  <si>
    <t>ntfns</t>
  </si>
  <si>
    <t>^[a-zA-Z0-9-]{6,50}$</t>
  </si>
  <si>
    <t>NotificationHubs/namespaces/AuthorizationRules</t>
  </si>
  <si>
    <t>Alphanumerics, periods, hyphens, and underscores. Start alphanumeric.</t>
  </si>
  <si>
    <t>^[a-zA-Z0-9_\.-]{1,256}$</t>
  </si>
  <si>
    <t>NotificationHubs/namespaces/notificationHubs</t>
  </si>
  <si>
    <t>ntf</t>
  </si>
  <si>
    <t>^[a-zA-Z0-9_\.-]{1,260}$</t>
  </si>
  <si>
    <t>NotificationHubs/namespaces/notificationHubs/AuthorizationRules</t>
  </si>
  <si>
    <t>notification hub</t>
  </si>
  <si>
    <t>Alphanumerics, periods, hyphens, and underscores.</t>
  </si>
  <si>
    <t>OperationalInsights/clusters</t>
  </si>
  <si>
    <t>opic</t>
  </si>
  <si>
    <t>^[a-zA-Z0-9-]{4,63}$</t>
  </si>
  <si>
    <t>OperationalInsights/workspaces</t>
  </si>
  <si>
    <t>log</t>
  </si>
  <si>
    <t>OperationsManagement/solutions</t>
  </si>
  <si>
    <t>opms</t>
  </si>
  <si>
    <t>For solutions authored by Microsoft, the name must be in the pattern: SolutionType(WorkspaceName). For solutions authored by third parties, the name must be in the pattern: SolutionType[WorkspaceName]. For example, a valid name is: AntiMalware(contoso-IT). The solution type is case-sensitive.</t>
  </si>
  <si>
    <t>^[a-zA-Z]+[(][a-zA-Z-]+[)]$</t>
  </si>
  <si>
    <t>AntiMalware(contoso-IT)</t>
  </si>
  <si>
    <t>Portal/dashboards</t>
  </si>
  <si>
    <t>pdash</t>
  </si>
  <si>
    <t>160</t>
  </si>
  <si>
    <t>^[a-zA-Z0-9-]{3,160}$</t>
  </si>
  <si>
    <t>PowerBI/workspaceCollections</t>
  </si>
  <si>
    <t>pbiwc</t>
  </si>
  <si>
    <t xml:space="preserve">Alphanumerics and hyphens. </t>
  </si>
  <si>
    <t>Can't start with hyphen. Can't use consecutive hyphens.</t>
  </si>
  <si>
    <t>^(?!-.*)(?!.*-{2}.*)[a-zA-Z0-9][a-zA-Z0-9-]{2,62}$</t>
  </si>
  <si>
    <t>PowerBIDedicated/capacities</t>
  </si>
  <si>
    <t>pbi</t>
  </si>
  <si>
    <t>Lowercase letters or numbers Start with lowercase letter.  Start with lowercase letter.</t>
  </si>
  <si>
    <t>^[a-z][a-z0-9-]{1,61}[a-z0-9]$</t>
  </si>
  <si>
    <t>Purview/accounts</t>
  </si>
  <si>
    <t>pview</t>
  </si>
  <si>
    <t>RecoveryServices/vaults</t>
  </si>
  <si>
    <t>rsv</t>
  </si>
  <si>
    <t>Alphanumerics and hyphens. Start with letter.</t>
  </si>
  <si>
    <t>^[a-zA-Z][a-zA-Z0-9-]{1,49}$</t>
  </si>
  <si>
    <t>RecoveryServices/vaults/backupPolicies</t>
  </si>
  <si>
    <t>rsvbp</t>
  </si>
  <si>
    <t>vault</t>
  </si>
  <si>
    <t>150</t>
  </si>
  <si>
    <t xml:space="preserve">Alphanumerics and hyphens. Start with letter.  </t>
  </si>
  <si>
    <t>Can't end with hyphen</t>
  </si>
  <si>
    <t>^(?!.*-$)[a-zA-Z][a-zA-Z0-9-]{2,149}$</t>
  </si>
  <si>
    <t>Relay/namespaces</t>
  </si>
  <si>
    <t>rns</t>
  </si>
  <si>
    <t>Alphanumerics and hyphens. Start with letter or number.</t>
  </si>
  <si>
    <t>^[a-zA-Z0-9][a-zA-Z0-9-]{5,49}$</t>
  </si>
  <si>
    <t>Relay/namespaces/AuthorizationRules</t>
  </si>
  <si>
    <t>Alphanumerics, periods, hyphens and underscores. Start and end with alphanumeric.</t>
  </si>
  <si>
    <t>Relay/namespaces/HybridConnections</t>
  </si>
  <si>
    <t>hycon</t>
  </si>
  <si>
    <t>Alphanumerics, periods, hyphens, underscores, and slashes. Start and end with alphanumeric.</t>
  </si>
  <si>
    <t>^(?:[a-zA-Z0-9]|[a-zA-Z0-9][a-zA-Z0-9_\.-/]{0,258}[a-zA-Z0-9])$</t>
  </si>
  <si>
    <t>Relay/namespaces/HybridConnections/authorizationRules</t>
  </si>
  <si>
    <t>hybrid connection</t>
  </si>
  <si>
    <t>Relay/namespaces/WcfRelays</t>
  </si>
  <si>
    <t>wcfr</t>
  </si>
  <si>
    <t>Relay/namespaces/WcfRelays/authorizationRules</t>
  </si>
  <si>
    <t>wcfra</t>
  </si>
  <si>
    <t>Wcf relay</t>
  </si>
  <si>
    <t>Resources/deployments</t>
  </si>
  <si>
    <t>deloy</t>
  </si>
  <si>
    <t>Alphanumerics, underscores, parentheses, hyphens, and periods.</t>
  </si>
  <si>
    <t>^[a-zA-Z0-9_\.()-]{1,64}$</t>
  </si>
  <si>
    <t>Resources/resourcegroups</t>
  </si>
  <si>
    <t>rg</t>
  </si>
  <si>
    <t>subscription</t>
  </si>
  <si>
    <t>Alphanumerics, underscores, parentheses, hyphens, periods, and unicode characters that match the regex documentation.</t>
  </si>
  <si>
    <t>Can't end with period.</t>
  </si>
  <si>
    <t>^(?!.*[\.]$)[a-zA-Z0-9_\.()-]{1,90}$</t>
  </si>
  <si>
    <t>Resources/tagNames</t>
  </si>
  <si>
    <t>rtn</t>
  </si>
  <si>
    <t>Angle brackets, percent sign, ampersand, backslash, question mark, and slash.</t>
  </si>
  <si>
    <t>&lt;&gt;%&amp;\?/</t>
  </si>
  <si>
    <t>^[^&lt;&gt;%&amp;\\?/]{1,512}$</t>
  </si>
  <si>
    <t>Resources/tagNames/tagValues</t>
  </si>
  <si>
    <t>rtnv</t>
  </si>
  <si>
    <t>tag name</t>
  </si>
  <si>
    <t>All characters.</t>
  </si>
  <si>
    <t>^.{1,256}$</t>
  </si>
  <si>
    <t>Resources/templateSpecs</t>
  </si>
  <si>
    <t>tspec</t>
  </si>
  <si>
    <t>^[a-zA-Z0-9_\.()-]{1,90}$</t>
  </si>
  <si>
    <t>Search/searchServices</t>
  </si>
  <si>
    <t>srch</t>
  </si>
  <si>
    <t>ServiceBus/namespaces</t>
  </si>
  <si>
    <t>sb</t>
  </si>
  <si>
    <t>ServiceBus/namespaces/AuthorizationRules</t>
  </si>
  <si>
    <t>Alphanumerics, periods, hyphens, and underscores. Start and end with alphnumeric.</t>
  </si>
  <si>
    <t>ServiceBus/namespaces/disasterRecoveryConfigs</t>
  </si>
  <si>
    <t>sbndc</t>
  </si>
  <si>
    <t>ServiceBus/namespaces/migrationConfigurations</t>
  </si>
  <si>
    <t>migc</t>
  </si>
  <si>
    <t>Should always be $default.</t>
  </si>
  <si>
    <t>/$default/</t>
  </si>
  <si>
    <t>$default</t>
  </si>
  <si>
    <t>ServiceBus/namespaces/queues</t>
  </si>
  <si>
    <t>sbq</t>
  </si>
  <si>
    <t>Alphanumerics, periods, hyphens, underscores, and slashes. Start and end with alphnumeric.</t>
  </si>
  <si>
    <t>^(?:[a-zA-Z0-9]|[a-zA-Z0-9][a-zA-Z0-9_\.-\/]{0,258}[a-zA-Z0-9])$</t>
  </si>
  <si>
    <t>ServiceBus/namespaces/queues/authorizationRules</t>
  </si>
  <si>
    <t>queue</t>
  </si>
  <si>
    <t>ServiceBus/namespaces/topics</t>
  </si>
  <si>
    <t>sbt</t>
  </si>
  <si>
    <t>ServiceBus/namespaces/topics/authorizationRules</t>
  </si>
  <si>
    <t>topic</t>
  </si>
  <si>
    <t>ServiceBus/namespaces/topics/subscriptions</t>
  </si>
  <si>
    <t>tsub</t>
  </si>
  <si>
    <t>ServiceBus/namespaces/topics/subscriptions/rules</t>
  </si>
  <si>
    <t>ServiceFabric/clusters</t>
  </si>
  <si>
    <t>sf</t>
  </si>
  <si>
    <t>23</t>
  </si>
  <si>
    <t>Lowercase letters, numbers, and hyphens. Start with lowercase letter.  End with lowercase letter or number</t>
  </si>
  <si>
    <t>^[a-z][a-z0-9-]{2,21}[a-z0-9]$</t>
  </si>
  <si>
    <t>SignalRService/signalR</t>
  </si>
  <si>
    <t>^[a-zA-Z][a-zA-Z0-9-]{1,61}[a-zA-Z0-9]$</t>
  </si>
  <si>
    <t>Sql/managedInstances</t>
  </si>
  <si>
    <t>sqlmi</t>
  </si>
  <si>
    <t>^(?!-.*)(?!.*-$)[a-z0-9-]{1,63}$</t>
  </si>
  <si>
    <t>Sql/servers</t>
  </si>
  <si>
    <t>sqldw</t>
  </si>
  <si>
    <t>Azure SQL Database Server</t>
  </si>
  <si>
    <t>sql</t>
  </si>
  <si>
    <t>Sql/servers/administrators</t>
  </si>
  <si>
    <t>sqlsa</t>
  </si>
  <si>
    <t>server</t>
  </si>
  <si>
    <t>Must be ActiveDirectory.</t>
  </si>
  <si>
    <t>/ActiveDirectory/</t>
  </si>
  <si>
    <t>ActiveDirectory</t>
  </si>
  <si>
    <t>Sql/servers/databases</t>
  </si>
  <si>
    <t>sqldb</t>
  </si>
  <si>
    <t>Angle brackets, asterisk, percent sign, ampersand, colon, backslash, slash, and question mark. Can't end with period or space.</t>
  </si>
  <si>
    <t>&lt;&gt;*%&amp;:/?</t>
  </si>
  <si>
    <t>^(?!.*[\.]$)(?!.* $)[^&lt;&gt;\*%&amp;:\/\?]{1,128}$</t>
  </si>
  <si>
    <t>Sql/servers/databases/syncGroups</t>
  </si>
  <si>
    <t>sqlsg</t>
  </si>
  <si>
    <t>^[a-zA-Z0-9_-]{1,150}$</t>
  </si>
  <si>
    <t>Sql/servers/elasticPools</t>
  </si>
  <si>
    <t>sqlep</t>
  </si>
  <si>
    <t>Sql/servers/failoverGroups</t>
  </si>
  <si>
    <t>sqlfg</t>
  </si>
  <si>
    <t>Sql/servers/firewallRules</t>
  </si>
  <si>
    <t>sqlfw</t>
  </si>
  <si>
    <t>Angle brackets, asterisk, percent sign, ampersand, colon, backslash, slash, and question mark. Can't end with period.</t>
  </si>
  <si>
    <t>&lt;&gt;*%&amp;:;/?</t>
  </si>
  <si>
    <t>^(?!.*[\.]$)[^&lt;&gt;\*%&amp;:\/\?]{1,128}$</t>
  </si>
  <si>
    <t>Storage/blob</t>
  </si>
  <si>
    <t>sbl</t>
  </si>
  <si>
    <t>container</t>
  </si>
  <si>
    <t>1024</t>
  </si>
  <si>
    <t>Any URL characters, case sensitive.</t>
  </si>
  <si>
    <t>^[A-Za-z0-9-_\.~]{1,1024}$</t>
  </si>
  <si>
    <t>Storage/queue</t>
  </si>
  <si>
    <t>squ</t>
  </si>
  <si>
    <t>storage account</t>
  </si>
  <si>
    <t>Can't start or end with hyphen. Can't use consecutive hyphens.</t>
  </si>
  <si>
    <t>^(?!-.*)(?!.*-$)(?!.*-{2}.*)[a-z0-9][a-z0-9-]{2,62}$</t>
  </si>
  <si>
    <t>Storage/storageAccounts</t>
  </si>
  <si>
    <t>VM Storage Account</t>
  </si>
  <si>
    <t>Storage/storageAccounts/blobServices</t>
  </si>
  <si>
    <t>stbl</t>
  </si>
  <si>
    <t>Must be default.</t>
  </si>
  <si>
    <t>/default/</t>
  </si>
  <si>
    <t>default</t>
  </si>
  <si>
    <t>Storage/storageAccounts/blobServices/containers</t>
  </si>
  <si>
    <t>stblc</t>
  </si>
  <si>
    <t xml:space="preserve">Lowercase letters, numbers, and hyphens. Start with lowercase letter or number.  </t>
  </si>
  <si>
    <t>Can't use consecutive hyphens.</t>
  </si>
  <si>
    <t>^(?!.*-{2}.*)[a-z0-9][a-z0-9-]{2,62}$</t>
  </si>
  <si>
    <t>Storage/storageAccounts/fileServices</t>
  </si>
  <si>
    <t>stfs</t>
  </si>
  <si>
    <t>Storage/storageAccounts/fileServices/shares</t>
  </si>
  <si>
    <t>stfss</t>
  </si>
  <si>
    <t>Storage/storageAccounts/managementPolicies</t>
  </si>
  <si>
    <t>stmp</t>
  </si>
  <si>
    <t>Storage/table</t>
  </si>
  <si>
    <t>sta</t>
  </si>
  <si>
    <t>^[a-zA-Z][a-zA-Z0-9]{2,62}$</t>
  </si>
  <si>
    <t>StorageSync/storageSyncServices</t>
  </si>
  <si>
    <t>sss</t>
  </si>
  <si>
    <t>Alphanumerics, spaces, periods, hyphens, and underscores.</t>
  </si>
  <si>
    <t>Can't end with period or space.</t>
  </si>
  <si>
    <t>^(?!.*[\.]$)(?!.* $)[a-zA-Z0-9_\. -]{1,260}$</t>
  </si>
  <si>
    <t>StorageSync/storageSyncServices/syncGroups</t>
  </si>
  <si>
    <t>sgrp</t>
  </si>
  <si>
    <t>storage sync service</t>
  </si>
  <si>
    <t>StorSimple/managers</t>
  </si>
  <si>
    <t>^[a-zA-Z][a-zA-Z0-9-]{0,48}[a-zA-Z0-9]$</t>
  </si>
  <si>
    <t>StreamAnalytics/cluster</t>
  </si>
  <si>
    <t>asa</t>
  </si>
  <si>
    <t>StreamAnalytics/streamingjobs</t>
  </si>
  <si>
    <t>sasj</t>
  </si>
  <si>
    <t>^[a-zA-Z0-9_-]{3,63}$</t>
  </si>
  <si>
    <t>StreamAnalytics/streamingjobs/functions</t>
  </si>
  <si>
    <t>sjf</t>
  </si>
  <si>
    <t>streaming job</t>
  </si>
  <si>
    <t>StreamAnalytics/streamingjobs/inputs</t>
  </si>
  <si>
    <t>sjin</t>
  </si>
  <si>
    <t>StreamAnalytics/streamingjobs/outputs</t>
  </si>
  <si>
    <t>sjout</t>
  </si>
  <si>
    <t>StreamAnalytics/streamingjobs/transformations</t>
  </si>
  <si>
    <t>sjtrf</t>
  </si>
  <si>
    <t>Subscription/subscriptions</t>
  </si>
  <si>
    <t>Org,UnitDept,ProjAppSvc,Instance</t>
  </si>
  <si>
    <t>ResourceType,Function,Location</t>
  </si>
  <si>
    <t>subcr</t>
  </si>
  <si>
    <t>Synapse/workspaces</t>
  </si>
  <si>
    <t>Synapse/workspaces/sqlPools</t>
  </si>
  <si>
    <t>TimeSeriesInsights/environments</t>
  </si>
  <si>
    <t>tsi</t>
  </si>
  <si>
    <t>Single quote, angle brackets, percent sign, ampersand, colon, backslash, question mark, slash, and number sign.</t>
  </si>
  <si>
    <t>'&lt;&gt;%&amp;:\?/#</t>
  </si>
  <si>
    <t>^[^'&lt;&gt;%&amp;:\\?/#]{1,90}$</t>
  </si>
  <si>
    <t>TimeSeriesInsights/environments/accessPolicies</t>
  </si>
  <si>
    <t>tsiea</t>
  </si>
  <si>
    <t>environment</t>
  </si>
  <si>
    <t>TimeSeriesInsights/environments/eventSources</t>
  </si>
  <si>
    <t>tsiee</t>
  </si>
  <si>
    <t>&lt;&gt;%&amp;:\?/#</t>
  </si>
  <si>
    <t>TimeSeriesInsights/environments/referenceDataSets</t>
  </si>
  <si>
    <t>tsier</t>
  </si>
  <si>
    <t>^[a-zA-Z0-9]{3,63}$</t>
  </si>
  <si>
    <t>Web/certificates</t>
  </si>
  <si>
    <t>wbcer</t>
  </si>
  <si>
    <t>Slash</t>
  </si>
  <si>
    <t>/</t>
  </si>
  <si>
    <t>^((?!\/).){1,260}$</t>
  </si>
  <si>
    <t>Web/serverfarms</t>
  </si>
  <si>
    <t>plan</t>
  </si>
  <si>
    <t>^[a-zA-Z0-9-]{1,40}$</t>
  </si>
  <si>
    <t>Web/sites</t>
  </si>
  <si>
    <t>Static Web App</t>
  </si>
  <si>
    <t>stapp</t>
  </si>
  <si>
    <t>Contains alphanumerics and hyphens.</t>
  </si>
  <si>
    <t>^[a-zA-Z0-9][a-zA-Z0-9-]{0,58}[a-zA-Z0-9]$</t>
  </si>
  <si>
    <t>Web App</t>
  </si>
  <si>
    <t>Function App</t>
  </si>
  <si>
    <t>func</t>
  </si>
  <si>
    <t>ase</t>
  </si>
  <si>
    <t>Azure Static Web Apps</t>
  </si>
  <si>
    <t>aswba</t>
  </si>
  <si>
    <t>Web/sites/slots</t>
  </si>
  <si>
    <t>slot</t>
  </si>
  <si>
    <t>site</t>
  </si>
  <si>
    <t>^[a-zA-Z0-9-]{2,60}$</t>
  </si>
  <si>
    <t>resource_property</t>
  </si>
  <si>
    <t>Management/managementGroups(mg-)</t>
  </si>
  <si>
    <t>Delimiter</t>
  </si>
  <si>
    <t>=A45</t>
  </si>
  <si>
    <t>Subscription/subscriptions(subcr-)</t>
  </si>
  <si>
    <t>{Component}</t>
  </si>
  <si>
    <t>Instance</t>
  </si>
  <si>
    <t>{azSrvAbbr}{Component}</t>
  </si>
  <si>
    <t>{azSrvAbbr}{component}-{Instance}</t>
  </si>
  <si>
    <t>{azSrvAbbr}{ProjAppSvc}-{Instance}</t>
  </si>
  <si>
    <t>{azSrvAbbr}{ProjAppSvc}-{envLongCode}</t>
  </si>
  <si>
    <t>{azSrvAbbr}{ProjAppSvc}-{Func}-{envLongCode}-{azRegionShortCode}-{Instance}</t>
  </si>
  <si>
    <t>{azSrvAbbr}{Org}-{UnitDept}-{ProjAppSvc}-{Func}-{envLongCode}-{azRegionShortCode}-{Instance}</t>
  </si>
  <si>
    <t>{azSrvAbbr}{ProjAppSvc}-{envLongCode}-{azRegionShortCode}-{Instance}</t>
  </si>
  <si>
    <t>{azSrvAbbr}-{UnitDept}-{ProjAppSvc}-{envLongCode}-{azRegionShortCode}-{Instance}</t>
  </si>
  <si>
    <t>Resources/resourcegroups(rg-)</t>
  </si>
  <si>
    <t>Storage/storageAccounts(st)</t>
  </si>
  <si>
    <t>Web/sitesApp Service Environment(ase-)</t>
  </si>
  <si>
    <t>Compute/virtualMachinesLinux(vm-)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</si>
</sst>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22"/>
      <color theme="1"/>
      <name val="Segoe UI Light"/>
      <family val="2"/>
    </font>
    <font>
      <sz val="14"/>
      <color theme="1"/>
      <name val="Segoe UI Light"/>
      <family val="2"/>
    </font>
    <font>
      <sz val="14"/>
      <color theme="0"/>
      <name val="Segoe UI Light"/>
      <family val="2"/>
    </font>
    <font>
      <sz val="48"/>
      <color theme="0"/>
      <name val="Segoe UI Light"/>
      <family val="2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1" fontId="1" fillId="0" borderId="0" xfId="0" applyNumberFormat="1" applyFont="1"/>
    <xf numFmtId="0" fontId="1" fillId="0" borderId="0" xfId="0" applyFont="1" applyAlignment="1">
      <alignment horizontal="left" vertical="top" wrapText="1"/>
    </xf>
    <xf numFmtId="0" fontId="4" fillId="2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1" fillId="4" borderId="0" xfId="0" applyFont="1" applyFill="1"/>
    <xf numFmtId="0" fontId="4" fillId="2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49" fontId="1" fillId="0" borderId="0" xfId="0" applyNumberFormat="1" applyFont="1"/>
    <xf numFmtId="0" fontId="5" fillId="2" borderId="0" xfId="0" applyFont="1" applyFill="1"/>
    <xf numFmtId="0" fontId="1" fillId="4" borderId="0" xfId="0" applyFont="1" applyFill="1" applyAlignment="1">
      <alignment horizontal="left"/>
    </xf>
    <xf numFmtId="0" fontId="6" fillId="5" borderId="1" xfId="0" applyFont="1" applyFill="1" applyBorder="1"/>
    <xf numFmtId="0" fontId="0" fillId="6" borderId="1" xfId="0" applyFill="1" applyBorder="1"/>
    <xf numFmtId="0" fontId="0" fillId="0" borderId="1" xfId="0" applyBorder="1"/>
    <xf numFmtId="0" fontId="0" fillId="0" borderId="2" xfId="0" applyBorder="1"/>
    <xf numFmtId="0" fontId="0" fillId="6" borderId="2" xfId="0" applyFill="1" applyBorder="1"/>
    <xf numFmtId="0" fontId="6" fillId="5" borderId="2" xfId="0" applyFont="1" applyFill="1" applyBorder="1"/>
    <xf numFmtId="0" fontId="3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top" wrapText="1"/>
    </xf>
  </cellXfs>
  <cellStyles count="1">
    <cellStyle name="Normal" xfId="0" builtinId="0"/>
  </cellStyles>
  <dxfs count="8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9488B-220D-4D81-A5B5-709A733411F4}">
  <sheetPr codeName="Sheet1"/>
  <dimension ref="A1:A2"/>
  <sheetViews>
    <sheetView workbookViewId="0">
      <selection activeCell="A2" sqref="A2"/>
    </sheetView>
  </sheetViews>
  <sheetFormatPr defaultColWidth="8.81640625" defaultRowHeight="14.5" x14ac:dyDescent="0.35"/>
  <cols>
    <col min="1" max="1" width="53.453125" customWidth="1"/>
  </cols>
  <sheetData>
    <row r="1" spans="1:1" x14ac:dyDescent="0.35">
      <c r="A1" t="s">
        <v>0</v>
      </c>
    </row>
    <row r="2" spans="1:1" x14ac:dyDescent="0.35">
      <c r="A2" t="s">
        <v>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A8A3-6F75-4A80-AA1D-A0BD21755D1C}">
  <sheetPr codeName="Sheet17"/>
  <dimension ref="A1:AC280"/>
  <sheetViews>
    <sheetView workbookViewId="0">
      <selection activeCell="H2" sqref="H2"/>
    </sheetView>
  </sheetViews>
  <sheetFormatPr defaultColWidth="9.1796875" defaultRowHeight="16.5" x14ac:dyDescent="0.45"/>
  <cols>
    <col min="1" max="1" width="19.453125" style="3" customWidth="1"/>
    <col min="2" max="4" width="28" style="3" customWidth="1"/>
    <col min="5" max="6" width="13.54296875" style="3" customWidth="1"/>
    <col min="7" max="7" width="38.81640625" style="3" customWidth="1"/>
    <col min="8" max="8" width="40" style="3" customWidth="1"/>
    <col min="9" max="9" width="40" style="8" customWidth="1"/>
    <col min="10" max="10" width="92.08984375" style="8" customWidth="1"/>
    <col min="11" max="11" width="43.453125" style="3" customWidth="1"/>
    <col min="12" max="12" width="104.453125" style="3" customWidth="1"/>
    <col min="13" max="13" width="28.54296875" style="3" customWidth="1"/>
    <col min="14" max="14" width="33.1796875" style="3" hidden="1" customWidth="1"/>
    <col min="15" max="18" width="22.54296875" style="3" hidden="1" customWidth="1"/>
    <col min="19" max="25" width="23.453125" style="3" hidden="1" customWidth="1"/>
    <col min="26" max="26" width="34.1796875" style="3" hidden="1" customWidth="1"/>
    <col min="27" max="27" width="0" style="3" hidden="1" customWidth="1"/>
    <col min="28" max="28" width="12.08984375" style="3" hidden="1" customWidth="1"/>
    <col min="29" max="29" width="17.81640625" style="3" hidden="1" customWidth="1"/>
    <col min="30" max="16384" width="9.1796875" style="3"/>
  </cols>
  <sheetData>
    <row r="1" spans="1:29" ht="68" x14ac:dyDescent="1.65">
      <c r="A1" s="25" t="s">
        <v>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15"/>
    </row>
    <row r="2" spans="1:29" ht="16.5" customHeight="1" x14ac:dyDescent="0.55000000000000004">
      <c r="A2" s="23" t="s">
        <v>5</v>
      </c>
      <c r="B2" s="23"/>
      <c r="C2" s="23"/>
      <c r="D2" s="23"/>
      <c r="E2" s="23"/>
      <c r="F2" s="23"/>
      <c r="G2" s="23"/>
      <c r="H2" s="9" t="s">
        <v>6</v>
      </c>
      <c r="I2" s="16"/>
      <c r="J2" s="16"/>
      <c r="K2" s="9"/>
      <c r="L2" s="9"/>
      <c r="M2" s="9"/>
    </row>
    <row r="3" spans="1:29" ht="21" x14ac:dyDescent="0.55000000000000004">
      <c r="A3" s="23"/>
      <c r="B3" s="23"/>
      <c r="C3" s="23"/>
      <c r="D3" s="23"/>
      <c r="E3" s="23"/>
      <c r="F3" s="23"/>
      <c r="G3" s="23"/>
      <c r="H3" s="9"/>
      <c r="I3" s="16"/>
      <c r="J3" s="16"/>
      <c r="K3" s="9"/>
      <c r="L3" s="9"/>
      <c r="M3" s="9"/>
      <c r="O3" s="24" t="s">
        <v>7</v>
      </c>
      <c r="P3" s="24"/>
      <c r="Q3" s="24"/>
      <c r="R3" s="24"/>
      <c r="S3" s="24"/>
      <c r="T3" s="24"/>
      <c r="U3" s="24"/>
      <c r="V3" s="24"/>
      <c r="W3" s="24"/>
      <c r="X3" s="24"/>
      <c r="Y3" s="2"/>
    </row>
    <row r="4" spans="1:29" ht="21" x14ac:dyDescent="0.55000000000000004">
      <c r="A4" s="7" t="s">
        <v>1265</v>
      </c>
      <c r="B4" s="7" t="s">
        <v>3</v>
      </c>
      <c r="C4" s="7" t="s">
        <v>225</v>
      </c>
      <c r="D4" s="7" t="s">
        <v>233</v>
      </c>
      <c r="E4" s="7" t="s">
        <v>9</v>
      </c>
      <c r="F4" s="7" t="s">
        <v>234</v>
      </c>
      <c r="G4" s="7" t="s">
        <v>10</v>
      </c>
      <c r="H4" s="10" t="s">
        <v>11</v>
      </c>
      <c r="I4" s="7" t="s">
        <v>241</v>
      </c>
      <c r="J4" s="7" t="s">
        <v>219</v>
      </c>
      <c r="K4" s="7" t="s">
        <v>13</v>
      </c>
      <c r="L4" s="7" t="s">
        <v>14</v>
      </c>
      <c r="M4" s="7" t="s">
        <v>15</v>
      </c>
      <c r="N4" s="2" t="s">
        <v>16</v>
      </c>
      <c r="O4" s="2" t="s">
        <v>17</v>
      </c>
      <c r="P4" s="2" t="s">
        <v>18</v>
      </c>
      <c r="Q4" s="2" t="s">
        <v>19</v>
      </c>
      <c r="R4" s="2" t="s">
        <v>11</v>
      </c>
      <c r="S4" s="2" t="s">
        <v>20</v>
      </c>
      <c r="T4" s="2" t="s">
        <v>21</v>
      </c>
      <c r="U4" s="3" t="s">
        <v>12</v>
      </c>
      <c r="V4" s="3" t="s">
        <v>22</v>
      </c>
      <c r="W4" s="3" t="s">
        <v>5</v>
      </c>
      <c r="X4" s="3" t="s">
        <v>8</v>
      </c>
      <c r="Y4" s="3" t="s">
        <v>234</v>
      </c>
      <c r="Z4" s="3" t="s">
        <v>220</v>
      </c>
      <c r="AA4" s="3" t="s">
        <v>221</v>
      </c>
      <c r="AB4" s="3" t="s">
        <v>235</v>
      </c>
      <c r="AC4" s="3" t="s">
        <v>236</v>
      </c>
    </row>
    <row r="5" spans="1:29" x14ac:dyDescent="0.45">
      <c r="A5" s="14" t="s">
        <v>23</v>
      </c>
      <c r="B5" s="14"/>
      <c r="C5" s="14"/>
      <c r="D5" s="14"/>
      <c r="E5" s="3" t="s">
        <v>24</v>
      </c>
      <c r="G5" s="3" t="s">
        <v>25</v>
      </c>
      <c r="H5" s="8" t="s">
        <v>26</v>
      </c>
      <c r="I5" s="3" t="s">
        <v>1260</v>
      </c>
      <c r="J5" s="3" t="str">
        <f>IFERROR(Z5, "")</f>
        <v>{azSrvAbbr}{Component}</v>
      </c>
      <c r="K5" s="3" t="str">
        <f>IF(ISNUMBER(SEARCH("-",V5)),IFERROR(IF($H$2="Lower", LOWER(ComputeResourceName(Z5,AC5,AA5,G5,N5,O5,P5,Q5,S5,T5,V5,A5,Y5,AB5)), UPPER(ComputeResourceName(Z5,AC5,AA5,G5,N5,O5,P5,Q5,S5,T5,V5,A5,Y5,AB5))),""),SUBSTITUTE(IFERROR(IF($H$2="Lower", LOWER(ComputeResourceName(Z5,AC5,AA5,G5,N5,O5,P5,Q5,S5,T5,V5,A5,Y5,AB5)), UPPER(ComputeResourceName(Z5,AC5,AA5,G5,N5,O5,P5,Q5,S5,T5,V5,A5,Y5,AB5))),""), "-",""))</f>
        <v>mg-decommisioned</v>
      </c>
      <c r="L5" s="3">
        <f xml:space="preserve"> IF(K5="","",  IFERROR(VLOOKUP(I5,Resources!$A$2:$AA$1500,9,FALSE)-LEN(K5),0))</f>
        <v>84</v>
      </c>
      <c r="M5" s="3" t="b">
        <f>IF(K5="","",IFERROR(matches(K5,VLOOKUP(I5,Resources!$A$2:$AA$1503,16,FALSE)),FALSE))</f>
        <v>1</v>
      </c>
      <c r="N5" s="3" t="str">
        <f>VLOOKUP(E5,Enviroments!$A$3:$D$59,1,FALSE)</f>
        <v>Production</v>
      </c>
      <c r="O5" s="3" t="str">
        <f>VLOOKUP(E5,Enviroments!$A$3:$D$59,2,FALSE)</f>
        <v>p</v>
      </c>
      <c r="P5" s="3" t="str">
        <f>VLOOKUP(E5,Enviroments!$A$3:$D$59,3,FALSE)</f>
        <v>prd</v>
      </c>
      <c r="Q5" s="3">
        <f>VLOOKUP(E5,Enviroments!$A$3:$D$59,4,FALSE)</f>
        <v>2</v>
      </c>
      <c r="R5" s="3" t="str">
        <f>VLOOKUP(H5,AzureRegions!$A$4:$B$1493,1,FALSE)</f>
        <v>North Europe</v>
      </c>
      <c r="S5" s="3" t="str">
        <f>VLOOKUP(H5,AzureRegions!$A$4:$B$1493,2,FALSE)</f>
        <v>northeurope</v>
      </c>
      <c r="T5" s="3" t="str">
        <f>VLOOKUP(H5,AzureRegions!$A$4:$C$1493,3,FALSE)</f>
        <v>NE</v>
      </c>
      <c r="U5" s="3" t="str">
        <f>VLOOKUP(I5,Resources!$A$2:$AA$1503,2,FALSE)</f>
        <v>Management/managementGroups</v>
      </c>
      <c r="V5" s="3" t="str">
        <f>VLOOKUP(I5,Resources!$A$2:$H$1503,6,FALSE)</f>
        <v>mg-</v>
      </c>
      <c r="W5" s="3" t="str">
        <f>VLOOKUP($H$2,Casing!$A$4:$A$60,1,FALSE)</f>
        <v>Lower</v>
      </c>
      <c r="X5" s="14" t="str">
        <f>A5</f>
        <v>001</v>
      </c>
      <c r="Y5" s="3" t="str">
        <f>IFERROR(VLOOKUP(F5,Func!$A$4:$G$1500,2,FALSE),"none")</f>
        <v>none</v>
      </c>
      <c r="Z5" s="3" t="str">
        <f>VLOOKUP(I5,Resources!$A$2:$AA$1503,18,FALSE)</f>
        <v>{azSrvAbbr}{Component}</v>
      </c>
      <c r="AA5" s="3" t="str">
        <f>IFERROR(VLOOKUP(B5,Orgs!$A$4:$G$1500,2,FALSE),"none")</f>
        <v>none</v>
      </c>
      <c r="AB5" s="3" t="str">
        <f>IFERROR(VLOOKUP(C5,UnitsDepts!$A$4:$G$1500,2,FALSE),"none")</f>
        <v>none</v>
      </c>
      <c r="AC5" s="3" t="str">
        <f>IFERROR(VLOOKUP(D5,ProjAppSvc!$A$4:$G$1500,2,FALSE),"none")</f>
        <v>none</v>
      </c>
    </row>
    <row r="6" spans="1:29" x14ac:dyDescent="0.45">
      <c r="A6" s="14" t="s">
        <v>23</v>
      </c>
      <c r="B6" s="14"/>
      <c r="C6" s="14"/>
      <c r="D6" s="14"/>
      <c r="E6" s="3" t="s">
        <v>24</v>
      </c>
      <c r="G6" s="3" t="s">
        <v>27</v>
      </c>
      <c r="H6" s="8" t="s">
        <v>26</v>
      </c>
      <c r="I6" s="3" t="s">
        <v>1260</v>
      </c>
      <c r="J6" s="3" t="str">
        <f t="shared" ref="J6:J10" si="0">IFERROR(Z6, "")</f>
        <v>{azSrvAbbr}{Component}</v>
      </c>
      <c r="K6" s="3" t="str">
        <f>IF(ISNUMBER(SEARCH("-",V6)),IFERROR(IF($H$2="Lower", LOWER(ComputeResourceName(Z6,AC6,AA6,G6,N6,O6,P6,Q6,S6,T6,V6,A6,Y6,AB6)), UPPER(ComputeResourceName(Z6,AC6,AA6,G6,N6,O6,P6,Q6,S6,T6,V6,A6,Y6,AB6))),""),SUBSTITUTE(IFERROR(IF($H$2="Lower", LOWER(ComputeResourceName(Z6,AC6,AA6,G6,N6,O6,P6,Q6,S6,T6,V6,A6,Y6,AB6)), UPPER(ComputeResourceName(Z6,AC6,AA6,G6,N6,O6,P6,Q6,S6,T6,V6,A6,Y6,AB6))),""), "-",""))</f>
        <v>mg-landingzones</v>
      </c>
      <c r="L6" s="3">
        <f xml:space="preserve"> IF(K6="","",  IFERROR(VLOOKUP(I6,Resources!$A$2:$AA$1500,9,FALSE)-LEN(K6),0))</f>
        <v>85</v>
      </c>
      <c r="M6" s="3" t="b">
        <f>IF(K6="","",IFERROR(matches(K6,VLOOKUP(I6,Resources!$A$2:$AA$1503,16,FALSE)),FALSE))</f>
        <v>1</v>
      </c>
      <c r="N6" s="3" t="str">
        <f>VLOOKUP(E6,Enviroments!$A$3:$D$59,1,FALSE)</f>
        <v>Production</v>
      </c>
      <c r="O6" s="3" t="str">
        <f>VLOOKUP(E6,Enviroments!$A$3:$D$59,2,FALSE)</f>
        <v>p</v>
      </c>
      <c r="P6" s="3" t="str">
        <f>VLOOKUP(E6,Enviroments!$A$3:$D$59,3,FALSE)</f>
        <v>prd</v>
      </c>
      <c r="Q6" s="3">
        <f>VLOOKUP(E6,Enviroments!$A$3:$D$59,4,FALSE)</f>
        <v>2</v>
      </c>
      <c r="R6" s="3" t="str">
        <f>VLOOKUP(H6,AzureRegions!$A$4:$B$1493,1,FALSE)</f>
        <v>North Europe</v>
      </c>
      <c r="S6" s="3" t="str">
        <f>VLOOKUP(H6,AzureRegions!$A$4:$B$1493,2,FALSE)</f>
        <v>northeurope</v>
      </c>
      <c r="T6" s="3" t="str">
        <f>VLOOKUP(H6,AzureRegions!$A$4:$C$1493,3,FALSE)</f>
        <v>NE</v>
      </c>
      <c r="U6" s="3" t="str">
        <f>VLOOKUP(I6,Resources!$A$2:$AA$1503,2,FALSE)</f>
        <v>Management/managementGroups</v>
      </c>
      <c r="V6" s="3" t="str">
        <f>VLOOKUP(I6,Resources!$A$2:$H$1503,6,FALSE)</f>
        <v>mg-</v>
      </c>
      <c r="W6" s="3" t="str">
        <f>VLOOKUP($H$2,Casing!$A$4:$A$60,1,FALSE)</f>
        <v>Lower</v>
      </c>
      <c r="X6" s="14" t="str">
        <f>A6</f>
        <v>001</v>
      </c>
      <c r="Y6" s="3" t="str">
        <f>IFERROR(VLOOKUP(F6,Func!$A$4:$G$1500,2,FALSE),"none")</f>
        <v>none</v>
      </c>
      <c r="Z6" s="3" t="str">
        <f>VLOOKUP(I6,Resources!$A$2:$AA$1503,18,FALSE)</f>
        <v>{azSrvAbbr}{Component}</v>
      </c>
      <c r="AA6" s="3" t="str">
        <f>IFERROR(VLOOKUP(B6,Orgs!$A$4:$G$1500,2,FALSE),"none")</f>
        <v>none</v>
      </c>
      <c r="AB6" s="3" t="str">
        <f>IFERROR(VLOOKUP(C6,UnitsDepts!$A$4:$G$1500,2,FALSE),"none")</f>
        <v>none</v>
      </c>
      <c r="AC6" s="3" t="str">
        <f>IFERROR(VLOOKUP(D6,ProjAppSvc!$A$4:$G$1500,2,FALSE),"none")</f>
        <v>none</v>
      </c>
    </row>
    <row r="7" spans="1:29" x14ac:dyDescent="0.45">
      <c r="A7" s="14" t="s">
        <v>23</v>
      </c>
      <c r="B7" s="14"/>
      <c r="C7" s="14"/>
      <c r="D7" s="14"/>
      <c r="E7" s="3" t="s">
        <v>24</v>
      </c>
      <c r="G7" s="3" t="s">
        <v>28</v>
      </c>
      <c r="H7" s="8" t="s">
        <v>26</v>
      </c>
      <c r="I7" s="3" t="s">
        <v>1260</v>
      </c>
      <c r="J7" s="3" t="str">
        <f t="shared" si="0"/>
        <v>{azSrvAbbr}{Component}</v>
      </c>
      <c r="K7" s="3" t="str">
        <f>IF(ISNUMBER(SEARCH("-",V7)),IFERROR(IF($H$2="Lower", LOWER(ComputeResourceName(Z7,AC7,AA7,G7,N7,O7,P7,Q7,S7,T7,V7,A7,Y7,AB7)), UPPER(ComputeResourceName(Z7,AC7,AA7,G7,N7,O7,P7,Q7,S7,T7,V7,A7,Y7,AB7))),""),SUBSTITUTE(IFERROR(IF($H$2="Lower", LOWER(ComputeResourceName(Z7,AC7,AA7,G7,N7,O7,P7,Q7,S7,T7,V7,A7,Y7,AB7)), UPPER(ComputeResourceName(Z7,AC7,AA7,G7,N7,O7,P7,Q7,S7,T7,V7,A7,Y7,AB7))),""), "-",""))</f>
        <v>mg-platform</v>
      </c>
      <c r="L7" s="3">
        <f xml:space="preserve"> IF(K7="","",  IFERROR(VLOOKUP(I7,Resources!$A$2:$AA$1500,9,FALSE)-LEN(K7),0))</f>
        <v>89</v>
      </c>
      <c r="M7" s="3" t="b">
        <f>IF(K7="","",IFERROR(matches(K7,VLOOKUP(I7,Resources!$A$2:$AA$1503,16,FALSE)),FALSE))</f>
        <v>1</v>
      </c>
      <c r="N7" s="3" t="str">
        <f>VLOOKUP(E7,Enviroments!$A$3:$D$59,1,FALSE)</f>
        <v>Production</v>
      </c>
      <c r="O7" s="3" t="str">
        <f>VLOOKUP(E7,Enviroments!$A$3:$D$59,2,FALSE)</f>
        <v>p</v>
      </c>
      <c r="P7" s="3" t="str">
        <f>VLOOKUP(E7,Enviroments!$A$3:$D$59,3,FALSE)</f>
        <v>prd</v>
      </c>
      <c r="Q7" s="3">
        <f>VLOOKUP(E7,Enviroments!$A$3:$D$59,4,FALSE)</f>
        <v>2</v>
      </c>
      <c r="R7" s="3" t="str">
        <f>VLOOKUP(H7,AzureRegions!$A$4:$B$1493,1,FALSE)</f>
        <v>North Europe</v>
      </c>
      <c r="S7" s="3" t="str">
        <f>VLOOKUP(H7,AzureRegions!$A$4:$B$1493,2,FALSE)</f>
        <v>northeurope</v>
      </c>
      <c r="T7" s="3" t="str">
        <f>VLOOKUP(H7,AzureRegions!$A$4:$C$1493,3,FALSE)</f>
        <v>NE</v>
      </c>
      <c r="U7" s="3" t="str">
        <f>VLOOKUP(I7,Resources!$A$2:$AA$1503,2,FALSE)</f>
        <v>Management/managementGroups</v>
      </c>
      <c r="V7" s="3" t="str">
        <f>VLOOKUP(I7,Resources!$A$2:$H$1503,6,FALSE)</f>
        <v>mg-</v>
      </c>
      <c r="W7" s="3" t="str">
        <f>VLOOKUP($H$2,Casing!$A$4:$A$60,1,FALSE)</f>
        <v>Lower</v>
      </c>
      <c r="X7" s="14" t="str">
        <f t="shared" ref="X7:X70" si="1">A7</f>
        <v>001</v>
      </c>
      <c r="Y7" s="3" t="str">
        <f>IFERROR(VLOOKUP(F7,Func!$A$4:$G$1500,2,FALSE),"none")</f>
        <v>none</v>
      </c>
      <c r="Z7" s="3" t="str">
        <f>VLOOKUP(I7,Resources!$A$2:$AA$1503,18,FALSE)</f>
        <v>{azSrvAbbr}{Component}</v>
      </c>
      <c r="AA7" s="3" t="str">
        <f>IFERROR(VLOOKUP(B7,Orgs!$A$4:$G$1500,2,FALSE),"none")</f>
        <v>none</v>
      </c>
      <c r="AB7" s="3" t="str">
        <f>IFERROR(VLOOKUP(C7,UnitsDepts!$A$4:$G$1500,2,FALSE),"none")</f>
        <v>none</v>
      </c>
      <c r="AC7" s="3" t="str">
        <f>IFERROR(VLOOKUP(D7,ProjAppSvc!$A$4:$G$1500,2,FALSE),"none")</f>
        <v>none</v>
      </c>
    </row>
    <row r="8" spans="1:29" x14ac:dyDescent="0.45">
      <c r="A8" s="14" t="s">
        <v>23</v>
      </c>
      <c r="B8" s="14"/>
      <c r="C8" s="14"/>
      <c r="D8" s="14"/>
      <c r="E8" s="3" t="s">
        <v>24</v>
      </c>
      <c r="G8" s="3" t="s">
        <v>29</v>
      </c>
      <c r="H8" s="8" t="s">
        <v>26</v>
      </c>
      <c r="I8" s="3" t="s">
        <v>1260</v>
      </c>
      <c r="J8" s="3" t="str">
        <f t="shared" si="0"/>
        <v>{azSrvAbbr}{Component}</v>
      </c>
      <c r="K8" s="3" t="str">
        <f>IF(ISNUMBER(SEARCH("-",V8)),IFERROR(IF($H$2="Lower", LOWER(ComputeResourceName(Z8,AC8,AA8,G8,N8,O8,P8,Q8,S8,T8,V8,A8,Y8,AB8)), UPPER(ComputeResourceName(Z8,AC8,AA8,G8,N8,O8,P8,Q8,S8,T8,V8,A8,Y8,AB8))),""),SUBSTITUTE(IFERROR(IF($H$2="Lower", LOWER(ComputeResourceName(Z8,AC8,AA8,G8,N8,O8,P8,Q8,S8,T8,V8,A8,Y8,AB8)), UPPER(ComputeResourceName(Z8,AC8,AA8,G8,N8,O8,P8,Q8,S8,T8,V8,A8,Y8,AB8))),""), "-",""))</f>
        <v>mg-sandboxes</v>
      </c>
      <c r="L8" s="3">
        <f xml:space="preserve"> IF(K8="","",  IFERROR(VLOOKUP(I8,Resources!$A$2:$AA$1500,9,FALSE)-LEN(K8),0))</f>
        <v>88</v>
      </c>
      <c r="M8" s="3" t="b">
        <f>IF(K8="","",IFERROR(matches(K8,VLOOKUP(I8,Resources!$A$2:$AA$1503,16,FALSE)),FALSE))</f>
        <v>1</v>
      </c>
      <c r="N8" s="3" t="str">
        <f>VLOOKUP(E8,Enviroments!$A$3:$D$59,1,FALSE)</f>
        <v>Production</v>
      </c>
      <c r="O8" s="3" t="str">
        <f>VLOOKUP(E8,Enviroments!$A$3:$D$59,2,FALSE)</f>
        <v>p</v>
      </c>
      <c r="P8" s="3" t="str">
        <f>VLOOKUP(E8,Enviroments!$A$3:$D$59,3,FALSE)</f>
        <v>prd</v>
      </c>
      <c r="Q8" s="3">
        <f>VLOOKUP(E8,Enviroments!$A$3:$D$59,4,FALSE)</f>
        <v>2</v>
      </c>
      <c r="R8" s="3" t="str">
        <f>VLOOKUP(H8,AzureRegions!$A$4:$B$1493,1,FALSE)</f>
        <v>North Europe</v>
      </c>
      <c r="S8" s="3" t="str">
        <f>VLOOKUP(H8,AzureRegions!$A$4:$B$1493,2,FALSE)</f>
        <v>northeurope</v>
      </c>
      <c r="T8" s="3" t="str">
        <f>VLOOKUP(H8,AzureRegions!$A$4:$C$1493,3,FALSE)</f>
        <v>NE</v>
      </c>
      <c r="U8" s="3" t="str">
        <f>VLOOKUP(I8,Resources!$A$2:$AA$1503,2,FALSE)</f>
        <v>Management/managementGroups</v>
      </c>
      <c r="V8" s="3" t="str">
        <f>VLOOKUP(I8,Resources!$A$2:$H$1503,6,FALSE)</f>
        <v>mg-</v>
      </c>
      <c r="W8" s="3" t="str">
        <f>VLOOKUP($H$2,Casing!$A$4:$A$60,1,FALSE)</f>
        <v>Lower</v>
      </c>
      <c r="X8" s="14" t="str">
        <f t="shared" si="1"/>
        <v>001</v>
      </c>
      <c r="Y8" s="3" t="str">
        <f>IFERROR(VLOOKUP(F8,Func!$A$4:$G$1500,2,FALSE),"none")</f>
        <v>none</v>
      </c>
      <c r="Z8" s="3" t="str">
        <f>VLOOKUP(I8,Resources!$A$2:$AA$1503,18,FALSE)</f>
        <v>{azSrvAbbr}{Component}</v>
      </c>
      <c r="AA8" s="3" t="str">
        <f>IFERROR(VLOOKUP(B8,Orgs!$A$4:$G$1500,2,FALSE),"none")</f>
        <v>none</v>
      </c>
      <c r="AB8" s="3" t="str">
        <f>IFERROR(VLOOKUP(C8,UnitsDepts!$A$4:$G$1500,2,FALSE),"none")</f>
        <v>none</v>
      </c>
      <c r="AC8" s="3" t="str">
        <f>IFERROR(VLOOKUP(D8,ProjAppSvc!$A$4:$G$1500,2,FALSE),"none")</f>
        <v>none</v>
      </c>
    </row>
    <row r="9" spans="1:29" x14ac:dyDescent="0.45">
      <c r="A9" s="14" t="s">
        <v>23</v>
      </c>
      <c r="B9" s="14"/>
      <c r="C9" s="14"/>
      <c r="D9" s="14"/>
      <c r="E9" s="3" t="s">
        <v>24</v>
      </c>
      <c r="G9" s="3" t="s">
        <v>30</v>
      </c>
      <c r="H9" s="8" t="s">
        <v>26</v>
      </c>
      <c r="I9" s="3" t="s">
        <v>1260</v>
      </c>
      <c r="J9" s="3" t="str">
        <f t="shared" si="0"/>
        <v>{azSrvAbbr}{Component}</v>
      </c>
      <c r="K9" s="3" t="str">
        <f>IF(ISNUMBER(SEARCH("-",V9)),IFERROR(IF($H$2="Lower", LOWER(ComputeResourceName(Z9,AC9,AA9,G9,N9,O9,P9,Q9,S9,T9,V9,A9,Y9,AB9)), UPPER(ComputeResourceName(Z9,AC9,AA9,G9,N9,O9,P9,Q9,S9,T9,V9,A9,Y9,AB9))),""),SUBSTITUTE(IFERROR(IF($H$2="Lower", LOWER(ComputeResourceName(Z9,AC9,AA9,G9,N9,O9,P9,Q9,S9,T9,V9,A9,Y9,AB9)), UPPER(ComputeResourceName(Z9,AC9,AA9,G9,N9,O9,P9,Q9,S9,T9,V9,A9,Y9,AB9))),""), "-",""))</f>
        <v>mg-corp</v>
      </c>
      <c r="L9" s="3">
        <f xml:space="preserve"> IF(K9="","",  IFERROR(VLOOKUP(I9,Resources!$A$2:$AA$1500,9,FALSE)-LEN(K9),0))</f>
        <v>93</v>
      </c>
      <c r="M9" s="3" t="b">
        <f>IF(K9="","",IFERROR(matches(K9,VLOOKUP(I9,Resources!$A$2:$AA$1503,16,FALSE)),FALSE))</f>
        <v>1</v>
      </c>
      <c r="N9" s="3" t="str">
        <f>VLOOKUP(E9,Enviroments!$A$3:$D$59,1,FALSE)</f>
        <v>Production</v>
      </c>
      <c r="O9" s="3" t="str">
        <f>VLOOKUP(E9,Enviroments!$A$3:$D$59,2,FALSE)</f>
        <v>p</v>
      </c>
      <c r="P9" s="3" t="str">
        <f>VLOOKUP(E9,Enviroments!$A$3:$D$59,3,FALSE)</f>
        <v>prd</v>
      </c>
      <c r="Q9" s="3">
        <f>VLOOKUP(E9,Enviroments!$A$3:$D$59,4,FALSE)</f>
        <v>2</v>
      </c>
      <c r="R9" s="3" t="str">
        <f>VLOOKUP(H9,AzureRegions!$A$4:$B$1493,1,FALSE)</f>
        <v>North Europe</v>
      </c>
      <c r="S9" s="3" t="str">
        <f>VLOOKUP(H9,AzureRegions!$A$4:$B$1493,2,FALSE)</f>
        <v>northeurope</v>
      </c>
      <c r="T9" s="3" t="str">
        <f>VLOOKUP(H9,AzureRegions!$A$4:$C$1493,3,FALSE)</f>
        <v>NE</v>
      </c>
      <c r="U9" s="3" t="str">
        <f>VLOOKUP(I9,Resources!$A$2:$AA$1503,2,FALSE)</f>
        <v>Management/managementGroups</v>
      </c>
      <c r="V9" s="3" t="str">
        <f>VLOOKUP(I9,Resources!$A$2:$H$1503,6,FALSE)</f>
        <v>mg-</v>
      </c>
      <c r="W9" s="3" t="str">
        <f>VLOOKUP($H$2,Casing!$A$4:$A$60,1,FALSE)</f>
        <v>Lower</v>
      </c>
      <c r="X9" s="14" t="str">
        <f t="shared" si="1"/>
        <v>001</v>
      </c>
      <c r="Y9" s="3" t="str">
        <f>IFERROR(VLOOKUP(F9,Func!$A$4:$G$1500,2,FALSE),"none")</f>
        <v>none</v>
      </c>
      <c r="Z9" s="3" t="str">
        <f>VLOOKUP(I9,Resources!$A$2:$AA$1503,18,FALSE)</f>
        <v>{azSrvAbbr}{Component}</v>
      </c>
      <c r="AA9" s="3" t="str">
        <f>IFERROR(VLOOKUP(B9,Orgs!$A$4:$G$1500,2,FALSE),"none")</f>
        <v>none</v>
      </c>
      <c r="AB9" s="3" t="str">
        <f>IFERROR(VLOOKUP(C9,UnitsDepts!$A$4:$G$1500,2,FALSE),"none")</f>
        <v>none</v>
      </c>
      <c r="AC9" s="3" t="str">
        <f>IFERROR(VLOOKUP(D9,ProjAppSvc!$A$4:$G$1500,2,FALSE),"none")</f>
        <v>none</v>
      </c>
    </row>
    <row r="10" spans="1:29" x14ac:dyDescent="0.45">
      <c r="A10" s="14" t="s">
        <v>23</v>
      </c>
      <c r="B10" s="14"/>
      <c r="C10" s="14"/>
      <c r="D10" s="14"/>
      <c r="E10" s="3" t="s">
        <v>24</v>
      </c>
      <c r="G10" s="3" t="s">
        <v>31</v>
      </c>
      <c r="H10" s="8" t="s">
        <v>26</v>
      </c>
      <c r="I10" s="3" t="s">
        <v>1260</v>
      </c>
      <c r="J10" s="3" t="str">
        <f t="shared" si="0"/>
        <v>{azSrvAbbr}{Component}</v>
      </c>
      <c r="K10" s="3" t="str">
        <f>IF(ISNUMBER(SEARCH("-",V10)),IFERROR(IF($H$2="Lower", LOWER(ComputeResourceName(Z10,AC10,AA10,G10,N10,O10,P10,Q10,S10,T10,V10,A10,Y10,AB10)), UPPER(ComputeResourceName(Z10,AC10,AA10,G10,N10,O10,P10,Q10,S10,T10,V10,A10,Y10,AB10))),""),SUBSTITUTE(IFERROR(IF($H$2="Lower", LOWER(ComputeResourceName(Z10,AC10,AA10,G10,N10,O10,P10,Q10,S10,T10,V10,A10,Y10,AB10)), UPPER(ComputeResourceName(Z10,AC10,AA10,G10,N10,O10,P10,Q10,S10,T10,V10,A10,Y10,AB10))),""), "-",""))</f>
        <v>mg-online</v>
      </c>
      <c r="L10" s="3">
        <f xml:space="preserve"> IF(K10="","",  IFERROR(VLOOKUP(I10,Resources!$A$2:$AA$1500,9,FALSE)-LEN(K10),0))</f>
        <v>91</v>
      </c>
      <c r="M10" s="3" t="b">
        <f>IF(K10="","",IFERROR(matches(K10,VLOOKUP(I10,Resources!$A$2:$AA$1503,16,FALSE)),FALSE))</f>
        <v>1</v>
      </c>
      <c r="N10" s="3" t="str">
        <f>VLOOKUP(E10,Enviroments!$A$3:$D$59,1,FALSE)</f>
        <v>Production</v>
      </c>
      <c r="O10" s="3" t="str">
        <f>VLOOKUP(E10,Enviroments!$A$3:$D$59,2,FALSE)</f>
        <v>p</v>
      </c>
      <c r="P10" s="3" t="str">
        <f>VLOOKUP(E10,Enviroments!$A$3:$D$59,3,FALSE)</f>
        <v>prd</v>
      </c>
      <c r="Q10" s="3">
        <f>VLOOKUP(E10,Enviroments!$A$3:$D$59,4,FALSE)</f>
        <v>2</v>
      </c>
      <c r="R10" s="3" t="str">
        <f>VLOOKUP(H10,AzureRegions!$A$4:$B$1493,1,FALSE)</f>
        <v>North Europe</v>
      </c>
      <c r="S10" s="3" t="str">
        <f>VLOOKUP(H10,AzureRegions!$A$4:$B$1493,2,FALSE)</f>
        <v>northeurope</v>
      </c>
      <c r="T10" s="3" t="str">
        <f>VLOOKUP(H10,AzureRegions!$A$4:$C$1493,3,FALSE)</f>
        <v>NE</v>
      </c>
      <c r="U10" s="3" t="str">
        <f>VLOOKUP(I10,Resources!$A$2:$AA$1503,2,FALSE)</f>
        <v>Management/managementGroups</v>
      </c>
      <c r="V10" s="3" t="str">
        <f>VLOOKUP(I10,Resources!$A$2:$H$1503,6,FALSE)</f>
        <v>mg-</v>
      </c>
      <c r="W10" s="3" t="str">
        <f>VLOOKUP($H$2,Casing!$A$4:$A$60,1,FALSE)</f>
        <v>Lower</v>
      </c>
      <c r="X10" s="14" t="str">
        <f t="shared" si="1"/>
        <v>001</v>
      </c>
      <c r="Y10" s="3" t="str">
        <f>IFERROR(VLOOKUP(F10,Func!$A$4:$G$1500,2,FALSE),"none")</f>
        <v>none</v>
      </c>
      <c r="Z10" s="3" t="str">
        <f>VLOOKUP(I10,Resources!$A$2:$AA$1503,18,FALSE)</f>
        <v>{azSrvAbbr}{Component}</v>
      </c>
      <c r="AA10" s="3" t="str">
        <f>IFERROR(VLOOKUP(B10,Orgs!$A$4:$G$1500,2,FALSE),"none")</f>
        <v>none</v>
      </c>
      <c r="AB10" s="3" t="str">
        <f>IFERROR(VLOOKUP(C10,UnitsDepts!$A$4:$G$1500,2,FALSE),"none")</f>
        <v>none</v>
      </c>
      <c r="AC10" s="3" t="str">
        <f>IFERROR(VLOOKUP(D10,ProjAppSvc!$A$4:$G$1500,2,FALSE),"none")</f>
        <v>none</v>
      </c>
    </row>
    <row r="11" spans="1:29" x14ac:dyDescent="0.45">
      <c r="A11" s="14" t="s">
        <v>23</v>
      </c>
      <c r="B11" s="14"/>
      <c r="C11" s="14"/>
      <c r="D11" s="14"/>
      <c r="H11" s="8"/>
      <c r="I11" s="3"/>
      <c r="J11" s="3" t="str">
        <f>IFERROR(Z11, "")</f>
        <v/>
      </c>
      <c r="K11" s="3" t="str">
        <f>IF(ISNUMBER(SEARCH("-",V11)),IFERROR(IF($H$2="Lower", LOWER(ComputeResourceName(Z11,AC11,AA11,G11,N11,O11,P11,Q11,S11,T11,V11,A11,Y11,AB11)), UPPER(ComputeResourceName(Z11,AC11,AA11,G11,N11,O11,P11,Q11,S11,T11,V11,A11,Y11,AB11))),""),SUBSTITUTE(IFERROR(IF($H$2="Lower", LOWER(ComputeResourceName(Z11,AC11,AA11,G11,N11,O11,P11,Q11,S11,T11,V11,A11,Y11,AB11)), UPPER(ComputeResourceName(Z11,AC11,AA11,G11,N11,O11,P11,Q11,S11,T11,V11,A11,Y11,AB11))),""), "-",""))</f>
        <v/>
      </c>
      <c r="L11" s="3" t="str">
        <f xml:space="preserve"> IF(K11="","",  IFERROR(VLOOKUP(I11,Resources!$A$2:$AA$1500,9,FALSE)-LEN(K11),0))</f>
        <v/>
      </c>
      <c r="M11" s="3" t="str">
        <f>IF(K11="","",IFERROR(matches(K11,VLOOKUP(I11,Resources!$A$2:$AA$1503,16,FALSE)),FALSE))</f>
        <v/>
      </c>
      <c r="N11" s="3" t="e">
        <f>VLOOKUP(E11,Enviroments!$A$3:$D$59,1,FALSE)</f>
        <v>#N/A</v>
      </c>
      <c r="O11" s="3" t="e">
        <f>VLOOKUP(E11,Enviroments!$A$3:$D$59,2,FALSE)</f>
        <v>#N/A</v>
      </c>
      <c r="P11" s="3" t="e">
        <f>VLOOKUP(E11,Enviroments!$A$3:$D$59,3,FALSE)</f>
        <v>#N/A</v>
      </c>
      <c r="Q11" s="3" t="e">
        <f>VLOOKUP(E11,Enviroments!$A$3:$D$59,4,FALSE)</f>
        <v>#N/A</v>
      </c>
      <c r="R11" s="3" t="e">
        <f>VLOOKUP(H11,AzureRegions!$A$4:$B$1493,1,FALSE)</f>
        <v>#N/A</v>
      </c>
      <c r="S11" s="3" t="e">
        <f>VLOOKUP(H11,AzureRegions!$A$4:$B$1493,2,FALSE)</f>
        <v>#N/A</v>
      </c>
      <c r="T11" s="3" t="e">
        <f>VLOOKUP(H11,AzureRegions!$A$4:$C$1493,3,FALSE)</f>
        <v>#N/A</v>
      </c>
      <c r="U11" s="3" t="e">
        <f>VLOOKUP(I11,Resources!$A$2:$AA$1503,2,FALSE)</f>
        <v>#N/A</v>
      </c>
      <c r="V11" s="3" t="e">
        <f>VLOOKUP(I11,Resources!$A$2:$H$1503,6,FALSE)</f>
        <v>#N/A</v>
      </c>
      <c r="W11" s="3" t="str">
        <f>VLOOKUP($H$2,Casing!$A$4:$A$60,1,FALSE)</f>
        <v>Lower</v>
      </c>
      <c r="X11" s="14" t="str">
        <f t="shared" si="1"/>
        <v>001</v>
      </c>
      <c r="Y11" s="3" t="str">
        <f>IFERROR(VLOOKUP(F11,Func!$A$4:$G$1500,2,FALSE),"none")</f>
        <v>none</v>
      </c>
      <c r="Z11" s="3" t="e">
        <f>VLOOKUP(I11,Resources!$A$2:$AA$1503,18,FALSE)</f>
        <v>#N/A</v>
      </c>
      <c r="AA11" s="3" t="str">
        <f>IFERROR(VLOOKUP(B11,Orgs!$A$4:$G$1500,2,FALSE),"none")</f>
        <v>none</v>
      </c>
      <c r="AB11" s="3" t="str">
        <f>IFERROR(VLOOKUP(C11,UnitsDepts!$A$4:$G$1500,2,FALSE),"none")</f>
        <v>none</v>
      </c>
      <c r="AC11" s="3" t="str">
        <f>IFERROR(VLOOKUP(D11,ProjAppSvc!$A$4:$G$1500,2,FALSE),"none")</f>
        <v>none</v>
      </c>
    </row>
    <row r="12" spans="1:29" x14ac:dyDescent="0.45">
      <c r="A12" s="14" t="s">
        <v>23</v>
      </c>
      <c r="B12" s="14"/>
      <c r="C12" s="14"/>
      <c r="D12" s="14"/>
      <c r="H12" s="8"/>
      <c r="I12" s="3"/>
      <c r="J12" s="3" t="str">
        <f>IFERROR(Z12, "")</f>
        <v/>
      </c>
      <c r="K12" s="3" t="str">
        <f>IF(ISNUMBER(SEARCH("-",V12)),IFERROR(IF($H$2="Lower", LOWER(ComputeResourceName(Z12,#REF!,#REF!,G12,N12,O12,P12,Q12,S12,T12,V12,A12)), UPPER(ComputeResourceName(Z12,#REF!,#REF!,G12,N12,O12,P12,Q12,S12,T12,V12,A12))),""),SUBSTITUTE(IFERROR(IF($H$2="Lower", LOWER(ComputeResourceName(#REF!,#REF!,#REF!,G12,N12,O12,P12,Q12,S12,T12,V12,A12)), UPPER(ComputeResourceName(#REF!,#REF!,#REF!,G12,N12,O12,P12,Q12,S12,T12,V12,A12))),""), "-",""))</f>
        <v/>
      </c>
      <c r="L12" s="3" t="str">
        <f xml:space="preserve"> IF(K12="","",  IFERROR(VLOOKUP(I12,Resources!$B$1:$H$1503,5,FALSE)-LEN(K12),0))</f>
        <v/>
      </c>
      <c r="M12" s="3" t="str">
        <f>IF(K12="","",IFERROR(matches(K12,VLOOKUP(I12,Resources!$A$2:$AA$1503,16,FALSE)),FALSE))</f>
        <v/>
      </c>
      <c r="N12" s="3" t="e">
        <f>VLOOKUP(E12,Enviroments!$A$3:$D$59,1,FALSE)</f>
        <v>#N/A</v>
      </c>
      <c r="O12" s="3" t="e">
        <f>VLOOKUP(E12,Enviroments!$A$3:$D$59,2,FALSE)</f>
        <v>#N/A</v>
      </c>
      <c r="P12" s="3" t="e">
        <f>VLOOKUP(E12,Enviroments!$A$3:$D$59,3,FALSE)</f>
        <v>#N/A</v>
      </c>
      <c r="Q12" s="3" t="e">
        <f>VLOOKUP(E12,Enviroments!$A$3:$D$59,4,FALSE)</f>
        <v>#N/A</v>
      </c>
      <c r="R12" s="3" t="e">
        <f>VLOOKUP(H12,AzureRegions!$A$4:$B$1493,1,FALSE)</f>
        <v>#N/A</v>
      </c>
      <c r="S12" s="3" t="e">
        <f>VLOOKUP(H12,AzureRegions!$A$4:$B$1493,2,FALSE)</f>
        <v>#N/A</v>
      </c>
      <c r="T12" s="3" t="e">
        <f>VLOOKUP(H12,AzureRegions!$A$4:$C$1493,3,FALSE)</f>
        <v>#N/A</v>
      </c>
      <c r="U12" s="3" t="e">
        <f>VLOOKUP(I12,Resources!$A$2:$AA$1503,2,FALSE)</f>
        <v>#N/A</v>
      </c>
      <c r="V12" s="3" t="e">
        <f>VLOOKUP(I12,Resources!$A$2:$H$1503,6,FALSE)</f>
        <v>#N/A</v>
      </c>
      <c r="W12" s="3" t="str">
        <f>VLOOKUP($H$2,Casing!$A$4:$A$60,1,FALSE)</f>
        <v>Lower</v>
      </c>
      <c r="X12" s="14" t="str">
        <f t="shared" si="1"/>
        <v>001</v>
      </c>
      <c r="Y12" s="3" t="str">
        <f>IFERROR(VLOOKUP(F12,Func!$A$4:$G$1500,2,FALSE),"none")</f>
        <v>none</v>
      </c>
      <c r="Z12" s="3" t="e">
        <f>VLOOKUP(I12,Resources!$A$2:$AA$1503,18,FALSE)</f>
        <v>#N/A</v>
      </c>
      <c r="AA12" s="3" t="str">
        <f>IFERROR(VLOOKUP(B12,Orgs!$A$4:$G$1500,2,FALSE),"none")</f>
        <v>none</v>
      </c>
      <c r="AB12" s="3" t="str">
        <f>IFERROR(VLOOKUP(C12,UnitsDepts!$A$4:$G$1500,2,FALSE),"none")</f>
        <v>none</v>
      </c>
      <c r="AC12" s="3" t="str">
        <f>IFERROR(VLOOKUP(D12,ProjAppSvc!$A$4:$G$1500,2,FALSE),"none")</f>
        <v>none</v>
      </c>
    </row>
    <row r="13" spans="1:29" x14ac:dyDescent="0.45">
      <c r="A13" s="14" t="s">
        <v>23</v>
      </c>
      <c r="B13" s="14"/>
      <c r="C13" s="14"/>
      <c r="D13" s="14"/>
      <c r="H13" s="8"/>
      <c r="I13" s="14"/>
      <c r="J13" s="3" t="str">
        <f t="shared" ref="J13:J76" si="2">IFERROR(Z13, "")</f>
        <v/>
      </c>
      <c r="K13" s="3" t="str">
        <f>IF(ISNUMBER(SEARCH("-",V13)),IFERROR(IF($H$2="Lower", LOWER(ComputeResourceName(Z13,#REF!,#REF!,G13,N13,O13,P13,Q13,S13,T13,V13,A13)), UPPER(ComputeResourceName(Z13,#REF!,#REF!,G13,N13,O13,P13,Q13,S13,T13,V13,A13))),""),SUBSTITUTE(IFERROR(IF($H$2="Lower", LOWER(ComputeResourceName(#REF!,#REF!,#REF!,G13,N13,O13,P13,Q13,S13,T13,V13,A13)), UPPER(ComputeResourceName(#REF!,#REF!,#REF!,G13,N13,O13,P13,Q13,S13,T13,V13,A13))),""), "-",""))</f>
        <v/>
      </c>
      <c r="L13" s="3" t="str">
        <f xml:space="preserve"> IF(K13="","",  IFERROR(VLOOKUP(I13,Resources!$B$1:$H$1503,5,FALSE)-LEN(K13),0))</f>
        <v/>
      </c>
      <c r="M13" s="3" t="str">
        <f>IF(K13="","",IFERROR(matches(K13,VLOOKUP(I13,Resources!$A$2:$AA$1503,16,FALSE)),FALSE))</f>
        <v/>
      </c>
      <c r="N13" s="3" t="e">
        <f>VLOOKUP(E13,Enviroments!$A$3:$D$59,1,FALSE)</f>
        <v>#N/A</v>
      </c>
      <c r="O13" s="3" t="e">
        <f>VLOOKUP(E13,Enviroments!$A$3:$D$59,2,FALSE)</f>
        <v>#N/A</v>
      </c>
      <c r="P13" s="3" t="e">
        <f>VLOOKUP(E13,Enviroments!$A$3:$D$59,3,FALSE)</f>
        <v>#N/A</v>
      </c>
      <c r="Q13" s="3" t="e">
        <f>VLOOKUP(E13,Enviroments!$A$3:$D$59,4,FALSE)</f>
        <v>#N/A</v>
      </c>
      <c r="R13" s="3" t="e">
        <f>VLOOKUP(H13,AzureRegions!$A$4:$B$1493,1,FALSE)</f>
        <v>#N/A</v>
      </c>
      <c r="S13" s="3" t="e">
        <f>VLOOKUP(H13,AzureRegions!$A$4:$B$1493,2,FALSE)</f>
        <v>#N/A</v>
      </c>
      <c r="T13" s="3" t="e">
        <f>VLOOKUP(H13,AzureRegions!$A$4:$C$1493,3,FALSE)</f>
        <v>#N/A</v>
      </c>
      <c r="U13" s="3" t="e">
        <f>VLOOKUP(I13,Resources!$A$2:$AA$1503,2,FALSE)</f>
        <v>#N/A</v>
      </c>
      <c r="V13" s="3" t="e">
        <f>VLOOKUP(I13,Resources!$A$2:$H$1503,6,FALSE)</f>
        <v>#N/A</v>
      </c>
      <c r="W13" s="3" t="str">
        <f>VLOOKUP($H$2,Casing!$A$4:$A$60,1,FALSE)</f>
        <v>Lower</v>
      </c>
      <c r="X13" s="14" t="str">
        <f t="shared" si="1"/>
        <v>001</v>
      </c>
      <c r="Y13" s="3" t="str">
        <f>IFERROR(VLOOKUP(F13,Func!$A$4:$G$1500,2,FALSE),"none")</f>
        <v>none</v>
      </c>
      <c r="Z13" s="3" t="e">
        <f>VLOOKUP(I13,Resources!$A$2:$AA$1503,18,FALSE)</f>
        <v>#N/A</v>
      </c>
      <c r="AA13" s="3" t="str">
        <f>IFERROR(VLOOKUP(B13,Orgs!$A$4:$G$1500,2,FALSE),"none")</f>
        <v>none</v>
      </c>
      <c r="AB13" s="3" t="str">
        <f>IFERROR(VLOOKUP(C13,UnitsDepts!$A$4:$G$1500,2,FALSE),"none")</f>
        <v>none</v>
      </c>
      <c r="AC13" s="3" t="str">
        <f>IFERROR(VLOOKUP(D13,ProjAppSvc!$A$4:$G$1500,2,FALSE),"none")</f>
        <v>none</v>
      </c>
    </row>
    <row r="14" spans="1:29" x14ac:dyDescent="0.45">
      <c r="A14" s="14" t="s">
        <v>23</v>
      </c>
      <c r="B14" s="14"/>
      <c r="C14" s="14"/>
      <c r="D14" s="14"/>
      <c r="H14" s="8"/>
      <c r="I14" s="3"/>
      <c r="J14" s="3" t="str">
        <f t="shared" si="2"/>
        <v/>
      </c>
      <c r="K14" s="3" t="str">
        <f>IF(ISNUMBER(SEARCH("-",V14)),IFERROR(IF($H$2="Lower", LOWER(ComputeResourceName(Z14,#REF!,#REF!,G14,N14,O14,P14,Q14,S14,T14,V14,A14)), UPPER(ComputeResourceName(Z14,#REF!,#REF!,G14,N14,O14,P14,Q14,S14,T14,V14,A14))),""),SUBSTITUTE(IFERROR(IF($H$2="Lower", LOWER(ComputeResourceName(#REF!,#REF!,#REF!,G14,N14,O14,P14,Q14,S14,T14,V14,A14)), UPPER(ComputeResourceName(#REF!,#REF!,#REF!,G14,N14,O14,P14,Q14,S14,T14,V14,A14))),""), "-",""))</f>
        <v/>
      </c>
      <c r="L14" s="3" t="str">
        <f xml:space="preserve"> IF(K14="","",  IFERROR(VLOOKUP(I14,Resources!$B$1:$H$1503,5,FALSE)-LEN(K14),0))</f>
        <v/>
      </c>
      <c r="M14" s="3" t="str">
        <f>IF(K14="","",IFERROR(matches(K14,VLOOKUP(I14,Resources!$A$2:$AA$1503,16,FALSE)),FALSE))</f>
        <v/>
      </c>
      <c r="N14" s="3" t="e">
        <f>VLOOKUP(E14,Enviroments!$A$3:$D$59,1,FALSE)</f>
        <v>#N/A</v>
      </c>
      <c r="O14" s="3" t="e">
        <f>VLOOKUP(E14,Enviroments!$A$3:$D$59,2,FALSE)</f>
        <v>#N/A</v>
      </c>
      <c r="P14" s="3" t="e">
        <f>VLOOKUP(E14,Enviroments!$A$3:$D$59,3,FALSE)</f>
        <v>#N/A</v>
      </c>
      <c r="Q14" s="3" t="e">
        <f>VLOOKUP(E14,Enviroments!$A$3:$D$59,4,FALSE)</f>
        <v>#N/A</v>
      </c>
      <c r="R14" s="3" t="e">
        <f>VLOOKUP(H14,AzureRegions!$A$4:$B$1493,1,FALSE)</f>
        <v>#N/A</v>
      </c>
      <c r="S14" s="3" t="e">
        <f>VLOOKUP(H14,AzureRegions!$A$4:$B$1493,2,FALSE)</f>
        <v>#N/A</v>
      </c>
      <c r="T14" s="3" t="e">
        <f>VLOOKUP(H14,AzureRegions!$A$4:$C$1493,3,FALSE)</f>
        <v>#N/A</v>
      </c>
      <c r="U14" s="3" t="e">
        <f>VLOOKUP(I14,Resources!$A$2:$AA$1503,2,FALSE)</f>
        <v>#N/A</v>
      </c>
      <c r="V14" s="3" t="e">
        <f>VLOOKUP(I14,Resources!$A$2:$H$1503,6,FALSE)</f>
        <v>#N/A</v>
      </c>
      <c r="W14" s="3" t="str">
        <f>VLOOKUP($H$2,Casing!$A$4:$A$60,1,FALSE)</f>
        <v>Lower</v>
      </c>
      <c r="X14" s="14" t="str">
        <f t="shared" si="1"/>
        <v>001</v>
      </c>
      <c r="Y14" s="3" t="str">
        <f>IFERROR(VLOOKUP(F14,Func!$A$4:$G$1500,2,FALSE),"none")</f>
        <v>none</v>
      </c>
      <c r="Z14" s="3" t="e">
        <f>VLOOKUP(I14,Resources!$A$2:$AA$1503,18,FALSE)</f>
        <v>#N/A</v>
      </c>
      <c r="AA14" s="3" t="str">
        <f>IFERROR(VLOOKUP(B14,Orgs!$A$4:$G$1500,2,FALSE),"none")</f>
        <v>none</v>
      </c>
      <c r="AB14" s="3" t="str">
        <f>IFERROR(VLOOKUP(C14,UnitsDepts!$A$4:$G$1500,2,FALSE),"none")</f>
        <v>none</v>
      </c>
      <c r="AC14" s="3" t="str">
        <f>IFERROR(VLOOKUP(D14,ProjAppSvc!$A$4:$G$1500,2,FALSE),"none")</f>
        <v>none</v>
      </c>
    </row>
    <row r="15" spans="1:29" x14ac:dyDescent="0.45">
      <c r="A15" s="14" t="s">
        <v>23</v>
      </c>
      <c r="B15" s="14"/>
      <c r="C15" s="14"/>
      <c r="D15" s="14"/>
      <c r="H15" s="8"/>
      <c r="I15" s="14"/>
      <c r="J15" s="3" t="str">
        <f t="shared" si="2"/>
        <v/>
      </c>
      <c r="K15" s="3" t="str">
        <f>IF(ISNUMBER(SEARCH("-",V15)),IFERROR(IF($H$2="Lower", LOWER(ComputeResourceName(Z15,#REF!,#REF!,G15,N15,O15,P15,Q15,S15,T15,V15,A15)), UPPER(ComputeResourceName(Z15,#REF!,#REF!,G15,N15,O15,P15,Q15,S15,T15,V15,A15))),""),SUBSTITUTE(IFERROR(IF($H$2="Lower", LOWER(ComputeResourceName(#REF!,#REF!,#REF!,G15,N15,O15,P15,Q15,S15,T15,V15,A15)), UPPER(ComputeResourceName(#REF!,#REF!,#REF!,G15,N15,O15,P15,Q15,S15,T15,V15,A15))),""), "-",""))</f>
        <v/>
      </c>
      <c r="L15" s="3" t="str">
        <f xml:space="preserve"> IF(K15="","",  IFERROR(VLOOKUP(I15,Resources!$B$1:$H$1503,5,FALSE)-LEN(K15),0))</f>
        <v/>
      </c>
      <c r="M15" s="3" t="str">
        <f>IF(K15="","",IFERROR(matches(K15,VLOOKUP(I15,Resources!$A$2:$AA$1503,16,FALSE)),FALSE))</f>
        <v/>
      </c>
      <c r="N15" s="3" t="e">
        <f>VLOOKUP(E15,Enviroments!$A$3:$D$59,1,FALSE)</f>
        <v>#N/A</v>
      </c>
      <c r="O15" s="3" t="e">
        <f>VLOOKUP(E15,Enviroments!$A$3:$D$59,2,FALSE)</f>
        <v>#N/A</v>
      </c>
      <c r="P15" s="3" t="e">
        <f>VLOOKUP(E15,Enviroments!$A$3:$D$59,3,FALSE)</f>
        <v>#N/A</v>
      </c>
      <c r="Q15" s="3" t="e">
        <f>VLOOKUP(E15,Enviroments!$A$3:$D$59,4,FALSE)</f>
        <v>#N/A</v>
      </c>
      <c r="R15" s="3" t="e">
        <f>VLOOKUP(H15,AzureRegions!$A$4:$B$1493,1,FALSE)</f>
        <v>#N/A</v>
      </c>
      <c r="S15" s="3" t="e">
        <f>VLOOKUP(H15,AzureRegions!$A$4:$B$1493,2,FALSE)</f>
        <v>#N/A</v>
      </c>
      <c r="T15" s="3" t="e">
        <f>VLOOKUP(H15,AzureRegions!$A$4:$C$1493,3,FALSE)</f>
        <v>#N/A</v>
      </c>
      <c r="U15" s="3" t="e">
        <f>VLOOKUP(I15,Resources!$A$2:$AA$1503,2,FALSE)</f>
        <v>#N/A</v>
      </c>
      <c r="V15" s="3" t="e">
        <f>VLOOKUP(I15,Resources!$A$2:$H$1503,6,FALSE)</f>
        <v>#N/A</v>
      </c>
      <c r="W15" s="3" t="str">
        <f>VLOOKUP($H$2,Casing!$A$4:$A$60,1,FALSE)</f>
        <v>Lower</v>
      </c>
      <c r="X15" s="14" t="str">
        <f t="shared" si="1"/>
        <v>001</v>
      </c>
      <c r="Y15" s="3" t="str">
        <f>IFERROR(VLOOKUP(F15,Func!$A$4:$G$1500,2,FALSE),"none")</f>
        <v>none</v>
      </c>
      <c r="Z15" s="3" t="e">
        <f>VLOOKUP(I15,Resources!$A$2:$AA$1503,18,FALSE)</f>
        <v>#N/A</v>
      </c>
      <c r="AA15" s="3" t="str">
        <f>IFERROR(VLOOKUP(B15,Orgs!$A$4:$G$1500,2,FALSE),"none")</f>
        <v>none</v>
      </c>
      <c r="AB15" s="3" t="str">
        <f>IFERROR(VLOOKUP(C15,UnitsDepts!$A$4:$G$1500,2,FALSE),"none")</f>
        <v>none</v>
      </c>
      <c r="AC15" s="3" t="str">
        <f>IFERROR(VLOOKUP(D15,ProjAppSvc!$A$4:$G$1500,2,FALSE),"none")</f>
        <v>none</v>
      </c>
    </row>
    <row r="16" spans="1:29" x14ac:dyDescent="0.45">
      <c r="A16" s="14" t="s">
        <v>23</v>
      </c>
      <c r="B16" s="14"/>
      <c r="C16" s="14"/>
      <c r="D16" s="14"/>
      <c r="H16" s="8"/>
      <c r="I16" s="3"/>
      <c r="J16" s="3" t="str">
        <f t="shared" si="2"/>
        <v/>
      </c>
      <c r="K16" s="3" t="str">
        <f>IF(ISNUMBER(SEARCH("-",V16)),IFERROR(IF($H$2="Lower", LOWER(ComputeResourceName(Z16,#REF!,#REF!,G16,N16,O16,P16,Q16,S16,T16,V16,A16)), UPPER(ComputeResourceName(Z16,#REF!,#REF!,G16,N16,O16,P16,Q16,S16,T16,V16,A16))),""),SUBSTITUTE(IFERROR(IF($H$2="Lower", LOWER(ComputeResourceName(#REF!,#REF!,#REF!,G16,N16,O16,P16,Q16,S16,T16,V16,A16)), UPPER(ComputeResourceName(#REF!,#REF!,#REF!,G16,N16,O16,P16,Q16,S16,T16,V16,A16))),""), "-",""))</f>
        <v/>
      </c>
      <c r="L16" s="3" t="str">
        <f xml:space="preserve"> IF(K16="","",  IFERROR(VLOOKUP(I16,Resources!$B$1:$H$1503,5,FALSE)-LEN(K16),0))</f>
        <v/>
      </c>
      <c r="M16" s="3" t="str">
        <f>IF(K16="","",IFERROR(matches(K16,VLOOKUP(I16,Resources!$A$2:$AA$1503,16,FALSE)),FALSE))</f>
        <v/>
      </c>
      <c r="N16" s="3" t="e">
        <f>VLOOKUP(E16,Enviroments!$A$3:$D$59,1,FALSE)</f>
        <v>#N/A</v>
      </c>
      <c r="O16" s="3" t="e">
        <f>VLOOKUP(E16,Enviroments!$A$3:$D$59,2,FALSE)</f>
        <v>#N/A</v>
      </c>
      <c r="P16" s="3" t="e">
        <f>VLOOKUP(E16,Enviroments!$A$3:$D$59,3,FALSE)</f>
        <v>#N/A</v>
      </c>
      <c r="Q16" s="3" t="e">
        <f>VLOOKUP(E16,Enviroments!$A$3:$D$59,4,FALSE)</f>
        <v>#N/A</v>
      </c>
      <c r="R16" s="3" t="e">
        <f>VLOOKUP(H16,AzureRegions!$A$4:$B$1493,1,FALSE)</f>
        <v>#N/A</v>
      </c>
      <c r="S16" s="3" t="e">
        <f>VLOOKUP(H16,AzureRegions!$A$4:$B$1493,2,FALSE)</f>
        <v>#N/A</v>
      </c>
      <c r="T16" s="3" t="e">
        <f>VLOOKUP(H16,AzureRegions!$A$4:$C$1493,3,FALSE)</f>
        <v>#N/A</v>
      </c>
      <c r="U16" s="3" t="e">
        <f>VLOOKUP(I16,Resources!$A$2:$AA$1503,2,FALSE)</f>
        <v>#N/A</v>
      </c>
      <c r="V16" s="3" t="e">
        <f>VLOOKUP(I16,Resources!$A$2:$H$1503,6,FALSE)</f>
        <v>#N/A</v>
      </c>
      <c r="W16" s="3" t="str">
        <f>VLOOKUP($H$2,Casing!$A$4:$A$60,1,FALSE)</f>
        <v>Lower</v>
      </c>
      <c r="X16" s="14" t="str">
        <f t="shared" si="1"/>
        <v>001</v>
      </c>
      <c r="Y16" s="3" t="str">
        <f>IFERROR(VLOOKUP(F16,Func!$A$4:$G$1500,2,FALSE),"none")</f>
        <v>none</v>
      </c>
      <c r="Z16" s="3" t="e">
        <f>VLOOKUP(I16,Resources!$A$2:$AA$1503,18,FALSE)</f>
        <v>#N/A</v>
      </c>
      <c r="AA16" s="3" t="str">
        <f>IFERROR(VLOOKUP(B16,Orgs!$A$4:$G$1500,2,FALSE),"none")</f>
        <v>none</v>
      </c>
      <c r="AB16" s="3" t="str">
        <f>IFERROR(VLOOKUP(C16,UnitsDepts!$A$4:$G$1500,2,FALSE),"none")</f>
        <v>none</v>
      </c>
      <c r="AC16" s="3" t="str">
        <f>IFERROR(VLOOKUP(D16,ProjAppSvc!$A$4:$G$1500,2,FALSE),"none")</f>
        <v>none</v>
      </c>
    </row>
    <row r="17" spans="1:29" x14ac:dyDescent="0.45">
      <c r="A17" s="14" t="s">
        <v>23</v>
      </c>
      <c r="B17" s="14"/>
      <c r="C17" s="14"/>
      <c r="D17" s="14"/>
      <c r="H17" s="8"/>
      <c r="I17" s="3"/>
      <c r="J17" s="3" t="str">
        <f t="shared" si="2"/>
        <v/>
      </c>
      <c r="K17" s="3" t="str">
        <f>IF(ISNUMBER(SEARCH("-",V17)),IFERROR(IF($H$2="Lower", LOWER(ComputeResourceName(Z17,#REF!,#REF!,G17,N17,O17,P17,Q17,S17,T17,V17,A17)), UPPER(ComputeResourceName(Z17,#REF!,#REF!,G17,N17,O17,P17,Q17,S17,T17,V17,A17))),""),SUBSTITUTE(IFERROR(IF($H$2="Lower", LOWER(ComputeResourceName(#REF!,#REF!,#REF!,G17,N17,O17,P17,Q17,S17,T17,V17,A17)), UPPER(ComputeResourceName(#REF!,#REF!,#REF!,G17,N17,O17,P17,Q17,S17,T17,V17,A17))),""), "-",""))</f>
        <v/>
      </c>
      <c r="L17" s="3" t="str">
        <f xml:space="preserve"> IF(K17="","",  IFERROR(VLOOKUP(I17,Resources!$B$1:$H$1503,5,FALSE)-LEN(K17),0))</f>
        <v/>
      </c>
      <c r="M17" s="3" t="str">
        <f>IF(K17="","",IFERROR(matches(K17,VLOOKUP(I17,Resources!$A$2:$AA$1503,16,FALSE)),FALSE))</f>
        <v/>
      </c>
      <c r="N17" s="3" t="e">
        <f>VLOOKUP(E17,Enviroments!$A$3:$D$59,1,FALSE)</f>
        <v>#N/A</v>
      </c>
      <c r="O17" s="3" t="e">
        <f>VLOOKUP(E17,Enviroments!$A$3:$D$59,2,FALSE)</f>
        <v>#N/A</v>
      </c>
      <c r="P17" s="3" t="e">
        <f>VLOOKUP(E17,Enviroments!$A$3:$D$59,3,FALSE)</f>
        <v>#N/A</v>
      </c>
      <c r="Q17" s="3" t="e">
        <f>VLOOKUP(E17,Enviroments!$A$3:$D$59,4,FALSE)</f>
        <v>#N/A</v>
      </c>
      <c r="R17" s="3" t="e">
        <f>VLOOKUP(H17,AzureRegions!$A$4:$B$1493,1,FALSE)</f>
        <v>#N/A</v>
      </c>
      <c r="S17" s="3" t="e">
        <f>VLOOKUP(H17,AzureRegions!$A$4:$B$1493,2,FALSE)</f>
        <v>#N/A</v>
      </c>
      <c r="T17" s="3" t="e">
        <f>VLOOKUP(H17,AzureRegions!$A$4:$C$1493,3,FALSE)</f>
        <v>#N/A</v>
      </c>
      <c r="U17" s="3" t="e">
        <f>VLOOKUP(I17,Resources!$A$2:$AA$1503,2,FALSE)</f>
        <v>#N/A</v>
      </c>
      <c r="V17" s="3" t="e">
        <f>VLOOKUP(I17,Resources!$A$2:$H$1503,6,FALSE)</f>
        <v>#N/A</v>
      </c>
      <c r="W17" s="3" t="str">
        <f>VLOOKUP($H$2,Casing!$A$4:$A$60,1,FALSE)</f>
        <v>Lower</v>
      </c>
      <c r="X17" s="14" t="str">
        <f t="shared" si="1"/>
        <v>001</v>
      </c>
      <c r="Y17" s="3" t="str">
        <f>IFERROR(VLOOKUP(F17,Func!$A$4:$G$1500,2,FALSE),"none")</f>
        <v>none</v>
      </c>
      <c r="Z17" s="3" t="e">
        <f>VLOOKUP(I17,Resources!$A$2:$AA$1503,18,FALSE)</f>
        <v>#N/A</v>
      </c>
      <c r="AA17" s="3" t="str">
        <f>IFERROR(VLOOKUP(B17,Orgs!$A$4:$G$1500,2,FALSE),"none")</f>
        <v>none</v>
      </c>
      <c r="AB17" s="3" t="str">
        <f>IFERROR(VLOOKUP(C17,UnitsDepts!$A$4:$G$1500,2,FALSE),"none")</f>
        <v>none</v>
      </c>
      <c r="AC17" s="3" t="str">
        <f>IFERROR(VLOOKUP(D17,ProjAppSvc!$A$4:$G$1500,2,FALSE),"none")</f>
        <v>none</v>
      </c>
    </row>
    <row r="18" spans="1:29" x14ac:dyDescent="0.45">
      <c r="A18" s="14" t="s">
        <v>23</v>
      </c>
      <c r="B18" s="14"/>
      <c r="C18" s="14"/>
      <c r="D18" s="14"/>
      <c r="H18" s="8"/>
      <c r="I18" s="3"/>
      <c r="J18" s="3" t="str">
        <f t="shared" si="2"/>
        <v/>
      </c>
      <c r="K18" s="3" t="str">
        <f>IF(ISNUMBER(SEARCH("-",V18)),IFERROR(IF($H$2="Lower", LOWER(ComputeResourceName(Z18,#REF!,#REF!,G18,N18,O18,P18,Q18,S18,T18,V18,A18)), UPPER(ComputeResourceName(Z18,#REF!,#REF!,G18,N18,O18,P18,Q18,S18,T18,V18,A18))),""),SUBSTITUTE(IFERROR(IF($H$2="Lower", LOWER(ComputeResourceName(#REF!,#REF!,#REF!,G18,N18,O18,P18,Q18,S18,T18,V18,A18)), UPPER(ComputeResourceName(#REF!,#REF!,#REF!,G18,N18,O18,P18,Q18,S18,T18,V18,A18))),""), "-",""))</f>
        <v/>
      </c>
      <c r="L18" s="3" t="str">
        <f xml:space="preserve"> IF(K18="","",  IFERROR(VLOOKUP(I18,Resources!$B$1:$H$1503,5,FALSE)-LEN(K18),0))</f>
        <v/>
      </c>
      <c r="M18" s="3" t="str">
        <f>IF(K18="","",IFERROR(matches(K18,VLOOKUP(I18,Resources!$A$2:$AA$1503,16,FALSE)),FALSE))</f>
        <v/>
      </c>
      <c r="N18" s="3" t="e">
        <f>VLOOKUP(E18,Enviroments!$A$3:$D$59,1,FALSE)</f>
        <v>#N/A</v>
      </c>
      <c r="O18" s="3" t="e">
        <f>VLOOKUP(E18,Enviroments!$A$3:$D$59,2,FALSE)</f>
        <v>#N/A</v>
      </c>
      <c r="P18" s="3" t="e">
        <f>VLOOKUP(E18,Enviroments!$A$3:$D$59,3,FALSE)</f>
        <v>#N/A</v>
      </c>
      <c r="Q18" s="3" t="e">
        <f>VLOOKUP(E18,Enviroments!$A$3:$D$59,4,FALSE)</f>
        <v>#N/A</v>
      </c>
      <c r="R18" s="3" t="e">
        <f>VLOOKUP(H18,AzureRegions!$A$4:$B$1493,1,FALSE)</f>
        <v>#N/A</v>
      </c>
      <c r="S18" s="3" t="e">
        <f>VLOOKUP(H18,AzureRegions!$A$4:$B$1493,2,FALSE)</f>
        <v>#N/A</v>
      </c>
      <c r="T18" s="3" t="e">
        <f>VLOOKUP(H18,AzureRegions!$A$4:$C$1493,3,FALSE)</f>
        <v>#N/A</v>
      </c>
      <c r="U18" s="3" t="e">
        <f>VLOOKUP(I18,Resources!$A$2:$AA$1503,2,FALSE)</f>
        <v>#N/A</v>
      </c>
      <c r="V18" s="3" t="e">
        <f>VLOOKUP(I18,Resources!$A$2:$H$1503,6,FALSE)</f>
        <v>#N/A</v>
      </c>
      <c r="W18" s="3" t="str">
        <f>VLOOKUP($H$2,Casing!$A$4:$A$60,1,FALSE)</f>
        <v>Lower</v>
      </c>
      <c r="X18" s="14" t="str">
        <f t="shared" si="1"/>
        <v>001</v>
      </c>
      <c r="Y18" s="3" t="str">
        <f>IFERROR(VLOOKUP(F18,Func!$A$4:$G$1500,2,FALSE),"none")</f>
        <v>none</v>
      </c>
      <c r="Z18" s="3" t="e">
        <f>VLOOKUP(I18,Resources!$A$2:$AA$1503,18,FALSE)</f>
        <v>#N/A</v>
      </c>
      <c r="AA18" s="3" t="str">
        <f>IFERROR(VLOOKUP(B18,Orgs!$A$4:$G$1500,2,FALSE),"none")</f>
        <v>none</v>
      </c>
      <c r="AB18" s="3" t="str">
        <f>IFERROR(VLOOKUP(C18,UnitsDepts!$A$4:$G$1500,2,FALSE),"none")</f>
        <v>none</v>
      </c>
      <c r="AC18" s="3" t="str">
        <f>IFERROR(VLOOKUP(D18,ProjAppSvc!$A$4:$G$1500,2,FALSE),"none")</f>
        <v>none</v>
      </c>
    </row>
    <row r="19" spans="1:29" x14ac:dyDescent="0.45">
      <c r="A19" s="14" t="s">
        <v>23</v>
      </c>
      <c r="B19" s="14"/>
      <c r="C19" s="14"/>
      <c r="D19" s="14"/>
      <c r="H19" s="8"/>
      <c r="I19" s="3"/>
      <c r="J19" s="3" t="str">
        <f t="shared" si="2"/>
        <v/>
      </c>
      <c r="K19" s="3" t="str">
        <f>IF(ISNUMBER(SEARCH("-",V19)),IFERROR(IF($H$2="Lower", LOWER(ComputeResourceName(Z19,#REF!,#REF!,G19,N19,O19,P19,Q19,S19,T19,V19,A19)), UPPER(ComputeResourceName(Z19,#REF!,#REF!,G19,N19,O19,P19,Q19,S19,T19,V19,A19))),""),SUBSTITUTE(IFERROR(IF($H$2="Lower", LOWER(ComputeResourceName(#REF!,#REF!,#REF!,G19,N19,O19,P19,Q19,S19,T19,V19,A19)), UPPER(ComputeResourceName(#REF!,#REF!,#REF!,G19,N19,O19,P19,Q19,S19,T19,V19,A19))),""), "-",""))</f>
        <v/>
      </c>
      <c r="L19" s="3" t="str">
        <f xml:space="preserve"> IF(K19="","",  IFERROR(VLOOKUP(I19,Resources!$B$1:$H$1503,5,FALSE)-LEN(K19),0))</f>
        <v/>
      </c>
      <c r="M19" s="3" t="str">
        <f>IF(K19="","",IFERROR(matches(K19,VLOOKUP(I19,Resources!$A$2:$AA$1503,16,FALSE)),FALSE))</f>
        <v/>
      </c>
      <c r="N19" s="3" t="e">
        <f>VLOOKUP(E19,Enviroments!$A$3:$D$59,1,FALSE)</f>
        <v>#N/A</v>
      </c>
      <c r="O19" s="3" t="e">
        <f>VLOOKUP(E19,Enviroments!$A$3:$D$59,2,FALSE)</f>
        <v>#N/A</v>
      </c>
      <c r="P19" s="3" t="e">
        <f>VLOOKUP(E19,Enviroments!$A$3:$D$59,3,FALSE)</f>
        <v>#N/A</v>
      </c>
      <c r="Q19" s="3" t="e">
        <f>VLOOKUP(E19,Enviroments!$A$3:$D$59,4,FALSE)</f>
        <v>#N/A</v>
      </c>
      <c r="R19" s="3" t="e">
        <f>VLOOKUP(H19,AzureRegions!$A$4:$B$1493,1,FALSE)</f>
        <v>#N/A</v>
      </c>
      <c r="S19" s="3" t="e">
        <f>VLOOKUP(H19,AzureRegions!$A$4:$B$1493,2,FALSE)</f>
        <v>#N/A</v>
      </c>
      <c r="T19" s="3" t="e">
        <f>VLOOKUP(H19,AzureRegions!$A$4:$C$1493,3,FALSE)</f>
        <v>#N/A</v>
      </c>
      <c r="U19" s="3" t="e">
        <f>VLOOKUP(I19,Resources!$A$2:$AA$1503,2,FALSE)</f>
        <v>#N/A</v>
      </c>
      <c r="V19" s="3" t="e">
        <f>VLOOKUP(I19,Resources!$A$2:$H$1503,6,FALSE)</f>
        <v>#N/A</v>
      </c>
      <c r="W19" s="3" t="str">
        <f>VLOOKUP($H$2,Casing!$A$4:$A$60,1,FALSE)</f>
        <v>Lower</v>
      </c>
      <c r="X19" s="14" t="str">
        <f t="shared" si="1"/>
        <v>001</v>
      </c>
      <c r="Y19" s="3" t="str">
        <f>IFERROR(VLOOKUP(F19,Func!$A$4:$G$1500,2,FALSE),"none")</f>
        <v>none</v>
      </c>
      <c r="Z19" s="3" t="e">
        <f>VLOOKUP(I19,Resources!$A$2:$AA$1503,18,FALSE)</f>
        <v>#N/A</v>
      </c>
      <c r="AA19" s="3" t="str">
        <f>IFERROR(VLOOKUP(B19,Orgs!$A$4:$G$1500,2,FALSE),"none")</f>
        <v>none</v>
      </c>
      <c r="AB19" s="3" t="str">
        <f>IFERROR(VLOOKUP(C19,UnitsDepts!$A$4:$G$1500,2,FALSE),"none")</f>
        <v>none</v>
      </c>
      <c r="AC19" s="3" t="str">
        <f>IFERROR(VLOOKUP(D19,ProjAppSvc!$A$4:$G$1500,2,FALSE),"none")</f>
        <v>none</v>
      </c>
    </row>
    <row r="20" spans="1:29" x14ac:dyDescent="0.45">
      <c r="A20" s="14" t="s">
        <v>23</v>
      </c>
      <c r="B20" s="14"/>
      <c r="C20" s="14"/>
      <c r="D20" s="14"/>
      <c r="H20" s="8"/>
      <c r="I20" s="3"/>
      <c r="J20" s="3" t="str">
        <f t="shared" si="2"/>
        <v/>
      </c>
      <c r="K20" s="3" t="str">
        <f>IF(ISNUMBER(SEARCH("-",V20)),IFERROR(IF($H$2="Lower", LOWER(ComputeResourceName(Z20,#REF!,#REF!,G20,N20,O20,P20,Q20,S20,T20,V20,A20)), UPPER(ComputeResourceName(Z20,#REF!,#REF!,G20,N20,O20,P20,Q20,S20,T20,V20,A20))),""),SUBSTITUTE(IFERROR(IF($H$2="Lower", LOWER(ComputeResourceName(#REF!,#REF!,#REF!,G20,N20,O20,P20,Q20,S20,T20,V20,A20)), UPPER(ComputeResourceName(#REF!,#REF!,#REF!,G20,N20,O20,P20,Q20,S20,T20,V20,A20))),""), "-",""))</f>
        <v/>
      </c>
      <c r="L20" s="3" t="str">
        <f xml:space="preserve"> IF(K20="","",  IFERROR(VLOOKUP(I20,Resources!$B$1:$H$1503,5,FALSE)-LEN(K20),0))</f>
        <v/>
      </c>
      <c r="M20" s="3" t="str">
        <f>IF(K20="","",IFERROR(matches(K20,VLOOKUP(I20,Resources!$A$2:$AA$1503,16,FALSE)),FALSE))</f>
        <v/>
      </c>
      <c r="N20" s="3" t="e">
        <f>VLOOKUP(E20,Enviroments!$A$3:$D$59,1,FALSE)</f>
        <v>#N/A</v>
      </c>
      <c r="O20" s="3" t="e">
        <f>VLOOKUP(E20,Enviroments!$A$3:$D$59,2,FALSE)</f>
        <v>#N/A</v>
      </c>
      <c r="P20" s="3" t="e">
        <f>VLOOKUP(E20,Enviroments!$A$3:$D$59,3,FALSE)</f>
        <v>#N/A</v>
      </c>
      <c r="Q20" s="3" t="e">
        <f>VLOOKUP(E20,Enviroments!$A$3:$D$59,4,FALSE)</f>
        <v>#N/A</v>
      </c>
      <c r="R20" s="3" t="e">
        <f>VLOOKUP(H20,AzureRegions!$A$4:$B$1493,1,FALSE)</f>
        <v>#N/A</v>
      </c>
      <c r="S20" s="3" t="e">
        <f>VLOOKUP(H20,AzureRegions!$A$4:$B$1493,2,FALSE)</f>
        <v>#N/A</v>
      </c>
      <c r="T20" s="3" t="e">
        <f>VLOOKUP(H20,AzureRegions!$A$4:$C$1493,3,FALSE)</f>
        <v>#N/A</v>
      </c>
      <c r="U20" s="3" t="e">
        <f>VLOOKUP(I20,Resources!$A$2:$AA$1503,2,FALSE)</f>
        <v>#N/A</v>
      </c>
      <c r="V20" s="3" t="e">
        <f>VLOOKUP(I20,Resources!$A$2:$H$1503,6,FALSE)</f>
        <v>#N/A</v>
      </c>
      <c r="W20" s="3" t="str">
        <f>VLOOKUP($H$2,Casing!$A$4:$A$60,1,FALSE)</f>
        <v>Lower</v>
      </c>
      <c r="X20" s="14" t="str">
        <f t="shared" si="1"/>
        <v>001</v>
      </c>
      <c r="Y20" s="3" t="str">
        <f>IFERROR(VLOOKUP(F20,Func!$A$4:$G$1500,2,FALSE),"none")</f>
        <v>none</v>
      </c>
      <c r="Z20" s="3" t="e">
        <f>VLOOKUP(I20,Resources!$A$2:$AA$1503,18,FALSE)</f>
        <v>#N/A</v>
      </c>
      <c r="AA20" s="3" t="str">
        <f>IFERROR(VLOOKUP(B20,Orgs!$A$4:$G$1500,2,FALSE),"none")</f>
        <v>none</v>
      </c>
      <c r="AB20" s="3" t="str">
        <f>IFERROR(VLOOKUP(C20,UnitsDepts!$A$4:$G$1500,2,FALSE),"none")</f>
        <v>none</v>
      </c>
      <c r="AC20" s="3" t="str">
        <f>IFERROR(VLOOKUP(D20,ProjAppSvc!$A$4:$G$1500,2,FALSE),"none")</f>
        <v>none</v>
      </c>
    </row>
    <row r="21" spans="1:29" x14ac:dyDescent="0.45">
      <c r="A21" s="14" t="s">
        <v>23</v>
      </c>
      <c r="B21" s="14"/>
      <c r="C21" s="14"/>
      <c r="D21" s="14"/>
      <c r="H21" s="8"/>
      <c r="I21" s="3"/>
      <c r="J21" s="3" t="str">
        <f t="shared" si="2"/>
        <v/>
      </c>
      <c r="K21" s="3" t="str">
        <f>IF(ISNUMBER(SEARCH("-",V21)),IFERROR(IF($H$2="Lower", LOWER(ComputeResourceName(Z21,#REF!,#REF!,G21,N21,O21,P21,Q21,S21,T21,V21,A21)), UPPER(ComputeResourceName(Z21,#REF!,#REF!,G21,N21,O21,P21,Q21,S21,T21,V21,A21))),""),SUBSTITUTE(IFERROR(IF($H$2="Lower", LOWER(ComputeResourceName(#REF!,#REF!,#REF!,G21,N21,O21,P21,Q21,S21,T21,V21,A21)), UPPER(ComputeResourceName(#REF!,#REF!,#REF!,G21,N21,O21,P21,Q21,S21,T21,V21,A21))),""), "-",""))</f>
        <v/>
      </c>
      <c r="L21" s="3" t="str">
        <f xml:space="preserve"> IF(K21="","",  IFERROR(VLOOKUP(I21,Resources!$B$1:$H$1503,5,FALSE)-LEN(K21),0))</f>
        <v/>
      </c>
      <c r="M21" s="3" t="str">
        <f>IF(K21="","",IFERROR(matches(K21,VLOOKUP(I21,Resources!$A$2:$AA$1503,16,FALSE)),FALSE))</f>
        <v/>
      </c>
      <c r="N21" s="3" t="e">
        <f>VLOOKUP(E21,Enviroments!$A$3:$D$59,1,FALSE)</f>
        <v>#N/A</v>
      </c>
      <c r="O21" s="3" t="e">
        <f>VLOOKUP(E21,Enviroments!$A$3:$D$59,2,FALSE)</f>
        <v>#N/A</v>
      </c>
      <c r="P21" s="3" t="e">
        <f>VLOOKUP(E21,Enviroments!$A$3:$D$59,3,FALSE)</f>
        <v>#N/A</v>
      </c>
      <c r="Q21" s="3" t="e">
        <f>VLOOKUP(E21,Enviroments!$A$3:$D$59,4,FALSE)</f>
        <v>#N/A</v>
      </c>
      <c r="R21" s="3" t="e">
        <f>VLOOKUP(H21,AzureRegions!$A$4:$B$1493,1,FALSE)</f>
        <v>#N/A</v>
      </c>
      <c r="S21" s="3" t="e">
        <f>VLOOKUP(H21,AzureRegions!$A$4:$B$1493,2,FALSE)</f>
        <v>#N/A</v>
      </c>
      <c r="T21" s="3" t="e">
        <f>VLOOKUP(H21,AzureRegions!$A$4:$C$1493,3,FALSE)</f>
        <v>#N/A</v>
      </c>
      <c r="U21" s="3" t="e">
        <f>VLOOKUP(I21,Resources!$A$2:$AA$1503,2,FALSE)</f>
        <v>#N/A</v>
      </c>
      <c r="V21" s="3" t="e">
        <f>VLOOKUP(I21,Resources!$A$2:$H$1503,6,FALSE)</f>
        <v>#N/A</v>
      </c>
      <c r="W21" s="3" t="str">
        <f>VLOOKUP($H$2,Casing!$A$4:$A$60,1,FALSE)</f>
        <v>Lower</v>
      </c>
      <c r="X21" s="14" t="str">
        <f t="shared" si="1"/>
        <v>001</v>
      </c>
      <c r="Y21" s="3" t="str">
        <f>IFERROR(VLOOKUP(F21,Func!$A$4:$G$1500,2,FALSE),"none")</f>
        <v>none</v>
      </c>
      <c r="Z21" s="3" t="e">
        <f>VLOOKUP(I21,Resources!$A$2:$AA$1503,18,FALSE)</f>
        <v>#N/A</v>
      </c>
      <c r="AA21" s="3" t="str">
        <f>IFERROR(VLOOKUP(B21,Orgs!$A$4:$G$1500,2,FALSE),"none")</f>
        <v>none</v>
      </c>
      <c r="AB21" s="3" t="str">
        <f>IFERROR(VLOOKUP(C21,UnitsDepts!$A$4:$G$1500,2,FALSE),"none")</f>
        <v>none</v>
      </c>
      <c r="AC21" s="3" t="str">
        <f>IFERROR(VLOOKUP(D21,ProjAppSvc!$A$4:$G$1500,2,FALSE),"none")</f>
        <v>none</v>
      </c>
    </row>
    <row r="22" spans="1:29" x14ac:dyDescent="0.45">
      <c r="A22" s="14" t="s">
        <v>23</v>
      </c>
      <c r="B22" s="14"/>
      <c r="C22" s="14"/>
      <c r="D22" s="14"/>
      <c r="H22" s="8"/>
      <c r="I22" s="3"/>
      <c r="J22" s="3" t="str">
        <f t="shared" si="2"/>
        <v/>
      </c>
      <c r="K22" s="3" t="str">
        <f>IF(ISNUMBER(SEARCH("-",V22)),IFERROR(IF($H$2="Lower", LOWER(ComputeResourceName(Z22,#REF!,#REF!,G22,N22,O22,P22,Q22,S22,T22,V22,A22)), UPPER(ComputeResourceName(Z22,#REF!,#REF!,G22,N22,O22,P22,Q22,S22,T22,V22,A22))),""),SUBSTITUTE(IFERROR(IF($H$2="Lower", LOWER(ComputeResourceName(#REF!,#REF!,#REF!,G22,N22,O22,P22,Q22,S22,T22,V22,A22)), UPPER(ComputeResourceName(#REF!,#REF!,#REF!,G22,N22,O22,P22,Q22,S22,T22,V22,A22))),""), "-",""))</f>
        <v/>
      </c>
      <c r="L22" s="3" t="str">
        <f xml:space="preserve"> IF(K22="","",  IFERROR(VLOOKUP(I22,Resources!$B$1:$H$1503,5,FALSE)-LEN(K22),0))</f>
        <v/>
      </c>
      <c r="M22" s="3" t="str">
        <f>IF(K22="","",IFERROR(matches(K22,VLOOKUP(I22,Resources!$A$2:$AA$1503,16,FALSE)),FALSE))</f>
        <v/>
      </c>
      <c r="N22" s="3" t="e">
        <f>VLOOKUP(E22,Enviroments!$A$3:$D$59,1,FALSE)</f>
        <v>#N/A</v>
      </c>
      <c r="O22" s="3" t="e">
        <f>VLOOKUP(E22,Enviroments!$A$3:$D$59,2,FALSE)</f>
        <v>#N/A</v>
      </c>
      <c r="P22" s="3" t="e">
        <f>VLOOKUP(E22,Enviroments!$A$3:$D$59,3,FALSE)</f>
        <v>#N/A</v>
      </c>
      <c r="Q22" s="3" t="e">
        <f>VLOOKUP(E22,Enviroments!$A$3:$D$59,4,FALSE)</f>
        <v>#N/A</v>
      </c>
      <c r="R22" s="3" t="e">
        <f>VLOOKUP(H22,AzureRegions!$A$4:$B$1493,1,FALSE)</f>
        <v>#N/A</v>
      </c>
      <c r="S22" s="3" t="e">
        <f>VLOOKUP(H22,AzureRegions!$A$4:$B$1493,2,FALSE)</f>
        <v>#N/A</v>
      </c>
      <c r="T22" s="3" t="e">
        <f>VLOOKUP(H22,AzureRegions!$A$4:$C$1493,3,FALSE)</f>
        <v>#N/A</v>
      </c>
      <c r="U22" s="3" t="e">
        <f>VLOOKUP(I22,Resources!$A$2:$AA$1503,2,FALSE)</f>
        <v>#N/A</v>
      </c>
      <c r="V22" s="3" t="e">
        <f>VLOOKUP(I22,Resources!$A$2:$H$1503,6,FALSE)</f>
        <v>#N/A</v>
      </c>
      <c r="W22" s="3" t="str">
        <f>VLOOKUP($H$2,Casing!$A$4:$A$60,1,FALSE)</f>
        <v>Lower</v>
      </c>
      <c r="X22" s="14" t="str">
        <f t="shared" si="1"/>
        <v>001</v>
      </c>
      <c r="Y22" s="3" t="str">
        <f>IFERROR(VLOOKUP(F22,Func!$A$4:$G$1500,2,FALSE),"none")</f>
        <v>none</v>
      </c>
      <c r="Z22" s="3" t="e">
        <f>VLOOKUP(I22,Resources!$A$2:$AA$1503,18,FALSE)</f>
        <v>#N/A</v>
      </c>
      <c r="AA22" s="3" t="str">
        <f>IFERROR(VLOOKUP(B22,Orgs!$A$4:$G$1500,2,FALSE),"none")</f>
        <v>none</v>
      </c>
      <c r="AB22" s="3" t="str">
        <f>IFERROR(VLOOKUP(C22,UnitsDepts!$A$4:$G$1500,2,FALSE),"none")</f>
        <v>none</v>
      </c>
      <c r="AC22" s="3" t="str">
        <f>IFERROR(VLOOKUP(D22,ProjAppSvc!$A$4:$G$1500,2,FALSE),"none")</f>
        <v>none</v>
      </c>
    </row>
    <row r="23" spans="1:29" x14ac:dyDescent="0.45">
      <c r="A23" s="14" t="s">
        <v>23</v>
      </c>
      <c r="B23" s="14"/>
      <c r="C23" s="14"/>
      <c r="D23" s="14"/>
      <c r="H23" s="8"/>
      <c r="I23" s="3"/>
      <c r="J23" s="3" t="str">
        <f t="shared" si="2"/>
        <v/>
      </c>
      <c r="K23" s="3" t="str">
        <f>IF(ISNUMBER(SEARCH("-",V23)),IFERROR(IF($H$2="Lower", LOWER(ComputeResourceName(Z23,#REF!,#REF!,G23,N23,O23,P23,Q23,S23,T23,V23,A23)), UPPER(ComputeResourceName(Z23,#REF!,#REF!,G23,N23,O23,P23,Q23,S23,T23,V23,A23))),""),SUBSTITUTE(IFERROR(IF($H$2="Lower", LOWER(ComputeResourceName(#REF!,#REF!,#REF!,G23,N23,O23,P23,Q23,S23,T23,V23,A23)), UPPER(ComputeResourceName(#REF!,#REF!,#REF!,G23,N23,O23,P23,Q23,S23,T23,V23,A23))),""), "-",""))</f>
        <v/>
      </c>
      <c r="L23" s="3" t="str">
        <f xml:space="preserve"> IF(K23="","",  IFERROR(VLOOKUP(I23,Resources!$B$1:$H$1503,5,FALSE)-LEN(K23),0))</f>
        <v/>
      </c>
      <c r="M23" s="3" t="str">
        <f>IF(K23="","",IFERROR(matches(K23,VLOOKUP(I23,Resources!$A$2:$AA$1503,16,FALSE)),FALSE))</f>
        <v/>
      </c>
      <c r="N23" s="3" t="e">
        <f>VLOOKUP(E23,Enviroments!$A$3:$D$59,1,FALSE)</f>
        <v>#N/A</v>
      </c>
      <c r="O23" s="3" t="e">
        <f>VLOOKUP(E23,Enviroments!$A$3:$D$59,2,FALSE)</f>
        <v>#N/A</v>
      </c>
      <c r="P23" s="3" t="e">
        <f>VLOOKUP(E23,Enviroments!$A$3:$D$59,3,FALSE)</f>
        <v>#N/A</v>
      </c>
      <c r="Q23" s="3" t="e">
        <f>VLOOKUP(E23,Enviroments!$A$3:$D$59,4,FALSE)</f>
        <v>#N/A</v>
      </c>
      <c r="R23" s="3" t="e">
        <f>VLOOKUP(H23,AzureRegions!$A$4:$B$1493,1,FALSE)</f>
        <v>#N/A</v>
      </c>
      <c r="S23" s="3" t="e">
        <f>VLOOKUP(H23,AzureRegions!$A$4:$B$1493,2,FALSE)</f>
        <v>#N/A</v>
      </c>
      <c r="T23" s="3" t="e">
        <f>VLOOKUP(H23,AzureRegions!$A$4:$C$1493,3,FALSE)</f>
        <v>#N/A</v>
      </c>
      <c r="U23" s="3" t="e">
        <f>VLOOKUP(I23,Resources!$A$2:$AA$1503,2,FALSE)</f>
        <v>#N/A</v>
      </c>
      <c r="V23" s="3" t="e">
        <f>VLOOKUP(I23,Resources!$A$2:$H$1503,6,FALSE)</f>
        <v>#N/A</v>
      </c>
      <c r="W23" s="3" t="str">
        <f>VLOOKUP($H$2,Casing!$A$4:$A$60,1,FALSE)</f>
        <v>Lower</v>
      </c>
      <c r="X23" s="14" t="str">
        <f t="shared" si="1"/>
        <v>001</v>
      </c>
      <c r="Y23" s="3" t="str">
        <f>IFERROR(VLOOKUP(F23,Func!$A$4:$G$1500,2,FALSE),"none")</f>
        <v>none</v>
      </c>
      <c r="Z23" s="3" t="e">
        <f>VLOOKUP(I23,Resources!$A$2:$AA$1503,18,FALSE)</f>
        <v>#N/A</v>
      </c>
      <c r="AA23" s="3" t="str">
        <f>IFERROR(VLOOKUP(B23,Orgs!$A$4:$G$1500,2,FALSE),"none")</f>
        <v>none</v>
      </c>
      <c r="AB23" s="3" t="str">
        <f>IFERROR(VLOOKUP(C23,UnitsDepts!$A$4:$G$1500,2,FALSE),"none")</f>
        <v>none</v>
      </c>
      <c r="AC23" s="3" t="str">
        <f>IFERROR(VLOOKUP(D23,ProjAppSvc!$A$4:$G$1500,2,FALSE),"none")</f>
        <v>none</v>
      </c>
    </row>
    <row r="24" spans="1:29" x14ac:dyDescent="0.45">
      <c r="A24" s="14" t="s">
        <v>23</v>
      </c>
      <c r="B24" s="14"/>
      <c r="C24" s="14"/>
      <c r="D24" s="14"/>
      <c r="H24" s="8"/>
      <c r="I24" s="3"/>
      <c r="J24" s="3" t="str">
        <f t="shared" si="2"/>
        <v/>
      </c>
      <c r="K24" s="3" t="str">
        <f>IF(ISNUMBER(SEARCH("-",V24)),IFERROR(IF($H$2="Lower", LOWER(ComputeResourceName(Z24,#REF!,#REF!,G24,N24,O24,P24,Q24,S24,T24,V24,A24)), UPPER(ComputeResourceName(Z24,#REF!,#REF!,G24,N24,O24,P24,Q24,S24,T24,V24,A24))),""),SUBSTITUTE(IFERROR(IF($H$2="Lower", LOWER(ComputeResourceName(#REF!,#REF!,#REF!,G24,N24,O24,P24,Q24,S24,T24,V24,A24)), UPPER(ComputeResourceName(#REF!,#REF!,#REF!,G24,N24,O24,P24,Q24,S24,T24,V24,A24))),""), "-",""))</f>
        <v/>
      </c>
      <c r="L24" s="3" t="str">
        <f xml:space="preserve"> IF(K24="","",  IFERROR(VLOOKUP(I24,Resources!$B$1:$H$1503,5,FALSE)-LEN(K24),0))</f>
        <v/>
      </c>
      <c r="M24" s="3" t="str">
        <f>IF(K24="","",IFERROR(matches(K24,VLOOKUP(I24,Resources!$A$2:$AA$1503,16,FALSE)),FALSE))</f>
        <v/>
      </c>
      <c r="N24" s="3" t="e">
        <f>VLOOKUP(E24,Enviroments!$A$3:$D$59,1,FALSE)</f>
        <v>#N/A</v>
      </c>
      <c r="O24" s="3" t="e">
        <f>VLOOKUP(E24,Enviroments!$A$3:$D$59,2,FALSE)</f>
        <v>#N/A</v>
      </c>
      <c r="P24" s="3" t="e">
        <f>VLOOKUP(E24,Enviroments!$A$3:$D$59,3,FALSE)</f>
        <v>#N/A</v>
      </c>
      <c r="Q24" s="3" t="e">
        <f>VLOOKUP(E24,Enviroments!$A$3:$D$59,4,FALSE)</f>
        <v>#N/A</v>
      </c>
      <c r="R24" s="3" t="e">
        <f>VLOOKUP(H24,AzureRegions!$A$4:$B$1493,1,FALSE)</f>
        <v>#N/A</v>
      </c>
      <c r="S24" s="3" t="e">
        <f>VLOOKUP(H24,AzureRegions!$A$4:$B$1493,2,FALSE)</f>
        <v>#N/A</v>
      </c>
      <c r="T24" s="3" t="e">
        <f>VLOOKUP(H24,AzureRegions!$A$4:$C$1493,3,FALSE)</f>
        <v>#N/A</v>
      </c>
      <c r="U24" s="3" t="e">
        <f>VLOOKUP(I24,Resources!$A$2:$AA$1503,2,FALSE)</f>
        <v>#N/A</v>
      </c>
      <c r="V24" s="3" t="e">
        <f>VLOOKUP(I24,Resources!$A$2:$H$1503,6,FALSE)</f>
        <v>#N/A</v>
      </c>
      <c r="W24" s="3" t="str">
        <f>VLOOKUP($H$2,Casing!$A$4:$A$60,1,FALSE)</f>
        <v>Lower</v>
      </c>
      <c r="X24" s="14" t="str">
        <f t="shared" si="1"/>
        <v>001</v>
      </c>
      <c r="Y24" s="3" t="str">
        <f>IFERROR(VLOOKUP(F24,Func!$A$4:$G$1500,2,FALSE),"none")</f>
        <v>none</v>
      </c>
      <c r="Z24" s="3" t="e">
        <f>VLOOKUP(I24,Resources!$A$2:$AA$1503,18,FALSE)</f>
        <v>#N/A</v>
      </c>
      <c r="AA24" s="3" t="str">
        <f>IFERROR(VLOOKUP(B24,Orgs!$A$4:$G$1500,2,FALSE),"none")</f>
        <v>none</v>
      </c>
      <c r="AB24" s="3" t="str">
        <f>IFERROR(VLOOKUP(C24,UnitsDepts!$A$4:$G$1500,2,FALSE),"none")</f>
        <v>none</v>
      </c>
      <c r="AC24" s="3" t="str">
        <f>IFERROR(VLOOKUP(D24,ProjAppSvc!$A$4:$G$1500,2,FALSE),"none")</f>
        <v>none</v>
      </c>
    </row>
    <row r="25" spans="1:29" x14ac:dyDescent="0.45">
      <c r="A25" s="14" t="s">
        <v>23</v>
      </c>
      <c r="B25" s="14"/>
      <c r="C25" s="14"/>
      <c r="D25" s="14"/>
      <c r="H25" s="8"/>
      <c r="I25" s="3"/>
      <c r="J25" s="3" t="str">
        <f t="shared" si="2"/>
        <v/>
      </c>
      <c r="K25" s="3" t="str">
        <f>IF(ISNUMBER(SEARCH("-",V25)),IFERROR(IF($H$2="Lower", LOWER(ComputeResourceName(Z25,#REF!,#REF!,G25,N25,O25,P25,Q25,S25,T25,V25,A25)), UPPER(ComputeResourceName(Z25,#REF!,#REF!,G25,N25,O25,P25,Q25,S25,T25,V25,A25))),""),SUBSTITUTE(IFERROR(IF($H$2="Lower", LOWER(ComputeResourceName(#REF!,#REF!,#REF!,G25,N25,O25,P25,Q25,S25,T25,V25,A25)), UPPER(ComputeResourceName(#REF!,#REF!,#REF!,G25,N25,O25,P25,Q25,S25,T25,V25,A25))),""), "-",""))</f>
        <v/>
      </c>
      <c r="L25" s="3" t="str">
        <f xml:space="preserve"> IF(K25="","",  IFERROR(VLOOKUP(I25,Resources!$B$1:$H$1503,5,FALSE)-LEN(K25),0))</f>
        <v/>
      </c>
      <c r="M25" s="3" t="str">
        <f>IF(K25="","",IFERROR(matches(K25,VLOOKUP(I25,Resources!$A$2:$AA$1503,16,FALSE)),FALSE))</f>
        <v/>
      </c>
      <c r="N25" s="3" t="e">
        <f>VLOOKUP(E25,Enviroments!$A$3:$D$59,1,FALSE)</f>
        <v>#N/A</v>
      </c>
      <c r="O25" s="3" t="e">
        <f>VLOOKUP(E25,Enviroments!$A$3:$D$59,2,FALSE)</f>
        <v>#N/A</v>
      </c>
      <c r="P25" s="3" t="e">
        <f>VLOOKUP(E25,Enviroments!$A$3:$D$59,3,FALSE)</f>
        <v>#N/A</v>
      </c>
      <c r="Q25" s="3" t="e">
        <f>VLOOKUP(E25,Enviroments!$A$3:$D$59,4,FALSE)</f>
        <v>#N/A</v>
      </c>
      <c r="R25" s="3" t="e">
        <f>VLOOKUP(H25,AzureRegions!$A$4:$B$1493,1,FALSE)</f>
        <v>#N/A</v>
      </c>
      <c r="S25" s="3" t="e">
        <f>VLOOKUP(H25,AzureRegions!$A$4:$B$1493,2,FALSE)</f>
        <v>#N/A</v>
      </c>
      <c r="T25" s="3" t="e">
        <f>VLOOKUP(H25,AzureRegions!$A$4:$C$1493,3,FALSE)</f>
        <v>#N/A</v>
      </c>
      <c r="U25" s="3" t="e">
        <f>VLOOKUP(I25,Resources!$A$2:$AA$1503,2,FALSE)</f>
        <v>#N/A</v>
      </c>
      <c r="V25" s="3" t="e">
        <f>VLOOKUP(I25,Resources!$A$2:$H$1503,6,FALSE)</f>
        <v>#N/A</v>
      </c>
      <c r="W25" s="3" t="str">
        <f>VLOOKUP($H$2,Casing!$A$4:$A$60,1,FALSE)</f>
        <v>Lower</v>
      </c>
      <c r="X25" s="14" t="str">
        <f t="shared" si="1"/>
        <v>001</v>
      </c>
      <c r="Y25" s="3" t="str">
        <f>IFERROR(VLOOKUP(F25,Func!$A$4:$G$1500,2,FALSE),"none")</f>
        <v>none</v>
      </c>
      <c r="Z25" s="3" t="e">
        <f>VLOOKUP(I25,Resources!$A$2:$AA$1503,18,FALSE)</f>
        <v>#N/A</v>
      </c>
      <c r="AA25" s="3" t="str">
        <f>IFERROR(VLOOKUP(B25,Orgs!$A$4:$G$1500,2,FALSE),"none")</f>
        <v>none</v>
      </c>
      <c r="AB25" s="3" t="str">
        <f>IFERROR(VLOOKUP(C25,UnitsDepts!$A$4:$G$1500,2,FALSE),"none")</f>
        <v>none</v>
      </c>
      <c r="AC25" s="3" t="str">
        <f>IFERROR(VLOOKUP(D25,ProjAppSvc!$A$4:$G$1500,2,FALSE),"none")</f>
        <v>none</v>
      </c>
    </row>
    <row r="26" spans="1:29" x14ac:dyDescent="0.45">
      <c r="A26" s="14" t="s">
        <v>23</v>
      </c>
      <c r="B26" s="14"/>
      <c r="C26" s="14"/>
      <c r="D26" s="14"/>
      <c r="H26" s="8"/>
      <c r="I26" s="3"/>
      <c r="J26" s="3" t="str">
        <f t="shared" si="2"/>
        <v/>
      </c>
      <c r="K26" s="3" t="str">
        <f>IF(ISNUMBER(SEARCH("-",V26)),IFERROR(IF($H$2="Lower", LOWER(ComputeResourceName(Z26,#REF!,#REF!,G26,N26,O26,P26,Q26,S26,T26,V26,A26)), UPPER(ComputeResourceName(Z26,#REF!,#REF!,G26,N26,O26,P26,Q26,S26,T26,V26,A26))),""),SUBSTITUTE(IFERROR(IF($H$2="Lower", LOWER(ComputeResourceName(#REF!,#REF!,#REF!,G26,N26,O26,P26,Q26,S26,T26,V26,A26)), UPPER(ComputeResourceName(#REF!,#REF!,#REF!,G26,N26,O26,P26,Q26,S26,T26,V26,A26))),""), "-",""))</f>
        <v/>
      </c>
      <c r="L26" s="3" t="str">
        <f xml:space="preserve"> IF(K26="","",  IFERROR(VLOOKUP(I26,Resources!$B$1:$H$1503,5,FALSE)-LEN(K26),0))</f>
        <v/>
      </c>
      <c r="M26" s="3" t="str">
        <f>IF(K26="","",IFERROR(matches(K26,VLOOKUP(I26,Resources!$A$2:$AA$1503,16,FALSE)),FALSE))</f>
        <v/>
      </c>
      <c r="N26" s="3" t="e">
        <f>VLOOKUP(E26,Enviroments!$A$3:$D$59,1,FALSE)</f>
        <v>#N/A</v>
      </c>
      <c r="O26" s="3" t="e">
        <f>VLOOKUP(E26,Enviroments!$A$3:$D$59,2,FALSE)</f>
        <v>#N/A</v>
      </c>
      <c r="P26" s="3" t="e">
        <f>VLOOKUP(E26,Enviroments!$A$3:$D$59,3,FALSE)</f>
        <v>#N/A</v>
      </c>
      <c r="Q26" s="3" t="e">
        <f>VLOOKUP(E26,Enviroments!$A$3:$D$59,4,FALSE)</f>
        <v>#N/A</v>
      </c>
      <c r="R26" s="3" t="e">
        <f>VLOOKUP(H26,AzureRegions!$A$4:$B$1493,1,FALSE)</f>
        <v>#N/A</v>
      </c>
      <c r="S26" s="3" t="e">
        <f>VLOOKUP(H26,AzureRegions!$A$4:$B$1493,2,FALSE)</f>
        <v>#N/A</v>
      </c>
      <c r="T26" s="3" t="e">
        <f>VLOOKUP(H26,AzureRegions!$A$4:$C$1493,3,FALSE)</f>
        <v>#N/A</v>
      </c>
      <c r="U26" s="3" t="e">
        <f>VLOOKUP(I26,Resources!$A$2:$AA$1503,2,FALSE)</f>
        <v>#N/A</v>
      </c>
      <c r="V26" s="3" t="e">
        <f>VLOOKUP(I26,Resources!$A$2:$H$1503,6,FALSE)</f>
        <v>#N/A</v>
      </c>
      <c r="W26" s="3" t="str">
        <f>VLOOKUP($H$2,Casing!$A$4:$A$60,1,FALSE)</f>
        <v>Lower</v>
      </c>
      <c r="X26" s="14" t="str">
        <f t="shared" si="1"/>
        <v>001</v>
      </c>
      <c r="Y26" s="3" t="str">
        <f>IFERROR(VLOOKUP(F26,Func!$A$4:$G$1500,2,FALSE),"none")</f>
        <v>none</v>
      </c>
      <c r="Z26" s="3" t="e">
        <f>VLOOKUP(I26,Resources!$A$2:$AA$1503,18,FALSE)</f>
        <v>#N/A</v>
      </c>
      <c r="AA26" s="3" t="str">
        <f>IFERROR(VLOOKUP(B26,Orgs!$A$4:$G$1500,2,FALSE),"none")</f>
        <v>none</v>
      </c>
      <c r="AB26" s="3" t="str">
        <f>IFERROR(VLOOKUP(C26,UnitsDepts!$A$4:$G$1500,2,FALSE),"none")</f>
        <v>none</v>
      </c>
      <c r="AC26" s="3" t="str">
        <f>IFERROR(VLOOKUP(D26,ProjAppSvc!$A$4:$G$1500,2,FALSE),"none")</f>
        <v>none</v>
      </c>
    </row>
    <row r="27" spans="1:29" x14ac:dyDescent="0.45">
      <c r="A27" s="14" t="s">
        <v>23</v>
      </c>
      <c r="B27" s="14"/>
      <c r="C27" s="14"/>
      <c r="D27" s="14"/>
      <c r="H27" s="8"/>
      <c r="I27" s="3"/>
      <c r="J27" s="3" t="str">
        <f t="shared" si="2"/>
        <v/>
      </c>
      <c r="K27" s="3" t="str">
        <f>IF(ISNUMBER(SEARCH("-",V27)),IFERROR(IF($H$2="Lower", LOWER(ComputeResourceName(Z27,#REF!,#REF!,G27,N27,O27,P27,Q27,S27,T27,V27,A27)), UPPER(ComputeResourceName(Z27,#REF!,#REF!,G27,N27,O27,P27,Q27,S27,T27,V27,A27))),""),SUBSTITUTE(IFERROR(IF($H$2="Lower", LOWER(ComputeResourceName(#REF!,#REF!,#REF!,G27,N27,O27,P27,Q27,S27,T27,V27,A27)), UPPER(ComputeResourceName(#REF!,#REF!,#REF!,G27,N27,O27,P27,Q27,S27,T27,V27,A27))),""), "-",""))</f>
        <v/>
      </c>
      <c r="L27" s="3" t="str">
        <f xml:space="preserve"> IF(K27="","",  IFERROR(VLOOKUP(I27,Resources!$B$1:$H$1503,5,FALSE)-LEN(K27),0))</f>
        <v/>
      </c>
      <c r="M27" s="3" t="str">
        <f>IF(K27="","",IFERROR(matches(K27,VLOOKUP(I27,Resources!$A$2:$AA$1503,16,FALSE)),FALSE))</f>
        <v/>
      </c>
      <c r="N27" s="3" t="e">
        <f>VLOOKUP(E27,Enviroments!$A$3:$D$59,1,FALSE)</f>
        <v>#N/A</v>
      </c>
      <c r="O27" s="3" t="e">
        <f>VLOOKUP(E27,Enviroments!$A$3:$D$59,2,FALSE)</f>
        <v>#N/A</v>
      </c>
      <c r="P27" s="3" t="e">
        <f>VLOOKUP(E27,Enviroments!$A$3:$D$59,3,FALSE)</f>
        <v>#N/A</v>
      </c>
      <c r="Q27" s="3" t="e">
        <f>VLOOKUP(E27,Enviroments!$A$3:$D$59,4,FALSE)</f>
        <v>#N/A</v>
      </c>
      <c r="R27" s="3" t="e">
        <f>VLOOKUP(H27,AzureRegions!$A$4:$B$1493,1,FALSE)</f>
        <v>#N/A</v>
      </c>
      <c r="S27" s="3" t="e">
        <f>VLOOKUP(H27,AzureRegions!$A$4:$B$1493,2,FALSE)</f>
        <v>#N/A</v>
      </c>
      <c r="T27" s="3" t="e">
        <f>VLOOKUP(H27,AzureRegions!$A$4:$C$1493,3,FALSE)</f>
        <v>#N/A</v>
      </c>
      <c r="U27" s="3" t="e">
        <f>VLOOKUP(I27,Resources!$A$2:$AA$1503,2,FALSE)</f>
        <v>#N/A</v>
      </c>
      <c r="V27" s="3" t="e">
        <f>VLOOKUP(I27,Resources!$A$2:$H$1503,6,FALSE)</f>
        <v>#N/A</v>
      </c>
      <c r="W27" s="3" t="str">
        <f>VLOOKUP($H$2,Casing!$A$4:$A$60,1,FALSE)</f>
        <v>Lower</v>
      </c>
      <c r="X27" s="14" t="str">
        <f t="shared" si="1"/>
        <v>001</v>
      </c>
      <c r="Y27" s="3" t="str">
        <f>IFERROR(VLOOKUP(F27,Func!$A$4:$G$1500,2,FALSE),"none")</f>
        <v>none</v>
      </c>
      <c r="Z27" s="3" t="e">
        <f>VLOOKUP(I27,Resources!$A$2:$AA$1503,18,FALSE)</f>
        <v>#N/A</v>
      </c>
      <c r="AA27" s="3" t="str">
        <f>IFERROR(VLOOKUP(B27,Orgs!$A$4:$G$1500,2,FALSE),"none")</f>
        <v>none</v>
      </c>
      <c r="AB27" s="3" t="str">
        <f>IFERROR(VLOOKUP(C27,UnitsDepts!$A$4:$G$1500,2,FALSE),"none")</f>
        <v>none</v>
      </c>
      <c r="AC27" s="3" t="str">
        <f>IFERROR(VLOOKUP(D27,ProjAppSvc!$A$4:$G$1500,2,FALSE),"none")</f>
        <v>none</v>
      </c>
    </row>
    <row r="28" spans="1:29" x14ac:dyDescent="0.45">
      <c r="A28" s="14" t="s">
        <v>23</v>
      </c>
      <c r="B28" s="14"/>
      <c r="C28" s="14"/>
      <c r="D28" s="14"/>
      <c r="H28" s="8"/>
      <c r="I28" s="3"/>
      <c r="J28" s="3" t="str">
        <f t="shared" si="2"/>
        <v/>
      </c>
      <c r="K28" s="3" t="str">
        <f>IF(ISNUMBER(SEARCH("-",V28)),IFERROR(IF($H$2="Lower", LOWER(ComputeResourceName(Z28,#REF!,#REF!,G28,N28,O28,P28,Q28,S28,T28,V28,A28)), UPPER(ComputeResourceName(Z28,#REF!,#REF!,G28,N28,O28,P28,Q28,S28,T28,V28,A28))),""),SUBSTITUTE(IFERROR(IF($H$2="Lower", LOWER(ComputeResourceName(#REF!,#REF!,#REF!,G28,N28,O28,P28,Q28,S28,T28,V28,A28)), UPPER(ComputeResourceName(#REF!,#REF!,#REF!,G28,N28,O28,P28,Q28,S28,T28,V28,A28))),""), "-",""))</f>
        <v/>
      </c>
      <c r="L28" s="3" t="str">
        <f xml:space="preserve"> IF(K28="","",  IFERROR(VLOOKUP(I28,Resources!$B$1:$H$1503,5,FALSE)-LEN(K28),0))</f>
        <v/>
      </c>
      <c r="M28" s="3" t="str">
        <f>IF(K28="","",IFERROR(matches(K28,VLOOKUP(I28,Resources!$A$2:$AA$1503,16,FALSE)),FALSE))</f>
        <v/>
      </c>
      <c r="N28" s="3" t="e">
        <f>VLOOKUP(E28,Enviroments!$A$3:$D$59,1,FALSE)</f>
        <v>#N/A</v>
      </c>
      <c r="O28" s="3" t="e">
        <f>VLOOKUP(E28,Enviroments!$A$3:$D$59,2,FALSE)</f>
        <v>#N/A</v>
      </c>
      <c r="P28" s="3" t="e">
        <f>VLOOKUP(E28,Enviroments!$A$3:$D$59,3,FALSE)</f>
        <v>#N/A</v>
      </c>
      <c r="Q28" s="3" t="e">
        <f>VLOOKUP(E28,Enviroments!$A$3:$D$59,4,FALSE)</f>
        <v>#N/A</v>
      </c>
      <c r="R28" s="3" t="e">
        <f>VLOOKUP(H28,AzureRegions!$A$4:$B$1493,1,FALSE)</f>
        <v>#N/A</v>
      </c>
      <c r="S28" s="3" t="e">
        <f>VLOOKUP(H28,AzureRegions!$A$4:$B$1493,2,FALSE)</f>
        <v>#N/A</v>
      </c>
      <c r="T28" s="3" t="e">
        <f>VLOOKUP(H28,AzureRegions!$A$4:$C$1493,3,FALSE)</f>
        <v>#N/A</v>
      </c>
      <c r="U28" s="3" t="e">
        <f>VLOOKUP(I28,Resources!$A$2:$AA$1503,2,FALSE)</f>
        <v>#N/A</v>
      </c>
      <c r="V28" s="3" t="e">
        <f>VLOOKUP(I28,Resources!$A$2:$H$1503,6,FALSE)</f>
        <v>#N/A</v>
      </c>
      <c r="W28" s="3" t="str">
        <f>VLOOKUP($H$2,Casing!$A$4:$A$60,1,FALSE)</f>
        <v>Lower</v>
      </c>
      <c r="X28" s="14" t="str">
        <f t="shared" si="1"/>
        <v>001</v>
      </c>
      <c r="Y28" s="3" t="str">
        <f>IFERROR(VLOOKUP(F28,Func!$A$4:$G$1500,2,FALSE),"none")</f>
        <v>none</v>
      </c>
      <c r="Z28" s="3" t="e">
        <f>VLOOKUP(I28,Resources!$A$2:$AA$1503,18,FALSE)</f>
        <v>#N/A</v>
      </c>
      <c r="AA28" s="3" t="str">
        <f>IFERROR(VLOOKUP(B28,Orgs!$A$4:$G$1500,2,FALSE),"none")</f>
        <v>none</v>
      </c>
      <c r="AB28" s="3" t="str">
        <f>IFERROR(VLOOKUP(C28,UnitsDepts!$A$4:$G$1500,2,FALSE),"none")</f>
        <v>none</v>
      </c>
      <c r="AC28" s="3" t="str">
        <f>IFERROR(VLOOKUP(D28,ProjAppSvc!$A$4:$G$1500,2,FALSE),"none")</f>
        <v>none</v>
      </c>
    </row>
    <row r="29" spans="1:29" x14ac:dyDescent="0.45">
      <c r="A29" s="14" t="s">
        <v>23</v>
      </c>
      <c r="B29" s="14"/>
      <c r="C29" s="14"/>
      <c r="D29" s="14"/>
      <c r="H29" s="8"/>
      <c r="I29" s="3"/>
      <c r="J29" s="3" t="str">
        <f t="shared" si="2"/>
        <v/>
      </c>
      <c r="K29" s="3" t="str">
        <f>IF(ISNUMBER(SEARCH("-",V29)),IFERROR(IF($H$2="Lower", LOWER(ComputeResourceName(Z29,#REF!,#REF!,G29,N29,O29,P29,Q29,S29,T29,V29,A29)), UPPER(ComputeResourceName(Z29,#REF!,#REF!,G29,N29,O29,P29,Q29,S29,T29,V29,A29))),""),SUBSTITUTE(IFERROR(IF($H$2="Lower", LOWER(ComputeResourceName(#REF!,#REF!,#REF!,G29,N29,O29,P29,Q29,S29,T29,V29,A29)), UPPER(ComputeResourceName(#REF!,#REF!,#REF!,G29,N29,O29,P29,Q29,S29,T29,V29,A29))),""), "-",""))</f>
        <v/>
      </c>
      <c r="L29" s="3" t="str">
        <f xml:space="preserve"> IF(K29="","",  IFERROR(VLOOKUP(I29,Resources!$B$1:$H$1503,5,FALSE)-LEN(K29),0))</f>
        <v/>
      </c>
      <c r="M29" s="3" t="str">
        <f>IF(K29="","",IFERROR(matches(K29,VLOOKUP(I29,Resources!$A$2:$AA$1503,16,FALSE)),FALSE))</f>
        <v/>
      </c>
      <c r="N29" s="3" t="e">
        <f>VLOOKUP(E29,Enviroments!$A$3:$D$59,1,FALSE)</f>
        <v>#N/A</v>
      </c>
      <c r="O29" s="3" t="e">
        <f>VLOOKUP(E29,Enviroments!$A$3:$D$59,2,FALSE)</f>
        <v>#N/A</v>
      </c>
      <c r="P29" s="3" t="e">
        <f>VLOOKUP(E29,Enviroments!$A$3:$D$59,3,FALSE)</f>
        <v>#N/A</v>
      </c>
      <c r="Q29" s="3" t="e">
        <f>VLOOKUP(E29,Enviroments!$A$3:$D$59,4,FALSE)</f>
        <v>#N/A</v>
      </c>
      <c r="R29" s="3" t="e">
        <f>VLOOKUP(H29,AzureRegions!$A$4:$B$1493,1,FALSE)</f>
        <v>#N/A</v>
      </c>
      <c r="S29" s="3" t="e">
        <f>VLOOKUP(H29,AzureRegions!$A$4:$B$1493,2,FALSE)</f>
        <v>#N/A</v>
      </c>
      <c r="T29" s="3" t="e">
        <f>VLOOKUP(H29,AzureRegions!$A$4:$C$1493,3,FALSE)</f>
        <v>#N/A</v>
      </c>
      <c r="U29" s="3" t="e">
        <f>VLOOKUP(I29,Resources!$A$2:$AA$1503,2,FALSE)</f>
        <v>#N/A</v>
      </c>
      <c r="V29" s="3" t="e">
        <f>VLOOKUP(I29,Resources!$A$2:$H$1503,6,FALSE)</f>
        <v>#N/A</v>
      </c>
      <c r="W29" s="3" t="str">
        <f>VLOOKUP($H$2,Casing!$A$4:$A$60,1,FALSE)</f>
        <v>Lower</v>
      </c>
      <c r="X29" s="14" t="str">
        <f t="shared" si="1"/>
        <v>001</v>
      </c>
      <c r="Y29" s="3" t="str">
        <f>IFERROR(VLOOKUP(F29,Func!$A$4:$G$1500,2,FALSE),"none")</f>
        <v>none</v>
      </c>
      <c r="Z29" s="3" t="e">
        <f>VLOOKUP(I29,Resources!$A$2:$AA$1503,18,FALSE)</f>
        <v>#N/A</v>
      </c>
      <c r="AA29" s="3" t="str">
        <f>IFERROR(VLOOKUP(B29,Orgs!$A$4:$G$1500,2,FALSE),"none")</f>
        <v>none</v>
      </c>
      <c r="AB29" s="3" t="str">
        <f>IFERROR(VLOOKUP(C29,UnitsDepts!$A$4:$G$1500,2,FALSE),"none")</f>
        <v>none</v>
      </c>
      <c r="AC29" s="3" t="str">
        <f>IFERROR(VLOOKUP(D29,ProjAppSvc!$A$4:$G$1500,2,FALSE),"none")</f>
        <v>none</v>
      </c>
    </row>
    <row r="30" spans="1:29" x14ac:dyDescent="0.45">
      <c r="A30" s="14" t="s">
        <v>23</v>
      </c>
      <c r="B30" s="14"/>
      <c r="C30" s="14"/>
      <c r="D30" s="14"/>
      <c r="H30" s="8"/>
      <c r="I30" s="3"/>
      <c r="J30" s="3" t="str">
        <f t="shared" si="2"/>
        <v/>
      </c>
      <c r="K30" s="3" t="str">
        <f>IF(ISNUMBER(SEARCH("-",V30)),IFERROR(IF($H$2="Lower", LOWER(ComputeResourceName(Z30,#REF!,#REF!,G30,N30,O30,P30,Q30,S30,T30,V30,A30)), UPPER(ComputeResourceName(Z30,#REF!,#REF!,G30,N30,O30,P30,Q30,S30,T30,V30,A30))),""),SUBSTITUTE(IFERROR(IF($H$2="Lower", LOWER(ComputeResourceName(#REF!,#REF!,#REF!,G30,N30,O30,P30,Q30,S30,T30,V30,A30)), UPPER(ComputeResourceName(#REF!,#REF!,#REF!,G30,N30,O30,P30,Q30,S30,T30,V30,A30))),""), "-",""))</f>
        <v/>
      </c>
      <c r="L30" s="3" t="str">
        <f xml:space="preserve"> IF(K30="","",  IFERROR(VLOOKUP(I30,Resources!$B$1:$H$1503,5,FALSE)-LEN(K30),0))</f>
        <v/>
      </c>
      <c r="M30" s="3" t="str">
        <f>IF(K30="","",IFERROR(matches(K30,VLOOKUP(I30,Resources!$A$2:$AA$1503,16,FALSE)),FALSE))</f>
        <v/>
      </c>
      <c r="N30" s="3" t="e">
        <f>VLOOKUP(E30,Enviroments!$A$3:$D$59,1,FALSE)</f>
        <v>#N/A</v>
      </c>
      <c r="O30" s="3" t="e">
        <f>VLOOKUP(E30,Enviroments!$A$3:$D$59,2,FALSE)</f>
        <v>#N/A</v>
      </c>
      <c r="P30" s="3" t="e">
        <f>VLOOKUP(E30,Enviroments!$A$3:$D$59,3,FALSE)</f>
        <v>#N/A</v>
      </c>
      <c r="Q30" s="3" t="e">
        <f>VLOOKUP(E30,Enviroments!$A$3:$D$59,4,FALSE)</f>
        <v>#N/A</v>
      </c>
      <c r="R30" s="3" t="e">
        <f>VLOOKUP(H30,AzureRegions!$A$4:$B$1493,1,FALSE)</f>
        <v>#N/A</v>
      </c>
      <c r="S30" s="3" t="e">
        <f>VLOOKUP(H30,AzureRegions!$A$4:$B$1493,2,FALSE)</f>
        <v>#N/A</v>
      </c>
      <c r="T30" s="3" t="e">
        <f>VLOOKUP(H30,AzureRegions!$A$4:$C$1493,3,FALSE)</f>
        <v>#N/A</v>
      </c>
      <c r="U30" s="3" t="e">
        <f>VLOOKUP(I30,Resources!$A$2:$AA$1503,2,FALSE)</f>
        <v>#N/A</v>
      </c>
      <c r="V30" s="3" t="e">
        <f>VLOOKUP(I30,Resources!$A$2:$H$1503,6,FALSE)</f>
        <v>#N/A</v>
      </c>
      <c r="W30" s="3" t="str">
        <f>VLOOKUP($H$2,Casing!$A$4:$A$60,1,FALSE)</f>
        <v>Lower</v>
      </c>
      <c r="X30" s="14" t="str">
        <f t="shared" si="1"/>
        <v>001</v>
      </c>
      <c r="Y30" s="3" t="str">
        <f>IFERROR(VLOOKUP(F30,Func!$A$4:$G$1500,2,FALSE),"none")</f>
        <v>none</v>
      </c>
      <c r="Z30" s="3" t="e">
        <f>VLOOKUP(I30,Resources!$A$2:$AA$1503,18,FALSE)</f>
        <v>#N/A</v>
      </c>
      <c r="AA30" s="3" t="str">
        <f>IFERROR(VLOOKUP(B30,Orgs!$A$4:$G$1500,2,FALSE),"none")</f>
        <v>none</v>
      </c>
      <c r="AB30" s="3" t="str">
        <f>IFERROR(VLOOKUP(C30,UnitsDepts!$A$4:$G$1500,2,FALSE),"none")</f>
        <v>none</v>
      </c>
      <c r="AC30" s="3" t="str">
        <f>IFERROR(VLOOKUP(D30,ProjAppSvc!$A$4:$G$1500,2,FALSE),"none")</f>
        <v>none</v>
      </c>
    </row>
    <row r="31" spans="1:29" x14ac:dyDescent="0.45">
      <c r="A31" s="14" t="s">
        <v>23</v>
      </c>
      <c r="B31" s="14"/>
      <c r="C31" s="14"/>
      <c r="D31" s="14"/>
      <c r="H31" s="8"/>
      <c r="I31" s="3"/>
      <c r="J31" s="3" t="str">
        <f t="shared" si="2"/>
        <v/>
      </c>
      <c r="K31" s="3" t="str">
        <f>IF(ISNUMBER(SEARCH("-",V31)),IFERROR(IF($H$2="Lower", LOWER(ComputeResourceName(Z31,#REF!,#REF!,G31,N31,O31,P31,Q31,S31,T31,V31,A31)), UPPER(ComputeResourceName(Z31,#REF!,#REF!,G31,N31,O31,P31,Q31,S31,T31,V31,A31))),""),SUBSTITUTE(IFERROR(IF($H$2="Lower", LOWER(ComputeResourceName(#REF!,#REF!,#REF!,G31,N31,O31,P31,Q31,S31,T31,V31,A31)), UPPER(ComputeResourceName(#REF!,#REF!,#REF!,G31,N31,O31,P31,Q31,S31,T31,V31,A31))),""), "-",""))</f>
        <v/>
      </c>
      <c r="L31" s="3" t="str">
        <f xml:space="preserve"> IF(K31="","",  IFERROR(VLOOKUP(I31,Resources!$B$1:$H$1503,5,FALSE)-LEN(K31),0))</f>
        <v/>
      </c>
      <c r="M31" s="3" t="str">
        <f>IF(K31="","",IFERROR(matches(K31,VLOOKUP(I31,Resources!$A$2:$AA$1503,16,FALSE)),FALSE))</f>
        <v/>
      </c>
      <c r="N31" s="3" t="e">
        <f>VLOOKUP(E31,Enviroments!$A$3:$D$59,1,FALSE)</f>
        <v>#N/A</v>
      </c>
      <c r="O31" s="3" t="e">
        <f>VLOOKUP(E31,Enviroments!$A$3:$D$59,2,FALSE)</f>
        <v>#N/A</v>
      </c>
      <c r="P31" s="3" t="e">
        <f>VLOOKUP(E31,Enviroments!$A$3:$D$59,3,FALSE)</f>
        <v>#N/A</v>
      </c>
      <c r="Q31" s="3" t="e">
        <f>VLOOKUP(E31,Enviroments!$A$3:$D$59,4,FALSE)</f>
        <v>#N/A</v>
      </c>
      <c r="R31" s="3" t="e">
        <f>VLOOKUP(H31,AzureRegions!$A$4:$B$1493,1,FALSE)</f>
        <v>#N/A</v>
      </c>
      <c r="S31" s="3" t="e">
        <f>VLOOKUP(H31,AzureRegions!$A$4:$B$1493,2,FALSE)</f>
        <v>#N/A</v>
      </c>
      <c r="T31" s="3" t="e">
        <f>VLOOKUP(H31,AzureRegions!$A$4:$C$1493,3,FALSE)</f>
        <v>#N/A</v>
      </c>
      <c r="U31" s="3" t="e">
        <f>VLOOKUP(I31,Resources!$A$2:$AA$1503,2,FALSE)</f>
        <v>#N/A</v>
      </c>
      <c r="V31" s="3" t="e">
        <f>VLOOKUP(I31,Resources!$A$2:$H$1503,6,FALSE)</f>
        <v>#N/A</v>
      </c>
      <c r="W31" s="3" t="str">
        <f>VLOOKUP($H$2,Casing!$A$4:$A$60,1,FALSE)</f>
        <v>Lower</v>
      </c>
      <c r="X31" s="14" t="str">
        <f t="shared" si="1"/>
        <v>001</v>
      </c>
      <c r="Y31" s="3" t="str">
        <f>IFERROR(VLOOKUP(F31,Func!$A$4:$G$1500,2,FALSE),"none")</f>
        <v>none</v>
      </c>
      <c r="Z31" s="3" t="e">
        <f>VLOOKUP(I31,Resources!$A$2:$AA$1503,18,FALSE)</f>
        <v>#N/A</v>
      </c>
      <c r="AA31" s="3" t="str">
        <f>IFERROR(VLOOKUP(B31,Orgs!$A$4:$G$1500,2,FALSE),"none")</f>
        <v>none</v>
      </c>
      <c r="AB31" s="3" t="str">
        <f>IFERROR(VLOOKUP(C31,UnitsDepts!$A$4:$G$1500,2,FALSE),"none")</f>
        <v>none</v>
      </c>
      <c r="AC31" s="3" t="str">
        <f>IFERROR(VLOOKUP(D31,ProjAppSvc!$A$4:$G$1500,2,FALSE),"none")</f>
        <v>none</v>
      </c>
    </row>
    <row r="32" spans="1:29" x14ac:dyDescent="0.45">
      <c r="A32" s="14" t="s">
        <v>23</v>
      </c>
      <c r="B32" s="14"/>
      <c r="C32" s="14"/>
      <c r="D32" s="14"/>
      <c r="H32" s="8"/>
      <c r="I32" s="3"/>
      <c r="J32" s="3" t="str">
        <f t="shared" si="2"/>
        <v/>
      </c>
      <c r="K32" s="3" t="str">
        <f>IF(ISNUMBER(SEARCH("-",V32)),IFERROR(IF($H$2="Lower", LOWER(ComputeResourceName(Z32,#REF!,#REF!,G32,N32,O32,P32,Q32,S32,T32,V32,A32)), UPPER(ComputeResourceName(Z32,#REF!,#REF!,G32,N32,O32,P32,Q32,S32,T32,V32,A32))),""),SUBSTITUTE(IFERROR(IF($H$2="Lower", LOWER(ComputeResourceName(#REF!,#REF!,#REF!,G32,N32,O32,P32,Q32,S32,T32,V32,A32)), UPPER(ComputeResourceName(#REF!,#REF!,#REF!,G32,N32,O32,P32,Q32,S32,T32,V32,A32))),""), "-",""))</f>
        <v/>
      </c>
      <c r="L32" s="3" t="str">
        <f xml:space="preserve"> IF(K32="","",  IFERROR(VLOOKUP(I32,Resources!$B$1:$H$1503,5,FALSE)-LEN(K32),0))</f>
        <v/>
      </c>
      <c r="M32" s="3" t="str">
        <f>IF(K32="","",IFERROR(matches(K32,VLOOKUP(I32,Resources!$A$2:$AA$1503,16,FALSE)),FALSE))</f>
        <v/>
      </c>
      <c r="N32" s="3" t="e">
        <f>VLOOKUP(E32,Enviroments!$A$3:$D$59,1,FALSE)</f>
        <v>#N/A</v>
      </c>
      <c r="O32" s="3" t="e">
        <f>VLOOKUP(E32,Enviroments!$A$3:$D$59,2,FALSE)</f>
        <v>#N/A</v>
      </c>
      <c r="P32" s="3" t="e">
        <f>VLOOKUP(E32,Enviroments!$A$3:$D$59,3,FALSE)</f>
        <v>#N/A</v>
      </c>
      <c r="Q32" s="3" t="e">
        <f>VLOOKUP(E32,Enviroments!$A$3:$D$59,4,FALSE)</f>
        <v>#N/A</v>
      </c>
      <c r="R32" s="3" t="e">
        <f>VLOOKUP(H32,AzureRegions!$A$4:$B$1493,1,FALSE)</f>
        <v>#N/A</v>
      </c>
      <c r="S32" s="3" t="e">
        <f>VLOOKUP(H32,AzureRegions!$A$4:$B$1493,2,FALSE)</f>
        <v>#N/A</v>
      </c>
      <c r="T32" s="3" t="e">
        <f>VLOOKUP(H32,AzureRegions!$A$4:$C$1493,3,FALSE)</f>
        <v>#N/A</v>
      </c>
      <c r="U32" s="3" t="e">
        <f>VLOOKUP(I32,Resources!$A$2:$AA$1503,2,FALSE)</f>
        <v>#N/A</v>
      </c>
      <c r="V32" s="3" t="e">
        <f>VLOOKUP(I32,Resources!$A$2:$H$1503,6,FALSE)</f>
        <v>#N/A</v>
      </c>
      <c r="W32" s="3" t="str">
        <f>VLOOKUP($H$2,Casing!$A$4:$A$60,1,FALSE)</f>
        <v>Lower</v>
      </c>
      <c r="X32" s="14" t="str">
        <f t="shared" si="1"/>
        <v>001</v>
      </c>
      <c r="Y32" s="3" t="str">
        <f>IFERROR(VLOOKUP(F32,Func!$A$4:$G$1500,2,FALSE),"none")</f>
        <v>none</v>
      </c>
      <c r="Z32" s="3" t="e">
        <f>VLOOKUP(I32,Resources!$A$2:$AA$1503,18,FALSE)</f>
        <v>#N/A</v>
      </c>
      <c r="AA32" s="3" t="str">
        <f>IFERROR(VLOOKUP(B32,Orgs!$A$4:$G$1500,2,FALSE),"none")</f>
        <v>none</v>
      </c>
      <c r="AB32" s="3" t="str">
        <f>IFERROR(VLOOKUP(C32,UnitsDepts!$A$4:$G$1500,2,FALSE),"none")</f>
        <v>none</v>
      </c>
      <c r="AC32" s="3" t="str">
        <f>IFERROR(VLOOKUP(D32,ProjAppSvc!$A$4:$G$1500,2,FALSE),"none")</f>
        <v>none</v>
      </c>
    </row>
    <row r="33" spans="1:29" x14ac:dyDescent="0.45">
      <c r="A33" s="14" t="s">
        <v>23</v>
      </c>
      <c r="B33" s="14"/>
      <c r="C33" s="14"/>
      <c r="D33" s="14"/>
      <c r="H33" s="8"/>
      <c r="I33" s="3"/>
      <c r="J33" s="3" t="str">
        <f t="shared" si="2"/>
        <v/>
      </c>
      <c r="K33" s="3" t="str">
        <f>IF(ISNUMBER(SEARCH("-",V33)),IFERROR(IF($H$2="Lower", LOWER(ComputeResourceName(Z33,#REF!,#REF!,G33,N33,O33,P33,Q33,S33,T33,V33,A33)), UPPER(ComputeResourceName(Z33,#REF!,#REF!,G33,N33,O33,P33,Q33,S33,T33,V33,A33))),""),SUBSTITUTE(IFERROR(IF($H$2="Lower", LOWER(ComputeResourceName(#REF!,#REF!,#REF!,G33,N33,O33,P33,Q33,S33,T33,V33,A33)), UPPER(ComputeResourceName(#REF!,#REF!,#REF!,G33,N33,O33,P33,Q33,S33,T33,V33,A33))),""), "-",""))</f>
        <v/>
      </c>
      <c r="L33" s="3" t="str">
        <f xml:space="preserve"> IF(K33="","",  IFERROR(VLOOKUP(I33,Resources!$B$1:$H$1503,5,FALSE)-LEN(K33),0))</f>
        <v/>
      </c>
      <c r="M33" s="3" t="str">
        <f>IF(K33="","",IFERROR(matches(K33,VLOOKUP(I33,Resources!$A$2:$AA$1503,16,FALSE)),FALSE))</f>
        <v/>
      </c>
      <c r="N33" s="3" t="e">
        <f>VLOOKUP(E33,Enviroments!$A$3:$D$59,1,FALSE)</f>
        <v>#N/A</v>
      </c>
      <c r="O33" s="3" t="e">
        <f>VLOOKUP(E33,Enviroments!$A$3:$D$59,2,FALSE)</f>
        <v>#N/A</v>
      </c>
      <c r="P33" s="3" t="e">
        <f>VLOOKUP(E33,Enviroments!$A$3:$D$59,3,FALSE)</f>
        <v>#N/A</v>
      </c>
      <c r="Q33" s="3" t="e">
        <f>VLOOKUP(E33,Enviroments!$A$3:$D$59,4,FALSE)</f>
        <v>#N/A</v>
      </c>
      <c r="R33" s="3" t="e">
        <f>VLOOKUP(H33,AzureRegions!$A$4:$B$1493,1,FALSE)</f>
        <v>#N/A</v>
      </c>
      <c r="S33" s="3" t="e">
        <f>VLOOKUP(H33,AzureRegions!$A$4:$B$1493,2,FALSE)</f>
        <v>#N/A</v>
      </c>
      <c r="T33" s="3" t="e">
        <f>VLOOKUP(H33,AzureRegions!$A$4:$C$1493,3,FALSE)</f>
        <v>#N/A</v>
      </c>
      <c r="U33" s="3" t="e">
        <f>VLOOKUP(I33,Resources!$A$2:$AA$1503,2,FALSE)</f>
        <v>#N/A</v>
      </c>
      <c r="V33" s="3" t="e">
        <f>VLOOKUP(I33,Resources!$A$2:$H$1503,6,FALSE)</f>
        <v>#N/A</v>
      </c>
      <c r="W33" s="3" t="str">
        <f>VLOOKUP($H$2,Casing!$A$4:$A$60,1,FALSE)</f>
        <v>Lower</v>
      </c>
      <c r="X33" s="14" t="str">
        <f t="shared" si="1"/>
        <v>001</v>
      </c>
      <c r="Y33" s="3" t="str">
        <f>IFERROR(VLOOKUP(F33,Func!$A$4:$G$1500,2,FALSE),"none")</f>
        <v>none</v>
      </c>
      <c r="Z33" s="3" t="e">
        <f>VLOOKUP(I33,Resources!$A$2:$AA$1503,18,FALSE)</f>
        <v>#N/A</v>
      </c>
      <c r="AA33" s="3" t="str">
        <f>IFERROR(VLOOKUP(B33,Orgs!$A$4:$G$1500,2,FALSE),"none")</f>
        <v>none</v>
      </c>
      <c r="AB33" s="3" t="str">
        <f>IFERROR(VLOOKUP(C33,UnitsDepts!$A$4:$G$1500,2,FALSE),"none")</f>
        <v>none</v>
      </c>
      <c r="AC33" s="3" t="str">
        <f>IFERROR(VLOOKUP(D33,ProjAppSvc!$A$4:$G$1500,2,FALSE),"none")</f>
        <v>none</v>
      </c>
    </row>
    <row r="34" spans="1:29" x14ac:dyDescent="0.45">
      <c r="A34" s="14" t="s">
        <v>23</v>
      </c>
      <c r="B34" s="14"/>
      <c r="C34" s="14"/>
      <c r="D34" s="14"/>
      <c r="H34" s="8"/>
      <c r="I34" s="3"/>
      <c r="J34" s="3" t="str">
        <f t="shared" si="2"/>
        <v/>
      </c>
      <c r="K34" s="3" t="str">
        <f>IF(ISNUMBER(SEARCH("-",V34)),IFERROR(IF($H$2="Lower", LOWER(ComputeResourceName(Z34,#REF!,#REF!,G34,N34,O34,P34,Q34,S34,T34,V34,A34)), UPPER(ComputeResourceName(Z34,#REF!,#REF!,G34,N34,O34,P34,Q34,S34,T34,V34,A34))),""),SUBSTITUTE(IFERROR(IF($H$2="Lower", LOWER(ComputeResourceName(#REF!,#REF!,#REF!,G34,N34,O34,P34,Q34,S34,T34,V34,A34)), UPPER(ComputeResourceName(#REF!,#REF!,#REF!,G34,N34,O34,P34,Q34,S34,T34,V34,A34))),""), "-",""))</f>
        <v/>
      </c>
      <c r="L34" s="3" t="str">
        <f xml:space="preserve"> IF(K34="","",  IFERROR(VLOOKUP(I34,Resources!$B$1:$H$1503,5,FALSE)-LEN(K34),0))</f>
        <v/>
      </c>
      <c r="M34" s="3" t="str">
        <f>IF(K34="","",IFERROR(matches(K34,VLOOKUP(I34,Resources!$A$2:$AA$1503,16,FALSE)),FALSE))</f>
        <v/>
      </c>
      <c r="N34" s="3" t="e">
        <f>VLOOKUP(E34,Enviroments!$A$3:$D$59,1,FALSE)</f>
        <v>#N/A</v>
      </c>
      <c r="O34" s="3" t="e">
        <f>VLOOKUP(E34,Enviroments!$A$3:$D$59,2,FALSE)</f>
        <v>#N/A</v>
      </c>
      <c r="P34" s="3" t="e">
        <f>VLOOKUP(E34,Enviroments!$A$3:$D$59,3,FALSE)</f>
        <v>#N/A</v>
      </c>
      <c r="Q34" s="3" t="e">
        <f>VLOOKUP(E34,Enviroments!$A$3:$D$59,4,FALSE)</f>
        <v>#N/A</v>
      </c>
      <c r="R34" s="3" t="e">
        <f>VLOOKUP(H34,AzureRegions!$A$4:$B$1493,1,FALSE)</f>
        <v>#N/A</v>
      </c>
      <c r="S34" s="3" t="e">
        <f>VLOOKUP(H34,AzureRegions!$A$4:$B$1493,2,FALSE)</f>
        <v>#N/A</v>
      </c>
      <c r="T34" s="3" t="e">
        <f>VLOOKUP(H34,AzureRegions!$A$4:$C$1493,3,FALSE)</f>
        <v>#N/A</v>
      </c>
      <c r="U34" s="3" t="e">
        <f>VLOOKUP(I34,Resources!$A$2:$AA$1503,2,FALSE)</f>
        <v>#N/A</v>
      </c>
      <c r="V34" s="3" t="e">
        <f>VLOOKUP(I34,Resources!$A$2:$H$1503,6,FALSE)</f>
        <v>#N/A</v>
      </c>
      <c r="W34" s="3" t="str">
        <f>VLOOKUP($H$2,Casing!$A$4:$A$60,1,FALSE)</f>
        <v>Lower</v>
      </c>
      <c r="X34" s="14" t="str">
        <f t="shared" si="1"/>
        <v>001</v>
      </c>
      <c r="Y34" s="3" t="str">
        <f>IFERROR(VLOOKUP(F34,Func!$A$4:$G$1500,2,FALSE),"none")</f>
        <v>none</v>
      </c>
      <c r="Z34" s="3" t="e">
        <f>VLOOKUP(I34,Resources!$A$2:$AA$1503,18,FALSE)</f>
        <v>#N/A</v>
      </c>
      <c r="AA34" s="3" t="str">
        <f>IFERROR(VLOOKUP(B34,Orgs!$A$4:$G$1500,2,FALSE),"none")</f>
        <v>none</v>
      </c>
      <c r="AB34" s="3" t="str">
        <f>IFERROR(VLOOKUP(C34,UnitsDepts!$A$4:$G$1500,2,FALSE),"none")</f>
        <v>none</v>
      </c>
      <c r="AC34" s="3" t="str">
        <f>IFERROR(VLOOKUP(D34,ProjAppSvc!$A$4:$G$1500,2,FALSE),"none")</f>
        <v>none</v>
      </c>
    </row>
    <row r="35" spans="1:29" x14ac:dyDescent="0.45">
      <c r="A35" s="14" t="s">
        <v>23</v>
      </c>
      <c r="B35" s="14"/>
      <c r="C35" s="14"/>
      <c r="D35" s="14"/>
      <c r="H35" s="8"/>
      <c r="I35" s="3"/>
      <c r="J35" s="3" t="str">
        <f t="shared" si="2"/>
        <v/>
      </c>
      <c r="K35" s="3" t="str">
        <f>IF(ISNUMBER(SEARCH("-",V35)),IFERROR(IF($H$2="Lower", LOWER(ComputeResourceName(Z35,#REF!,#REF!,G35,N35,O35,P35,Q35,S35,T35,V35,A35)), UPPER(ComputeResourceName(Z35,#REF!,#REF!,G35,N35,O35,P35,Q35,S35,T35,V35,A35))),""),SUBSTITUTE(IFERROR(IF($H$2="Lower", LOWER(ComputeResourceName(#REF!,#REF!,#REF!,G35,N35,O35,P35,Q35,S35,T35,V35,A35)), UPPER(ComputeResourceName(#REF!,#REF!,#REF!,G35,N35,O35,P35,Q35,S35,T35,V35,A35))),""), "-",""))</f>
        <v/>
      </c>
      <c r="L35" s="3" t="str">
        <f xml:space="preserve"> IF(K35="","",  IFERROR(VLOOKUP(I35,Resources!$B$1:$H$1503,5,FALSE)-LEN(K35),0))</f>
        <v/>
      </c>
      <c r="M35" s="3" t="str">
        <f>IF(K35="","",IFERROR(matches(K35,VLOOKUP(I35,Resources!$A$2:$AA$1503,16,FALSE)),FALSE))</f>
        <v/>
      </c>
      <c r="N35" s="3" t="e">
        <f>VLOOKUP(E35,Enviroments!$A$3:$D$59,1,FALSE)</f>
        <v>#N/A</v>
      </c>
      <c r="O35" s="3" t="e">
        <f>VLOOKUP(E35,Enviroments!$A$3:$D$59,2,FALSE)</f>
        <v>#N/A</v>
      </c>
      <c r="P35" s="3" t="e">
        <f>VLOOKUP(E35,Enviroments!$A$3:$D$59,3,FALSE)</f>
        <v>#N/A</v>
      </c>
      <c r="Q35" s="3" t="e">
        <f>VLOOKUP(E35,Enviroments!$A$3:$D$59,4,FALSE)</f>
        <v>#N/A</v>
      </c>
      <c r="R35" s="3" t="e">
        <f>VLOOKUP(H35,AzureRegions!$A$4:$B$1493,1,FALSE)</f>
        <v>#N/A</v>
      </c>
      <c r="S35" s="3" t="e">
        <f>VLOOKUP(H35,AzureRegions!$A$4:$B$1493,2,FALSE)</f>
        <v>#N/A</v>
      </c>
      <c r="T35" s="3" t="e">
        <f>VLOOKUP(H35,AzureRegions!$A$4:$C$1493,3,FALSE)</f>
        <v>#N/A</v>
      </c>
      <c r="U35" s="3" t="e">
        <f>VLOOKUP(I35,Resources!$A$2:$AA$1503,2,FALSE)</f>
        <v>#N/A</v>
      </c>
      <c r="V35" s="3" t="e">
        <f>VLOOKUP(I35,Resources!$A$2:$H$1503,6,FALSE)</f>
        <v>#N/A</v>
      </c>
      <c r="W35" s="3" t="str">
        <f>VLOOKUP($H$2,Casing!$A$4:$A$60,1,FALSE)</f>
        <v>Lower</v>
      </c>
      <c r="X35" s="14" t="str">
        <f t="shared" si="1"/>
        <v>001</v>
      </c>
      <c r="Y35" s="3" t="str">
        <f>IFERROR(VLOOKUP(F35,Func!$A$4:$G$1500,2,FALSE),"none")</f>
        <v>none</v>
      </c>
      <c r="Z35" s="3" t="e">
        <f>VLOOKUP(I35,Resources!$A$2:$AA$1503,18,FALSE)</f>
        <v>#N/A</v>
      </c>
      <c r="AA35" s="3" t="str">
        <f>IFERROR(VLOOKUP(B35,Orgs!$A$4:$G$1500,2,FALSE),"none")</f>
        <v>none</v>
      </c>
      <c r="AB35" s="3" t="str">
        <f>IFERROR(VLOOKUP(C35,UnitsDepts!$A$4:$G$1500,2,FALSE),"none")</f>
        <v>none</v>
      </c>
      <c r="AC35" s="3" t="str">
        <f>IFERROR(VLOOKUP(D35,ProjAppSvc!$A$4:$G$1500,2,FALSE),"none")</f>
        <v>none</v>
      </c>
    </row>
    <row r="36" spans="1:29" x14ac:dyDescent="0.45">
      <c r="A36" s="14" t="s">
        <v>23</v>
      </c>
      <c r="B36" s="14"/>
      <c r="C36" s="14"/>
      <c r="D36" s="14"/>
      <c r="H36" s="8"/>
      <c r="I36" s="3"/>
      <c r="J36" s="3" t="str">
        <f t="shared" si="2"/>
        <v/>
      </c>
      <c r="K36" s="3" t="str">
        <f>IF(ISNUMBER(SEARCH("-",V36)),IFERROR(IF($H$2="Lower", LOWER(ComputeResourceName(Z36,#REF!,#REF!,G36,N36,O36,P36,Q36,S36,T36,V36,A36)), UPPER(ComputeResourceName(Z36,#REF!,#REF!,G36,N36,O36,P36,Q36,S36,T36,V36,A36))),""),SUBSTITUTE(IFERROR(IF($H$2="Lower", LOWER(ComputeResourceName(#REF!,#REF!,#REF!,G36,N36,O36,P36,Q36,S36,T36,V36,A36)), UPPER(ComputeResourceName(#REF!,#REF!,#REF!,G36,N36,O36,P36,Q36,S36,T36,V36,A36))),""), "-",""))</f>
        <v/>
      </c>
      <c r="L36" s="3" t="str">
        <f xml:space="preserve"> IF(K36="","",  IFERROR(VLOOKUP(I36,Resources!$B$1:$H$1503,5,FALSE)-LEN(K36),0))</f>
        <v/>
      </c>
      <c r="M36" s="3" t="str">
        <f>IF(K36="","",IFERROR(matches(K36,VLOOKUP(I36,Resources!$A$2:$AA$1503,16,FALSE)),FALSE))</f>
        <v/>
      </c>
      <c r="N36" s="3" t="e">
        <f>VLOOKUP(E36,Enviroments!$A$3:$D$59,1,FALSE)</f>
        <v>#N/A</v>
      </c>
      <c r="O36" s="3" t="e">
        <f>VLOOKUP(E36,Enviroments!$A$3:$D$59,2,FALSE)</f>
        <v>#N/A</v>
      </c>
      <c r="P36" s="3" t="e">
        <f>VLOOKUP(E36,Enviroments!$A$3:$D$59,3,FALSE)</f>
        <v>#N/A</v>
      </c>
      <c r="Q36" s="3" t="e">
        <f>VLOOKUP(E36,Enviroments!$A$3:$D$59,4,FALSE)</f>
        <v>#N/A</v>
      </c>
      <c r="R36" s="3" t="e">
        <f>VLOOKUP(H36,AzureRegions!$A$4:$B$1493,1,FALSE)</f>
        <v>#N/A</v>
      </c>
      <c r="S36" s="3" t="e">
        <f>VLOOKUP(H36,AzureRegions!$A$4:$B$1493,2,FALSE)</f>
        <v>#N/A</v>
      </c>
      <c r="T36" s="3" t="e">
        <f>VLOOKUP(H36,AzureRegions!$A$4:$C$1493,3,FALSE)</f>
        <v>#N/A</v>
      </c>
      <c r="U36" s="3" t="e">
        <f>VLOOKUP(I36,Resources!$A$2:$AA$1503,2,FALSE)</f>
        <v>#N/A</v>
      </c>
      <c r="V36" s="3" t="e">
        <f>VLOOKUP(I36,Resources!$A$2:$H$1503,6,FALSE)</f>
        <v>#N/A</v>
      </c>
      <c r="W36" s="3" t="str">
        <f>VLOOKUP($H$2,Casing!$A$4:$A$60,1,FALSE)</f>
        <v>Lower</v>
      </c>
      <c r="X36" s="14" t="str">
        <f t="shared" si="1"/>
        <v>001</v>
      </c>
      <c r="Y36" s="3" t="str">
        <f>IFERROR(VLOOKUP(F36,Func!$A$4:$G$1500,2,FALSE),"none")</f>
        <v>none</v>
      </c>
      <c r="Z36" s="3" t="e">
        <f>VLOOKUP(I36,Resources!$A$2:$AA$1503,18,FALSE)</f>
        <v>#N/A</v>
      </c>
      <c r="AA36" s="3" t="str">
        <f>IFERROR(VLOOKUP(B36,Orgs!$A$4:$G$1500,2,FALSE),"none")</f>
        <v>none</v>
      </c>
      <c r="AB36" s="3" t="str">
        <f>IFERROR(VLOOKUP(C36,UnitsDepts!$A$4:$G$1500,2,FALSE),"none")</f>
        <v>none</v>
      </c>
      <c r="AC36" s="3" t="str">
        <f>IFERROR(VLOOKUP(D36,ProjAppSvc!$A$4:$G$1500,2,FALSE),"none")</f>
        <v>none</v>
      </c>
    </row>
    <row r="37" spans="1:29" x14ac:dyDescent="0.45">
      <c r="A37" s="14" t="s">
        <v>23</v>
      </c>
      <c r="B37" s="14"/>
      <c r="C37" s="14"/>
      <c r="D37" s="14"/>
      <c r="H37" s="8"/>
      <c r="I37" s="3"/>
      <c r="J37" s="3" t="str">
        <f t="shared" si="2"/>
        <v/>
      </c>
      <c r="K37" s="3" t="str">
        <f>IF(ISNUMBER(SEARCH("-",V37)),IFERROR(IF($H$2="Lower", LOWER(ComputeResourceName(Z37,#REF!,#REF!,G37,N37,O37,P37,Q37,S37,T37,V37,A37)), UPPER(ComputeResourceName(Z37,#REF!,#REF!,G37,N37,O37,P37,Q37,S37,T37,V37,A37))),""),SUBSTITUTE(IFERROR(IF($H$2="Lower", LOWER(ComputeResourceName(#REF!,#REF!,#REF!,G37,N37,O37,P37,Q37,S37,T37,V37,A37)), UPPER(ComputeResourceName(#REF!,#REF!,#REF!,G37,N37,O37,P37,Q37,S37,T37,V37,A37))),""), "-",""))</f>
        <v/>
      </c>
      <c r="L37" s="3" t="str">
        <f xml:space="preserve"> IF(K37="","",  IFERROR(VLOOKUP(I37,Resources!$B$1:$H$1503,5,FALSE)-LEN(K37),0))</f>
        <v/>
      </c>
      <c r="M37" s="3" t="str">
        <f>IF(K37="","",IFERROR(matches(K37,VLOOKUP(I37,Resources!$A$2:$AA$1503,16,FALSE)),FALSE))</f>
        <v/>
      </c>
      <c r="N37" s="3" t="e">
        <f>VLOOKUP(E37,Enviroments!$A$3:$D$59,1,FALSE)</f>
        <v>#N/A</v>
      </c>
      <c r="O37" s="3" t="e">
        <f>VLOOKUP(E37,Enviroments!$A$3:$D$59,2,FALSE)</f>
        <v>#N/A</v>
      </c>
      <c r="P37" s="3" t="e">
        <f>VLOOKUP(E37,Enviroments!$A$3:$D$59,3,FALSE)</f>
        <v>#N/A</v>
      </c>
      <c r="Q37" s="3" t="e">
        <f>VLOOKUP(E37,Enviroments!$A$3:$D$59,4,FALSE)</f>
        <v>#N/A</v>
      </c>
      <c r="R37" s="3" t="e">
        <f>VLOOKUP(H37,AzureRegions!$A$4:$B$1493,1,FALSE)</f>
        <v>#N/A</v>
      </c>
      <c r="S37" s="3" t="e">
        <f>VLOOKUP(H37,AzureRegions!$A$4:$B$1493,2,FALSE)</f>
        <v>#N/A</v>
      </c>
      <c r="T37" s="3" t="e">
        <f>VLOOKUP(H37,AzureRegions!$A$4:$C$1493,3,FALSE)</f>
        <v>#N/A</v>
      </c>
      <c r="U37" s="3" t="e">
        <f>VLOOKUP(I37,Resources!$A$2:$AA$1503,2,FALSE)</f>
        <v>#N/A</v>
      </c>
      <c r="V37" s="3" t="e">
        <f>VLOOKUP(I37,Resources!$A$2:$H$1503,6,FALSE)</f>
        <v>#N/A</v>
      </c>
      <c r="W37" s="3" t="str">
        <f>VLOOKUP($H$2,Casing!$A$4:$A$60,1,FALSE)</f>
        <v>Lower</v>
      </c>
      <c r="X37" s="14" t="str">
        <f t="shared" si="1"/>
        <v>001</v>
      </c>
      <c r="Y37" s="3" t="str">
        <f>IFERROR(VLOOKUP(F37,Func!$A$4:$G$1500,2,FALSE),"none")</f>
        <v>none</v>
      </c>
      <c r="Z37" s="3" t="e">
        <f>VLOOKUP(I37,Resources!$A$2:$AA$1503,18,FALSE)</f>
        <v>#N/A</v>
      </c>
      <c r="AA37" s="3" t="str">
        <f>IFERROR(VLOOKUP(B37,Orgs!$A$4:$G$1500,2,FALSE),"none")</f>
        <v>none</v>
      </c>
      <c r="AB37" s="3" t="str">
        <f>IFERROR(VLOOKUP(C37,UnitsDepts!$A$4:$G$1500,2,FALSE),"none")</f>
        <v>none</v>
      </c>
      <c r="AC37" s="3" t="str">
        <f>IFERROR(VLOOKUP(D37,ProjAppSvc!$A$4:$G$1500,2,FALSE),"none")</f>
        <v>none</v>
      </c>
    </row>
    <row r="38" spans="1:29" x14ac:dyDescent="0.45">
      <c r="A38" s="14" t="s">
        <v>23</v>
      </c>
      <c r="B38" s="14"/>
      <c r="C38" s="14"/>
      <c r="D38" s="14"/>
      <c r="H38" s="8"/>
      <c r="I38" s="3"/>
      <c r="J38" s="3" t="str">
        <f t="shared" si="2"/>
        <v/>
      </c>
      <c r="K38" s="3" t="str">
        <f>IF(ISNUMBER(SEARCH("-",V38)),IFERROR(IF($H$2="Lower", LOWER(ComputeResourceName(Z38,#REF!,#REF!,G38,N38,O38,P38,Q38,S38,T38,V38,A38)), UPPER(ComputeResourceName(Z38,#REF!,#REF!,G38,N38,O38,P38,Q38,S38,T38,V38,A38))),""),SUBSTITUTE(IFERROR(IF($H$2="Lower", LOWER(ComputeResourceName(#REF!,#REF!,#REF!,G38,N38,O38,P38,Q38,S38,T38,V38,A38)), UPPER(ComputeResourceName(#REF!,#REF!,#REF!,G38,N38,O38,P38,Q38,S38,T38,V38,A38))),""), "-",""))</f>
        <v/>
      </c>
      <c r="L38" s="3" t="str">
        <f xml:space="preserve"> IF(K38="","",  IFERROR(VLOOKUP(I38,Resources!$B$1:$H$1503,5,FALSE)-LEN(K38),0))</f>
        <v/>
      </c>
      <c r="M38" s="3" t="str">
        <f>IF(K38="","",IFERROR(matches(K38,VLOOKUP(I38,Resources!$A$2:$AA$1503,16,FALSE)),FALSE))</f>
        <v/>
      </c>
      <c r="N38" s="3" t="e">
        <f>VLOOKUP(E38,Enviroments!$A$3:$D$59,1,FALSE)</f>
        <v>#N/A</v>
      </c>
      <c r="O38" s="3" t="e">
        <f>VLOOKUP(E38,Enviroments!$A$3:$D$59,2,FALSE)</f>
        <v>#N/A</v>
      </c>
      <c r="P38" s="3" t="e">
        <f>VLOOKUP(E38,Enviroments!$A$3:$D$59,3,FALSE)</f>
        <v>#N/A</v>
      </c>
      <c r="Q38" s="3" t="e">
        <f>VLOOKUP(E38,Enviroments!$A$3:$D$59,4,FALSE)</f>
        <v>#N/A</v>
      </c>
      <c r="R38" s="3" t="e">
        <f>VLOOKUP(H38,AzureRegions!$A$4:$B$1493,1,FALSE)</f>
        <v>#N/A</v>
      </c>
      <c r="S38" s="3" t="e">
        <f>VLOOKUP(H38,AzureRegions!$A$4:$B$1493,2,FALSE)</f>
        <v>#N/A</v>
      </c>
      <c r="T38" s="3" t="e">
        <f>VLOOKUP(H38,AzureRegions!$A$4:$C$1493,3,FALSE)</f>
        <v>#N/A</v>
      </c>
      <c r="U38" s="3" t="e">
        <f>VLOOKUP(I38,Resources!$A$2:$AA$1503,2,FALSE)</f>
        <v>#N/A</v>
      </c>
      <c r="V38" s="3" t="e">
        <f>VLOOKUP(I38,Resources!$A$2:$H$1503,6,FALSE)</f>
        <v>#N/A</v>
      </c>
      <c r="W38" s="3" t="str">
        <f>VLOOKUP($H$2,Casing!$A$4:$A$60,1,FALSE)</f>
        <v>Lower</v>
      </c>
      <c r="X38" s="14" t="str">
        <f t="shared" si="1"/>
        <v>001</v>
      </c>
      <c r="Y38" s="3" t="str">
        <f>IFERROR(VLOOKUP(F38,Func!$A$4:$G$1500,2,FALSE),"none")</f>
        <v>none</v>
      </c>
      <c r="Z38" s="3" t="e">
        <f>VLOOKUP(I38,Resources!$A$2:$AA$1503,18,FALSE)</f>
        <v>#N/A</v>
      </c>
      <c r="AA38" s="3" t="str">
        <f>IFERROR(VLOOKUP(B38,Orgs!$A$4:$G$1500,2,FALSE),"none")</f>
        <v>none</v>
      </c>
      <c r="AB38" s="3" t="str">
        <f>IFERROR(VLOOKUP(C38,UnitsDepts!$A$4:$G$1500,2,FALSE),"none")</f>
        <v>none</v>
      </c>
      <c r="AC38" s="3" t="str">
        <f>IFERROR(VLOOKUP(D38,ProjAppSvc!$A$4:$G$1500,2,FALSE),"none")</f>
        <v>none</v>
      </c>
    </row>
    <row r="39" spans="1:29" x14ac:dyDescent="0.45">
      <c r="A39" s="14" t="s">
        <v>23</v>
      </c>
      <c r="B39" s="14"/>
      <c r="C39" s="14"/>
      <c r="D39" s="14"/>
      <c r="H39" s="8"/>
      <c r="I39" s="3"/>
      <c r="J39" s="3" t="str">
        <f t="shared" si="2"/>
        <v/>
      </c>
      <c r="K39" s="3" t="str">
        <f>IF(ISNUMBER(SEARCH("-",V39)),IFERROR(IF($H$2="Lower", LOWER(ComputeResourceName(Z39,#REF!,#REF!,G39,N39,O39,P39,Q39,S39,T39,V39,A39)), UPPER(ComputeResourceName(Z39,#REF!,#REF!,G39,N39,O39,P39,Q39,S39,T39,V39,A39))),""),SUBSTITUTE(IFERROR(IF($H$2="Lower", LOWER(ComputeResourceName(#REF!,#REF!,#REF!,G39,N39,O39,P39,Q39,S39,T39,V39,A39)), UPPER(ComputeResourceName(#REF!,#REF!,#REF!,G39,N39,O39,P39,Q39,S39,T39,V39,A39))),""), "-",""))</f>
        <v/>
      </c>
      <c r="L39" s="3" t="str">
        <f xml:space="preserve"> IF(K39="","",  IFERROR(VLOOKUP(I39,Resources!$B$1:$H$1503,5,FALSE)-LEN(K39),0))</f>
        <v/>
      </c>
      <c r="M39" s="3" t="str">
        <f>IF(K39="","",IFERROR(matches(K39,VLOOKUP(I39,Resources!$A$2:$AA$1503,16,FALSE)),FALSE))</f>
        <v/>
      </c>
      <c r="N39" s="3" t="e">
        <f>VLOOKUP(E39,Enviroments!$A$3:$D$59,1,FALSE)</f>
        <v>#N/A</v>
      </c>
      <c r="O39" s="3" t="e">
        <f>VLOOKUP(E39,Enviroments!$A$3:$D$59,2,FALSE)</f>
        <v>#N/A</v>
      </c>
      <c r="P39" s="3" t="e">
        <f>VLOOKUP(E39,Enviroments!$A$3:$D$59,3,FALSE)</f>
        <v>#N/A</v>
      </c>
      <c r="Q39" s="3" t="e">
        <f>VLOOKUP(E39,Enviroments!$A$3:$D$59,4,FALSE)</f>
        <v>#N/A</v>
      </c>
      <c r="R39" s="3" t="e">
        <f>VLOOKUP(H39,AzureRegions!$A$4:$B$1493,1,FALSE)</f>
        <v>#N/A</v>
      </c>
      <c r="S39" s="3" t="e">
        <f>VLOOKUP(H39,AzureRegions!$A$4:$B$1493,2,FALSE)</f>
        <v>#N/A</v>
      </c>
      <c r="T39" s="3" t="e">
        <f>VLOOKUP(H39,AzureRegions!$A$4:$C$1493,3,FALSE)</f>
        <v>#N/A</v>
      </c>
      <c r="U39" s="3" t="e">
        <f>VLOOKUP(I39,Resources!$A$2:$AA$1503,2,FALSE)</f>
        <v>#N/A</v>
      </c>
      <c r="V39" s="3" t="e">
        <f>VLOOKUP(I39,Resources!$A$2:$H$1503,6,FALSE)</f>
        <v>#N/A</v>
      </c>
      <c r="W39" s="3" t="str">
        <f>VLOOKUP($H$2,Casing!$A$4:$A$60,1,FALSE)</f>
        <v>Lower</v>
      </c>
      <c r="X39" s="14" t="str">
        <f t="shared" si="1"/>
        <v>001</v>
      </c>
      <c r="Y39" s="3" t="str">
        <f>IFERROR(VLOOKUP(F39,Func!$A$4:$G$1500,2,FALSE),"none")</f>
        <v>none</v>
      </c>
      <c r="Z39" s="3" t="e">
        <f>VLOOKUP(I39,Resources!$A$2:$AA$1503,18,FALSE)</f>
        <v>#N/A</v>
      </c>
      <c r="AA39" s="3" t="str">
        <f>IFERROR(VLOOKUP(B39,Orgs!$A$4:$G$1500,2,FALSE),"none")</f>
        <v>none</v>
      </c>
      <c r="AB39" s="3" t="str">
        <f>IFERROR(VLOOKUP(C39,UnitsDepts!$A$4:$G$1500,2,FALSE),"none")</f>
        <v>none</v>
      </c>
      <c r="AC39" s="3" t="str">
        <f>IFERROR(VLOOKUP(D39,ProjAppSvc!$A$4:$G$1500,2,FALSE),"none")</f>
        <v>none</v>
      </c>
    </row>
    <row r="40" spans="1:29" x14ac:dyDescent="0.45">
      <c r="A40" s="14" t="s">
        <v>23</v>
      </c>
      <c r="B40" s="14"/>
      <c r="C40" s="14"/>
      <c r="D40" s="14"/>
      <c r="H40" s="8"/>
      <c r="I40" s="3"/>
      <c r="J40" s="3" t="str">
        <f t="shared" si="2"/>
        <v/>
      </c>
      <c r="K40" s="3" t="str">
        <f>IF(ISNUMBER(SEARCH("-",V40)),IFERROR(IF($H$2="Lower", LOWER(ComputeResourceName(Z40,#REF!,#REF!,G40,N40,O40,P40,Q40,S40,T40,V40,A40)), UPPER(ComputeResourceName(Z40,#REF!,#REF!,G40,N40,O40,P40,Q40,S40,T40,V40,A40))),""),SUBSTITUTE(IFERROR(IF($H$2="Lower", LOWER(ComputeResourceName(#REF!,#REF!,#REF!,G40,N40,O40,P40,Q40,S40,T40,V40,A40)), UPPER(ComputeResourceName(#REF!,#REF!,#REF!,G40,N40,O40,P40,Q40,S40,T40,V40,A40))),""), "-",""))</f>
        <v/>
      </c>
      <c r="L40" s="3" t="str">
        <f xml:space="preserve"> IF(K40="","",  IFERROR(VLOOKUP(I40,Resources!$B$1:$H$1503,5,FALSE)-LEN(K40),0))</f>
        <v/>
      </c>
      <c r="M40" s="3" t="str">
        <f>IF(K40="","",IFERROR(matches(K40,VLOOKUP(I40,Resources!$A$2:$AA$1503,16,FALSE)),FALSE))</f>
        <v/>
      </c>
      <c r="N40" s="3" t="e">
        <f>VLOOKUP(E40,Enviroments!$A$3:$D$59,1,FALSE)</f>
        <v>#N/A</v>
      </c>
      <c r="O40" s="3" t="e">
        <f>VLOOKUP(E40,Enviroments!$A$3:$D$59,2,FALSE)</f>
        <v>#N/A</v>
      </c>
      <c r="P40" s="3" t="e">
        <f>VLOOKUP(E40,Enviroments!$A$3:$D$59,3,FALSE)</f>
        <v>#N/A</v>
      </c>
      <c r="Q40" s="3" t="e">
        <f>VLOOKUP(E40,Enviroments!$A$3:$D$59,4,FALSE)</f>
        <v>#N/A</v>
      </c>
      <c r="R40" s="3" t="e">
        <f>VLOOKUP(H40,AzureRegions!$A$4:$B$1493,1,FALSE)</f>
        <v>#N/A</v>
      </c>
      <c r="S40" s="3" t="e">
        <f>VLOOKUP(H40,AzureRegions!$A$4:$B$1493,2,FALSE)</f>
        <v>#N/A</v>
      </c>
      <c r="T40" s="3" t="e">
        <f>VLOOKUP(H40,AzureRegions!$A$4:$C$1493,3,FALSE)</f>
        <v>#N/A</v>
      </c>
      <c r="U40" s="3" t="e">
        <f>VLOOKUP(I40,Resources!$A$2:$AA$1503,2,FALSE)</f>
        <v>#N/A</v>
      </c>
      <c r="V40" s="3" t="e">
        <f>VLOOKUP(I40,Resources!$A$2:$H$1503,6,FALSE)</f>
        <v>#N/A</v>
      </c>
      <c r="W40" s="3" t="str">
        <f>VLOOKUP($H$2,Casing!$A$4:$A$60,1,FALSE)</f>
        <v>Lower</v>
      </c>
      <c r="X40" s="14" t="str">
        <f t="shared" si="1"/>
        <v>001</v>
      </c>
      <c r="Y40" s="3" t="str">
        <f>IFERROR(VLOOKUP(F40,Func!$A$4:$G$1500,2,FALSE),"none")</f>
        <v>none</v>
      </c>
      <c r="Z40" s="3" t="e">
        <f>VLOOKUP(I40,Resources!$A$2:$AA$1503,18,FALSE)</f>
        <v>#N/A</v>
      </c>
      <c r="AA40" s="3" t="str">
        <f>IFERROR(VLOOKUP(B40,Orgs!$A$4:$G$1500,2,FALSE),"none")</f>
        <v>none</v>
      </c>
      <c r="AB40" s="3" t="str">
        <f>IFERROR(VLOOKUP(C40,UnitsDepts!$A$4:$G$1500,2,FALSE),"none")</f>
        <v>none</v>
      </c>
      <c r="AC40" s="3" t="str">
        <f>IFERROR(VLOOKUP(D40,ProjAppSvc!$A$4:$G$1500,2,FALSE),"none")</f>
        <v>none</v>
      </c>
    </row>
    <row r="41" spans="1:29" x14ac:dyDescent="0.45">
      <c r="A41" s="14" t="s">
        <v>23</v>
      </c>
      <c r="B41" s="14"/>
      <c r="C41" s="14"/>
      <c r="D41" s="14"/>
      <c r="H41" s="8"/>
      <c r="I41" s="3"/>
      <c r="J41" s="3" t="str">
        <f t="shared" si="2"/>
        <v/>
      </c>
      <c r="K41" s="3" t="str">
        <f>IF(ISNUMBER(SEARCH("-",V41)),IFERROR(IF($H$2="Lower", LOWER(ComputeResourceName(Z41,#REF!,#REF!,G41,N41,O41,P41,Q41,S41,T41,V41,A41)), UPPER(ComputeResourceName(Z41,#REF!,#REF!,G41,N41,O41,P41,Q41,S41,T41,V41,A41))),""),SUBSTITUTE(IFERROR(IF($H$2="Lower", LOWER(ComputeResourceName(#REF!,#REF!,#REF!,G41,N41,O41,P41,Q41,S41,T41,V41,A41)), UPPER(ComputeResourceName(#REF!,#REF!,#REF!,G41,N41,O41,P41,Q41,S41,T41,V41,A41))),""), "-",""))</f>
        <v/>
      </c>
      <c r="L41" s="3" t="str">
        <f xml:space="preserve"> IF(K41="","",  IFERROR(VLOOKUP(I41,Resources!$B$1:$H$1503,5,FALSE)-LEN(K41),0))</f>
        <v/>
      </c>
      <c r="M41" s="3" t="str">
        <f>IF(K41="","",IFERROR(matches(K41,VLOOKUP(I41,Resources!$A$2:$AA$1503,16,FALSE)),FALSE))</f>
        <v/>
      </c>
      <c r="N41" s="3" t="e">
        <f>VLOOKUP(E41,Enviroments!$A$3:$D$59,1,FALSE)</f>
        <v>#N/A</v>
      </c>
      <c r="O41" s="3" t="e">
        <f>VLOOKUP(E41,Enviroments!$A$3:$D$59,2,FALSE)</f>
        <v>#N/A</v>
      </c>
      <c r="P41" s="3" t="e">
        <f>VLOOKUP(E41,Enviroments!$A$3:$D$59,3,FALSE)</f>
        <v>#N/A</v>
      </c>
      <c r="Q41" s="3" t="e">
        <f>VLOOKUP(E41,Enviroments!$A$3:$D$59,4,FALSE)</f>
        <v>#N/A</v>
      </c>
      <c r="R41" s="3" t="e">
        <f>VLOOKUP(H41,AzureRegions!$A$4:$B$1493,1,FALSE)</f>
        <v>#N/A</v>
      </c>
      <c r="S41" s="3" t="e">
        <f>VLOOKUP(H41,AzureRegions!$A$4:$B$1493,2,FALSE)</f>
        <v>#N/A</v>
      </c>
      <c r="T41" s="3" t="e">
        <f>VLOOKUP(H41,AzureRegions!$A$4:$C$1493,3,FALSE)</f>
        <v>#N/A</v>
      </c>
      <c r="U41" s="3" t="e">
        <f>VLOOKUP(I41,Resources!$A$2:$AA$1503,2,FALSE)</f>
        <v>#N/A</v>
      </c>
      <c r="V41" s="3" t="e">
        <f>VLOOKUP(I41,Resources!$A$2:$H$1503,6,FALSE)</f>
        <v>#N/A</v>
      </c>
      <c r="W41" s="3" t="str">
        <f>VLOOKUP($H$2,Casing!$A$4:$A$60,1,FALSE)</f>
        <v>Lower</v>
      </c>
      <c r="X41" s="14" t="str">
        <f t="shared" si="1"/>
        <v>001</v>
      </c>
      <c r="Y41" s="3" t="str">
        <f>IFERROR(VLOOKUP(F41,Func!$A$4:$G$1500,2,FALSE),"none")</f>
        <v>none</v>
      </c>
      <c r="Z41" s="3" t="e">
        <f>VLOOKUP(I41,Resources!$A$2:$AA$1503,18,FALSE)</f>
        <v>#N/A</v>
      </c>
      <c r="AA41" s="3" t="str">
        <f>IFERROR(VLOOKUP(B41,Orgs!$A$4:$G$1500,2,FALSE),"none")</f>
        <v>none</v>
      </c>
      <c r="AB41" s="3" t="str">
        <f>IFERROR(VLOOKUP(C41,UnitsDepts!$A$4:$G$1500,2,FALSE),"none")</f>
        <v>none</v>
      </c>
      <c r="AC41" s="3" t="str">
        <f>IFERROR(VLOOKUP(D41,ProjAppSvc!$A$4:$G$1500,2,FALSE),"none")</f>
        <v>none</v>
      </c>
    </row>
    <row r="42" spans="1:29" x14ac:dyDescent="0.45">
      <c r="A42" s="14" t="s">
        <v>23</v>
      </c>
      <c r="B42" s="14"/>
      <c r="C42" s="14"/>
      <c r="D42" s="14"/>
      <c r="H42" s="8"/>
      <c r="I42" s="3"/>
      <c r="J42" s="3" t="str">
        <f t="shared" si="2"/>
        <v/>
      </c>
      <c r="K42" s="3" t="str">
        <f>IF(ISNUMBER(SEARCH("-",V42)),IFERROR(IF($H$2="Lower", LOWER(ComputeResourceName(Z42,#REF!,#REF!,G42,N42,O42,P42,Q42,S42,T42,V42,A42)), UPPER(ComputeResourceName(Z42,#REF!,#REF!,G42,N42,O42,P42,Q42,S42,T42,V42,A42))),""),SUBSTITUTE(IFERROR(IF($H$2="Lower", LOWER(ComputeResourceName(#REF!,#REF!,#REF!,G42,N42,O42,P42,Q42,S42,T42,V42,A42)), UPPER(ComputeResourceName(#REF!,#REF!,#REF!,G42,N42,O42,P42,Q42,S42,T42,V42,A42))),""), "-",""))</f>
        <v/>
      </c>
      <c r="L42" s="3" t="str">
        <f xml:space="preserve"> IF(K42="","",  IFERROR(VLOOKUP(I42,Resources!$B$1:$H$1503,5,FALSE)-LEN(K42),0))</f>
        <v/>
      </c>
      <c r="M42" s="3" t="str">
        <f>IF(K42="","",IFERROR(matches(K42,VLOOKUP(I42,Resources!$A$2:$AA$1503,16,FALSE)),FALSE))</f>
        <v/>
      </c>
      <c r="N42" s="3" t="e">
        <f>VLOOKUP(E42,Enviroments!$A$3:$D$59,1,FALSE)</f>
        <v>#N/A</v>
      </c>
      <c r="O42" s="3" t="e">
        <f>VLOOKUP(E42,Enviroments!$A$3:$D$59,2,FALSE)</f>
        <v>#N/A</v>
      </c>
      <c r="P42" s="3" t="e">
        <f>VLOOKUP(E42,Enviroments!$A$3:$D$59,3,FALSE)</f>
        <v>#N/A</v>
      </c>
      <c r="Q42" s="3" t="e">
        <f>VLOOKUP(E42,Enviroments!$A$3:$D$59,4,FALSE)</f>
        <v>#N/A</v>
      </c>
      <c r="R42" s="3" t="e">
        <f>VLOOKUP(H42,AzureRegions!$A$4:$B$1493,1,FALSE)</f>
        <v>#N/A</v>
      </c>
      <c r="S42" s="3" t="e">
        <f>VLOOKUP(H42,AzureRegions!$A$4:$B$1493,2,FALSE)</f>
        <v>#N/A</v>
      </c>
      <c r="T42" s="3" t="e">
        <f>VLOOKUP(H42,AzureRegions!$A$4:$C$1493,3,FALSE)</f>
        <v>#N/A</v>
      </c>
      <c r="U42" s="3" t="e">
        <f>VLOOKUP(I42,Resources!$A$2:$AA$1503,2,FALSE)</f>
        <v>#N/A</v>
      </c>
      <c r="V42" s="3" t="e">
        <f>VLOOKUP(I42,Resources!$A$2:$H$1503,6,FALSE)</f>
        <v>#N/A</v>
      </c>
      <c r="W42" s="3" t="str">
        <f>VLOOKUP($H$2,Casing!$A$4:$A$60,1,FALSE)</f>
        <v>Lower</v>
      </c>
      <c r="X42" s="14" t="str">
        <f t="shared" si="1"/>
        <v>001</v>
      </c>
      <c r="Y42" s="3" t="str">
        <f>IFERROR(VLOOKUP(F42,Func!$A$4:$G$1500,2,FALSE),"none")</f>
        <v>none</v>
      </c>
      <c r="Z42" s="3" t="e">
        <f>VLOOKUP(I42,Resources!$A$2:$AA$1503,18,FALSE)</f>
        <v>#N/A</v>
      </c>
      <c r="AA42" s="3" t="str">
        <f>IFERROR(VLOOKUP(B42,Orgs!$A$4:$G$1500,2,FALSE),"none")</f>
        <v>none</v>
      </c>
      <c r="AB42" s="3" t="str">
        <f>IFERROR(VLOOKUP(C42,UnitsDepts!$A$4:$G$1500,2,FALSE),"none")</f>
        <v>none</v>
      </c>
      <c r="AC42" s="3" t="str">
        <f>IFERROR(VLOOKUP(D42,ProjAppSvc!$A$4:$G$1500,2,FALSE),"none")</f>
        <v>none</v>
      </c>
    </row>
    <row r="43" spans="1:29" x14ac:dyDescent="0.45">
      <c r="A43" s="14" t="s">
        <v>23</v>
      </c>
      <c r="B43" s="14"/>
      <c r="C43" s="14"/>
      <c r="D43" s="14"/>
      <c r="H43" s="8"/>
      <c r="I43" s="3"/>
      <c r="J43" s="3" t="str">
        <f t="shared" si="2"/>
        <v/>
      </c>
      <c r="K43" s="3" t="str">
        <f>IF(ISNUMBER(SEARCH("-",V43)),IFERROR(IF($H$2="Lower", LOWER(ComputeResourceName(Z43,#REF!,#REF!,G43,N43,O43,P43,Q43,S43,T43,V43,A43)), UPPER(ComputeResourceName(Z43,#REF!,#REF!,G43,N43,O43,P43,Q43,S43,T43,V43,A43))),""),SUBSTITUTE(IFERROR(IF($H$2="Lower", LOWER(ComputeResourceName(#REF!,#REF!,#REF!,G43,N43,O43,P43,Q43,S43,T43,V43,A43)), UPPER(ComputeResourceName(#REF!,#REF!,#REF!,G43,N43,O43,P43,Q43,S43,T43,V43,A43))),""), "-",""))</f>
        <v/>
      </c>
      <c r="L43" s="3" t="str">
        <f xml:space="preserve"> IF(K43="","",  IFERROR(VLOOKUP(I43,Resources!$B$1:$H$1503,5,FALSE)-LEN(K43),0))</f>
        <v/>
      </c>
      <c r="M43" s="3" t="str">
        <f>IF(K43="","",IFERROR(matches(K43,VLOOKUP(I43,Resources!$A$2:$AA$1503,16,FALSE)),FALSE))</f>
        <v/>
      </c>
      <c r="N43" s="3" t="e">
        <f>VLOOKUP(E43,Enviroments!$A$3:$D$59,1,FALSE)</f>
        <v>#N/A</v>
      </c>
      <c r="O43" s="3" t="e">
        <f>VLOOKUP(E43,Enviroments!$A$3:$D$59,2,FALSE)</f>
        <v>#N/A</v>
      </c>
      <c r="P43" s="3" t="e">
        <f>VLOOKUP(E43,Enviroments!$A$3:$D$59,3,FALSE)</f>
        <v>#N/A</v>
      </c>
      <c r="Q43" s="3" t="e">
        <f>VLOOKUP(E43,Enviroments!$A$3:$D$59,4,FALSE)</f>
        <v>#N/A</v>
      </c>
      <c r="R43" s="3" t="e">
        <f>VLOOKUP(H43,AzureRegions!$A$4:$B$1493,1,FALSE)</f>
        <v>#N/A</v>
      </c>
      <c r="S43" s="3" t="e">
        <f>VLOOKUP(H43,AzureRegions!$A$4:$B$1493,2,FALSE)</f>
        <v>#N/A</v>
      </c>
      <c r="T43" s="3" t="e">
        <f>VLOOKUP(H43,AzureRegions!$A$4:$C$1493,3,FALSE)</f>
        <v>#N/A</v>
      </c>
      <c r="U43" s="3" t="e">
        <f>VLOOKUP(I43,Resources!$A$2:$AA$1503,2,FALSE)</f>
        <v>#N/A</v>
      </c>
      <c r="V43" s="3" t="e">
        <f>VLOOKUP(I43,Resources!$A$2:$H$1503,6,FALSE)</f>
        <v>#N/A</v>
      </c>
      <c r="W43" s="3" t="str">
        <f>VLOOKUP($H$2,Casing!$A$4:$A$60,1,FALSE)</f>
        <v>Lower</v>
      </c>
      <c r="X43" s="14" t="str">
        <f t="shared" si="1"/>
        <v>001</v>
      </c>
      <c r="Y43" s="3" t="str">
        <f>IFERROR(VLOOKUP(F43,Func!$A$4:$G$1500,2,FALSE),"none")</f>
        <v>none</v>
      </c>
      <c r="Z43" s="3" t="e">
        <f>VLOOKUP(I43,Resources!$A$2:$AA$1503,18,FALSE)</f>
        <v>#N/A</v>
      </c>
      <c r="AA43" s="3" t="str">
        <f>IFERROR(VLOOKUP(B43,Orgs!$A$4:$G$1500,2,FALSE),"none")</f>
        <v>none</v>
      </c>
      <c r="AB43" s="3" t="str">
        <f>IFERROR(VLOOKUP(C43,UnitsDepts!$A$4:$G$1500,2,FALSE),"none")</f>
        <v>none</v>
      </c>
      <c r="AC43" s="3" t="str">
        <f>IFERROR(VLOOKUP(D43,ProjAppSvc!$A$4:$G$1500,2,FALSE),"none")</f>
        <v>none</v>
      </c>
    </row>
    <row r="44" spans="1:29" x14ac:dyDescent="0.45">
      <c r="A44" s="14" t="s">
        <v>23</v>
      </c>
      <c r="B44" s="14"/>
      <c r="C44" s="14"/>
      <c r="D44" s="14"/>
      <c r="H44" s="8"/>
      <c r="I44" s="3"/>
      <c r="J44" s="3" t="str">
        <f t="shared" si="2"/>
        <v/>
      </c>
      <c r="K44" s="3" t="str">
        <f>IF(ISNUMBER(SEARCH("-",V44)),IFERROR(IF($H$2="Lower", LOWER(ComputeResourceName(Z44,#REF!,#REF!,G44,N44,O44,P44,Q44,S44,T44,V44,A44)), UPPER(ComputeResourceName(Z44,#REF!,#REF!,G44,N44,O44,P44,Q44,S44,T44,V44,A44))),""),SUBSTITUTE(IFERROR(IF($H$2="Lower", LOWER(ComputeResourceName(#REF!,#REF!,#REF!,G44,N44,O44,P44,Q44,S44,T44,V44,A44)), UPPER(ComputeResourceName(#REF!,#REF!,#REF!,G44,N44,O44,P44,Q44,S44,T44,V44,A44))),""), "-",""))</f>
        <v/>
      </c>
      <c r="L44" s="3" t="str">
        <f xml:space="preserve"> IF(K44="","",  IFERROR(VLOOKUP(I44,Resources!$B$1:$H$1503,5,FALSE)-LEN(K44),0))</f>
        <v/>
      </c>
      <c r="M44" s="3" t="str">
        <f>IF(K44="","",IFERROR(matches(K44,VLOOKUP(I44,Resources!$A$2:$AA$1503,16,FALSE)),FALSE))</f>
        <v/>
      </c>
      <c r="N44" s="3" t="e">
        <f>VLOOKUP(E44,Enviroments!$A$3:$D$59,1,FALSE)</f>
        <v>#N/A</v>
      </c>
      <c r="O44" s="3" t="e">
        <f>VLOOKUP(E44,Enviroments!$A$3:$D$59,2,FALSE)</f>
        <v>#N/A</v>
      </c>
      <c r="P44" s="3" t="e">
        <f>VLOOKUP(E44,Enviroments!$A$3:$D$59,3,FALSE)</f>
        <v>#N/A</v>
      </c>
      <c r="Q44" s="3" t="e">
        <f>VLOOKUP(E44,Enviroments!$A$3:$D$59,4,FALSE)</f>
        <v>#N/A</v>
      </c>
      <c r="R44" s="3" t="e">
        <f>VLOOKUP(H44,AzureRegions!$A$4:$B$1493,1,FALSE)</f>
        <v>#N/A</v>
      </c>
      <c r="S44" s="3" t="e">
        <f>VLOOKUP(H44,AzureRegions!$A$4:$B$1493,2,FALSE)</f>
        <v>#N/A</v>
      </c>
      <c r="T44" s="3" t="e">
        <f>VLOOKUP(H44,AzureRegions!$A$4:$C$1493,3,FALSE)</f>
        <v>#N/A</v>
      </c>
      <c r="U44" s="3" t="e">
        <f>VLOOKUP(I44,Resources!$A$2:$AA$1503,2,FALSE)</f>
        <v>#N/A</v>
      </c>
      <c r="V44" s="3" t="e">
        <f>VLOOKUP(I44,Resources!$A$2:$H$1503,6,FALSE)</f>
        <v>#N/A</v>
      </c>
      <c r="W44" s="3" t="str">
        <f>VLOOKUP($H$2,Casing!$A$4:$A$60,1,FALSE)</f>
        <v>Lower</v>
      </c>
      <c r="X44" s="14" t="str">
        <f t="shared" si="1"/>
        <v>001</v>
      </c>
      <c r="Y44" s="3" t="str">
        <f>IFERROR(VLOOKUP(F44,Func!$A$4:$G$1500,2,FALSE),"none")</f>
        <v>none</v>
      </c>
      <c r="Z44" s="3" t="e">
        <f>VLOOKUP(I44,Resources!$A$2:$AA$1503,18,FALSE)</f>
        <v>#N/A</v>
      </c>
      <c r="AA44" s="3" t="str">
        <f>IFERROR(VLOOKUP(B44,Orgs!$A$4:$G$1500,2,FALSE),"none")</f>
        <v>none</v>
      </c>
      <c r="AB44" s="3" t="str">
        <f>IFERROR(VLOOKUP(C44,UnitsDepts!$A$4:$G$1500,2,FALSE),"none")</f>
        <v>none</v>
      </c>
      <c r="AC44" s="3" t="str">
        <f>IFERROR(VLOOKUP(D44,ProjAppSvc!$A$4:$G$1500,2,FALSE),"none")</f>
        <v>none</v>
      </c>
    </row>
    <row r="45" spans="1:29" x14ac:dyDescent="0.45">
      <c r="A45" s="14" t="s">
        <v>23</v>
      </c>
      <c r="B45" s="14"/>
      <c r="C45" s="14"/>
      <c r="D45" s="14"/>
      <c r="H45" s="8"/>
      <c r="I45" s="3"/>
      <c r="J45" s="3" t="str">
        <f t="shared" si="2"/>
        <v/>
      </c>
      <c r="K45" s="3" t="str">
        <f>IF(ISNUMBER(SEARCH("-",V45)),IFERROR(IF($H$2="Lower", LOWER(ComputeResourceName(Z45,#REF!,#REF!,G45,N45,O45,P45,Q45,S45,T45,V45,A45)), UPPER(ComputeResourceName(Z45,#REF!,#REF!,G45,N45,O45,P45,Q45,S45,T45,V45,A45))),""),SUBSTITUTE(IFERROR(IF($H$2="Lower", LOWER(ComputeResourceName(#REF!,#REF!,#REF!,G45,N45,O45,P45,Q45,S45,T45,V45,A45)), UPPER(ComputeResourceName(#REF!,#REF!,#REF!,G45,N45,O45,P45,Q45,S45,T45,V45,A45))),""), "-",""))</f>
        <v/>
      </c>
      <c r="L45" s="3" t="str">
        <f xml:space="preserve"> IF(K45="","",  IFERROR(VLOOKUP(I45,Resources!$B$1:$H$1503,5,FALSE)-LEN(K45),0))</f>
        <v/>
      </c>
      <c r="M45" s="3" t="str">
        <f>IF(K45="","",IFERROR(matches(K45,VLOOKUP(I45,Resources!$A$2:$AA$1503,16,FALSE)),FALSE))</f>
        <v/>
      </c>
      <c r="N45" s="3" t="e">
        <f>VLOOKUP(E45,Enviroments!$A$3:$D$59,1,FALSE)</f>
        <v>#N/A</v>
      </c>
      <c r="O45" s="3" t="e">
        <f>VLOOKUP(E45,Enviroments!$A$3:$D$59,2,FALSE)</f>
        <v>#N/A</v>
      </c>
      <c r="P45" s="3" t="e">
        <f>VLOOKUP(E45,Enviroments!$A$3:$D$59,3,FALSE)</f>
        <v>#N/A</v>
      </c>
      <c r="Q45" s="3" t="e">
        <f>VLOOKUP(E45,Enviroments!$A$3:$D$59,4,FALSE)</f>
        <v>#N/A</v>
      </c>
      <c r="R45" s="3" t="e">
        <f>VLOOKUP(H45,AzureRegions!$A$4:$B$1493,1,FALSE)</f>
        <v>#N/A</v>
      </c>
      <c r="S45" s="3" t="e">
        <f>VLOOKUP(H45,AzureRegions!$A$4:$B$1493,2,FALSE)</f>
        <v>#N/A</v>
      </c>
      <c r="T45" s="3" t="e">
        <f>VLOOKUP(H45,AzureRegions!$A$4:$C$1493,3,FALSE)</f>
        <v>#N/A</v>
      </c>
      <c r="U45" s="3" t="e">
        <f>VLOOKUP(I45,Resources!$A$2:$AA$1503,2,FALSE)</f>
        <v>#N/A</v>
      </c>
      <c r="V45" s="3" t="e">
        <f>VLOOKUP(I45,Resources!$A$2:$H$1503,6,FALSE)</f>
        <v>#N/A</v>
      </c>
      <c r="W45" s="3" t="str">
        <f>VLOOKUP($H$2,Casing!$A$4:$A$60,1,FALSE)</f>
        <v>Lower</v>
      </c>
      <c r="X45" s="14" t="s">
        <v>1262</v>
      </c>
      <c r="Y45" s="3" t="str">
        <f>IFERROR(VLOOKUP(F45,Func!$A$4:$G$1500,2,FALSE),"none")</f>
        <v>none</v>
      </c>
      <c r="Z45" s="3" t="e">
        <f>VLOOKUP(I45,Resources!$A$2:$AA$1503,18,FALSE)</f>
        <v>#N/A</v>
      </c>
      <c r="AA45" s="3" t="str">
        <f>IFERROR(VLOOKUP(B45,Orgs!$A$4:$G$1500,2,FALSE),"none")</f>
        <v>none</v>
      </c>
      <c r="AB45" s="3" t="str">
        <f>IFERROR(VLOOKUP(C45,UnitsDepts!$A$4:$G$1500,2,FALSE),"none")</f>
        <v>none</v>
      </c>
      <c r="AC45" s="3" t="str">
        <f>IFERROR(VLOOKUP(D45,ProjAppSvc!$A$4:$G$1500,2,FALSE),"none")</f>
        <v>none</v>
      </c>
    </row>
    <row r="46" spans="1:29" x14ac:dyDescent="0.45">
      <c r="A46" s="14" t="s">
        <v>23</v>
      </c>
      <c r="B46" s="14"/>
      <c r="C46" s="14"/>
      <c r="D46" s="14"/>
      <c r="H46" s="8"/>
      <c r="I46" s="3"/>
      <c r="J46" s="3" t="str">
        <f t="shared" si="2"/>
        <v/>
      </c>
      <c r="K46" s="3" t="str">
        <f>IF(ISNUMBER(SEARCH("-",V46)),IFERROR(IF($H$2="Lower", LOWER(ComputeResourceName(Z46,#REF!,#REF!,G46,N46,O46,P46,Q46,S46,T46,V46,A46)), UPPER(ComputeResourceName(Z46,#REF!,#REF!,G46,N46,O46,P46,Q46,S46,T46,V46,A46))),""),SUBSTITUTE(IFERROR(IF($H$2="Lower", LOWER(ComputeResourceName(#REF!,#REF!,#REF!,G46,N46,O46,P46,Q46,S46,T46,V46,A46)), UPPER(ComputeResourceName(#REF!,#REF!,#REF!,G46,N46,O46,P46,Q46,S46,T46,V46,A46))),""), "-",""))</f>
        <v/>
      </c>
      <c r="L46" s="3" t="str">
        <f xml:space="preserve"> IF(K46="","",  IFERROR(VLOOKUP(I46,Resources!$B$1:$H$1503,5,FALSE)-LEN(K46),0))</f>
        <v/>
      </c>
      <c r="M46" s="3" t="str">
        <f>IF(K46="","",IFERROR(matches(K46,VLOOKUP(I46,Resources!$A$2:$AA$1503,16,FALSE)),FALSE))</f>
        <v/>
      </c>
      <c r="N46" s="3" t="e">
        <f>VLOOKUP(E46,Enviroments!$A$3:$D$59,1,FALSE)</f>
        <v>#N/A</v>
      </c>
      <c r="O46" s="3" t="e">
        <f>VLOOKUP(E46,Enviroments!$A$3:$D$59,2,FALSE)</f>
        <v>#N/A</v>
      </c>
      <c r="P46" s="3" t="e">
        <f>VLOOKUP(E46,Enviroments!$A$3:$D$59,3,FALSE)</f>
        <v>#N/A</v>
      </c>
      <c r="Q46" s="3" t="e">
        <f>VLOOKUP(E46,Enviroments!$A$3:$D$59,4,FALSE)</f>
        <v>#N/A</v>
      </c>
      <c r="R46" s="3" t="e">
        <f>VLOOKUP(H46,AzureRegions!$A$4:$B$1493,1,FALSE)</f>
        <v>#N/A</v>
      </c>
      <c r="S46" s="3" t="e">
        <f>VLOOKUP(H46,AzureRegions!$A$4:$B$1493,2,FALSE)</f>
        <v>#N/A</v>
      </c>
      <c r="T46" s="3" t="e">
        <f>VLOOKUP(H46,AzureRegions!$A$4:$C$1493,3,FALSE)</f>
        <v>#N/A</v>
      </c>
      <c r="U46" s="3" t="e">
        <f>VLOOKUP(I46,Resources!$A$2:$AA$1503,2,FALSE)</f>
        <v>#N/A</v>
      </c>
      <c r="V46" s="3" t="e">
        <f>VLOOKUP(I46,Resources!$A$2:$H$1503,6,FALSE)</f>
        <v>#N/A</v>
      </c>
      <c r="W46" s="3" t="str">
        <f>VLOOKUP($H$2,Casing!$A$4:$A$60,1,FALSE)</f>
        <v>Lower</v>
      </c>
      <c r="X46" s="14" t="str">
        <f t="shared" si="1"/>
        <v>001</v>
      </c>
      <c r="Y46" s="3" t="str">
        <f>IFERROR(VLOOKUP(F46,Func!$A$4:$G$1500,2,FALSE),"none")</f>
        <v>none</v>
      </c>
      <c r="Z46" s="3" t="e">
        <f>VLOOKUP(I46,Resources!$A$2:$AA$1503,18,FALSE)</f>
        <v>#N/A</v>
      </c>
      <c r="AA46" s="3" t="str">
        <f>IFERROR(VLOOKUP(B46,Orgs!$A$4:$G$1500,2,FALSE),"none")</f>
        <v>none</v>
      </c>
      <c r="AB46" s="3" t="str">
        <f>IFERROR(VLOOKUP(C46,UnitsDepts!$A$4:$G$1500,2,FALSE),"none")</f>
        <v>none</v>
      </c>
      <c r="AC46" s="3" t="str">
        <f>IFERROR(VLOOKUP(D46,ProjAppSvc!$A$4:$G$1500,2,FALSE),"none")</f>
        <v>none</v>
      </c>
    </row>
    <row r="47" spans="1:29" x14ac:dyDescent="0.45">
      <c r="A47" s="14" t="s">
        <v>23</v>
      </c>
      <c r="B47" s="14"/>
      <c r="C47" s="14"/>
      <c r="D47" s="14"/>
      <c r="H47" s="8"/>
      <c r="I47" s="3"/>
      <c r="J47" s="3" t="str">
        <f t="shared" si="2"/>
        <v/>
      </c>
      <c r="K47" s="3" t="str">
        <f>IF(ISNUMBER(SEARCH("-",V47)),IFERROR(IF($H$2="Lower", LOWER(ComputeResourceName(Z47,#REF!,#REF!,G47,N47,O47,P47,Q47,S47,T47,V47,A47)), UPPER(ComputeResourceName(Z47,#REF!,#REF!,G47,N47,O47,P47,Q47,S47,T47,V47,A47))),""),SUBSTITUTE(IFERROR(IF($H$2="Lower", LOWER(ComputeResourceName(#REF!,#REF!,#REF!,G47,N47,O47,P47,Q47,S47,T47,V47,A47)), UPPER(ComputeResourceName(#REF!,#REF!,#REF!,G47,N47,O47,P47,Q47,S47,T47,V47,A47))),""), "-",""))</f>
        <v/>
      </c>
      <c r="L47" s="3" t="str">
        <f xml:space="preserve"> IF(K47="","",  IFERROR(VLOOKUP(I47,Resources!$B$1:$H$1503,5,FALSE)-LEN(K47),0))</f>
        <v/>
      </c>
      <c r="M47" s="3" t="str">
        <f>IF(K47="","",IFERROR(matches(K47,VLOOKUP(I47,Resources!$A$2:$AA$1503,16,FALSE)),FALSE))</f>
        <v/>
      </c>
      <c r="N47" s="3" t="e">
        <f>VLOOKUP(E47,Enviroments!$A$3:$D$59,1,FALSE)</f>
        <v>#N/A</v>
      </c>
      <c r="O47" s="3" t="e">
        <f>VLOOKUP(E47,Enviroments!$A$3:$D$59,2,FALSE)</f>
        <v>#N/A</v>
      </c>
      <c r="P47" s="3" t="e">
        <f>VLOOKUP(E47,Enviroments!$A$3:$D$59,3,FALSE)</f>
        <v>#N/A</v>
      </c>
      <c r="Q47" s="3" t="e">
        <f>VLOOKUP(E47,Enviroments!$A$3:$D$59,4,FALSE)</f>
        <v>#N/A</v>
      </c>
      <c r="R47" s="3" t="e">
        <f>VLOOKUP(H47,AzureRegions!$A$4:$B$1493,1,FALSE)</f>
        <v>#N/A</v>
      </c>
      <c r="S47" s="3" t="e">
        <f>VLOOKUP(H47,AzureRegions!$A$4:$B$1493,2,FALSE)</f>
        <v>#N/A</v>
      </c>
      <c r="T47" s="3" t="e">
        <f>VLOOKUP(H47,AzureRegions!$A$4:$C$1493,3,FALSE)</f>
        <v>#N/A</v>
      </c>
      <c r="U47" s="3" t="e">
        <f>VLOOKUP(I47,Resources!$A$2:$AA$1503,2,FALSE)</f>
        <v>#N/A</v>
      </c>
      <c r="V47" s="3" t="e">
        <f>VLOOKUP(I47,Resources!$A$2:$H$1503,6,FALSE)</f>
        <v>#N/A</v>
      </c>
      <c r="W47" s="3" t="str">
        <f>VLOOKUP($H$2,Casing!$A$4:$A$60,1,FALSE)</f>
        <v>Lower</v>
      </c>
      <c r="X47" s="14" t="str">
        <f t="shared" si="1"/>
        <v>001</v>
      </c>
      <c r="Y47" s="3" t="str">
        <f>IFERROR(VLOOKUP(F47,Func!$A$4:$G$1500,2,FALSE),"none")</f>
        <v>none</v>
      </c>
      <c r="Z47" s="3" t="e">
        <f>VLOOKUP(I47,Resources!$A$2:$AA$1503,18,FALSE)</f>
        <v>#N/A</v>
      </c>
      <c r="AA47" s="3" t="str">
        <f>IFERROR(VLOOKUP(B47,Orgs!$A$4:$G$1500,2,FALSE),"none")</f>
        <v>none</v>
      </c>
      <c r="AB47" s="3" t="str">
        <f>IFERROR(VLOOKUP(C47,UnitsDepts!$A$4:$G$1500,2,FALSE),"none")</f>
        <v>none</v>
      </c>
      <c r="AC47" s="3" t="str">
        <f>IFERROR(VLOOKUP(D47,ProjAppSvc!$A$4:$G$1500,2,FALSE),"none")</f>
        <v>none</v>
      </c>
    </row>
    <row r="48" spans="1:29" x14ac:dyDescent="0.45">
      <c r="A48" s="14" t="s">
        <v>23</v>
      </c>
      <c r="B48" s="14"/>
      <c r="C48" s="14"/>
      <c r="D48" s="14"/>
      <c r="H48" s="8"/>
      <c r="I48" s="3"/>
      <c r="J48" s="3" t="str">
        <f t="shared" si="2"/>
        <v/>
      </c>
      <c r="K48" s="3" t="str">
        <f>IF(ISNUMBER(SEARCH("-",V48)),IFERROR(IF($H$2="Lower", LOWER(ComputeResourceName(Z48,#REF!,#REF!,G48,N48,O48,P48,Q48,S48,T48,V48,A48)), UPPER(ComputeResourceName(Z48,#REF!,#REF!,G48,N48,O48,P48,Q48,S48,T48,V48,A48))),""),SUBSTITUTE(IFERROR(IF($H$2="Lower", LOWER(ComputeResourceName(#REF!,#REF!,#REF!,G48,N48,O48,P48,Q48,S48,T48,V48,A48)), UPPER(ComputeResourceName(#REF!,#REF!,#REF!,G48,N48,O48,P48,Q48,S48,T48,V48,A48))),""), "-",""))</f>
        <v/>
      </c>
      <c r="L48" s="3" t="str">
        <f xml:space="preserve"> IF(K48="","",  IFERROR(VLOOKUP(I48,Resources!$B$1:$H$1503,5,FALSE)-LEN(K48),0))</f>
        <v/>
      </c>
      <c r="M48" s="3" t="str">
        <f>IF(K48="","",IFERROR(matches(K48,VLOOKUP(I48,Resources!$A$2:$AA$1503,16,FALSE)),FALSE))</f>
        <v/>
      </c>
      <c r="N48" s="3" t="e">
        <f>VLOOKUP(E48,Enviroments!$A$3:$D$59,1,FALSE)</f>
        <v>#N/A</v>
      </c>
      <c r="O48" s="3" t="e">
        <f>VLOOKUP(E48,Enviroments!$A$3:$D$59,2,FALSE)</f>
        <v>#N/A</v>
      </c>
      <c r="P48" s="3" t="e">
        <f>VLOOKUP(E48,Enviroments!$A$3:$D$59,3,FALSE)</f>
        <v>#N/A</v>
      </c>
      <c r="Q48" s="3" t="e">
        <f>VLOOKUP(E48,Enviroments!$A$3:$D$59,4,FALSE)</f>
        <v>#N/A</v>
      </c>
      <c r="R48" s="3" t="e">
        <f>VLOOKUP(H48,AzureRegions!$A$4:$B$1493,1,FALSE)</f>
        <v>#N/A</v>
      </c>
      <c r="S48" s="3" t="e">
        <f>VLOOKUP(H48,AzureRegions!$A$4:$B$1493,2,FALSE)</f>
        <v>#N/A</v>
      </c>
      <c r="T48" s="3" t="e">
        <f>VLOOKUP(H48,AzureRegions!$A$4:$C$1493,3,FALSE)</f>
        <v>#N/A</v>
      </c>
      <c r="U48" s="3" t="e">
        <f>VLOOKUP(I48,Resources!$A$2:$AA$1503,2,FALSE)</f>
        <v>#N/A</v>
      </c>
      <c r="V48" s="3" t="e">
        <f>VLOOKUP(I48,Resources!$A$2:$H$1503,6,FALSE)</f>
        <v>#N/A</v>
      </c>
      <c r="W48" s="3" t="str">
        <f>VLOOKUP($H$2,Casing!$A$4:$A$60,1,FALSE)</f>
        <v>Lower</v>
      </c>
      <c r="X48" s="14" t="str">
        <f t="shared" si="1"/>
        <v>001</v>
      </c>
      <c r="Y48" s="3" t="str">
        <f>IFERROR(VLOOKUP(F48,Func!$A$4:$G$1500,2,FALSE),"none")</f>
        <v>none</v>
      </c>
      <c r="Z48" s="3" t="e">
        <f>VLOOKUP(I48,Resources!$A$2:$AA$1503,18,FALSE)</f>
        <v>#N/A</v>
      </c>
      <c r="AA48" s="3" t="str">
        <f>IFERROR(VLOOKUP(B48,Orgs!$A$4:$G$1500,2,FALSE),"none")</f>
        <v>none</v>
      </c>
      <c r="AB48" s="3" t="str">
        <f>IFERROR(VLOOKUP(C48,UnitsDepts!$A$4:$G$1500,2,FALSE),"none")</f>
        <v>none</v>
      </c>
      <c r="AC48" s="3" t="str">
        <f>IFERROR(VLOOKUP(D48,ProjAppSvc!$A$4:$G$1500,2,FALSE),"none")</f>
        <v>none</v>
      </c>
    </row>
    <row r="49" spans="1:29" x14ac:dyDescent="0.45">
      <c r="A49" s="14" t="s">
        <v>23</v>
      </c>
      <c r="B49" s="14"/>
      <c r="C49" s="14"/>
      <c r="D49" s="14"/>
      <c r="H49" s="8"/>
      <c r="I49" s="3"/>
      <c r="J49" s="3" t="str">
        <f t="shared" si="2"/>
        <v/>
      </c>
      <c r="K49" s="3" t="str">
        <f>IF(ISNUMBER(SEARCH("-",V49)),IFERROR(IF($H$2="Lower", LOWER(ComputeResourceName(Z49,#REF!,#REF!,G49,N49,O49,P49,Q49,S49,T49,V49,A49)), UPPER(ComputeResourceName(Z49,#REF!,#REF!,G49,N49,O49,P49,Q49,S49,T49,V49,A49))),""),SUBSTITUTE(IFERROR(IF($H$2="Lower", LOWER(ComputeResourceName(#REF!,#REF!,#REF!,G49,N49,O49,P49,Q49,S49,T49,V49,A49)), UPPER(ComputeResourceName(#REF!,#REF!,#REF!,G49,N49,O49,P49,Q49,S49,T49,V49,A49))),""), "-",""))</f>
        <v/>
      </c>
      <c r="L49" s="3" t="str">
        <f xml:space="preserve"> IF(K49="","",  IFERROR(VLOOKUP(I49,Resources!$B$1:$H$1503,5,FALSE)-LEN(K49),0))</f>
        <v/>
      </c>
      <c r="M49" s="3" t="str">
        <f>IF(K49="","",IFERROR(matches(K49,VLOOKUP(I49,Resources!$A$2:$AA$1503,16,FALSE)),FALSE))</f>
        <v/>
      </c>
      <c r="N49" s="3" t="e">
        <f>VLOOKUP(E49,Enviroments!$A$3:$D$59,1,FALSE)</f>
        <v>#N/A</v>
      </c>
      <c r="O49" s="3" t="e">
        <f>VLOOKUP(E49,Enviroments!$A$3:$D$59,2,FALSE)</f>
        <v>#N/A</v>
      </c>
      <c r="P49" s="3" t="e">
        <f>VLOOKUP(E49,Enviroments!$A$3:$D$59,3,FALSE)</f>
        <v>#N/A</v>
      </c>
      <c r="Q49" s="3" t="e">
        <f>VLOOKUP(E49,Enviroments!$A$3:$D$59,4,FALSE)</f>
        <v>#N/A</v>
      </c>
      <c r="R49" s="3" t="e">
        <f>VLOOKUP(H49,AzureRegions!$A$4:$B$1493,1,FALSE)</f>
        <v>#N/A</v>
      </c>
      <c r="S49" s="3" t="e">
        <f>VLOOKUP(H49,AzureRegions!$A$4:$B$1493,2,FALSE)</f>
        <v>#N/A</v>
      </c>
      <c r="T49" s="3" t="e">
        <f>VLOOKUP(H49,AzureRegions!$A$4:$C$1493,3,FALSE)</f>
        <v>#N/A</v>
      </c>
      <c r="U49" s="3" t="e">
        <f>VLOOKUP(I49,Resources!$A$2:$AA$1503,2,FALSE)</f>
        <v>#N/A</v>
      </c>
      <c r="V49" s="3" t="e">
        <f>VLOOKUP(I49,Resources!$A$2:$H$1503,6,FALSE)</f>
        <v>#N/A</v>
      </c>
      <c r="W49" s="3" t="str">
        <f>VLOOKUP($H$2,Casing!$A$4:$A$60,1,FALSE)</f>
        <v>Lower</v>
      </c>
      <c r="X49" s="14" t="str">
        <f t="shared" si="1"/>
        <v>001</v>
      </c>
      <c r="Y49" s="3" t="str">
        <f>IFERROR(VLOOKUP(F49,Func!$A$4:$G$1500,2,FALSE),"none")</f>
        <v>none</v>
      </c>
      <c r="Z49" s="3" t="e">
        <f>VLOOKUP(I49,Resources!$A$2:$AA$1503,18,FALSE)</f>
        <v>#N/A</v>
      </c>
      <c r="AA49" s="3" t="str">
        <f>IFERROR(VLOOKUP(B49,Orgs!$A$4:$G$1500,2,FALSE),"none")</f>
        <v>none</v>
      </c>
      <c r="AB49" s="3" t="str">
        <f>IFERROR(VLOOKUP(C49,UnitsDepts!$A$4:$G$1500,2,FALSE),"none")</f>
        <v>none</v>
      </c>
      <c r="AC49" s="3" t="str">
        <f>IFERROR(VLOOKUP(D49,ProjAppSvc!$A$4:$G$1500,2,FALSE),"none")</f>
        <v>none</v>
      </c>
    </row>
    <row r="50" spans="1:29" x14ac:dyDescent="0.45">
      <c r="A50" s="14" t="s">
        <v>23</v>
      </c>
      <c r="B50" s="14"/>
      <c r="C50" s="14"/>
      <c r="D50" s="14"/>
      <c r="H50" s="8"/>
      <c r="I50" s="3"/>
      <c r="J50" s="3" t="str">
        <f t="shared" si="2"/>
        <v/>
      </c>
      <c r="K50" s="3" t="str">
        <f>IF(ISNUMBER(SEARCH("-",V50)),IFERROR(IF($H$2="Lower", LOWER(ComputeResourceName(Z50,#REF!,#REF!,G50,N50,O50,P50,Q50,S50,T50,V50,A50)), UPPER(ComputeResourceName(Z50,#REF!,#REF!,G50,N50,O50,P50,Q50,S50,T50,V50,A50))),""),SUBSTITUTE(IFERROR(IF($H$2="Lower", LOWER(ComputeResourceName(#REF!,#REF!,#REF!,G50,N50,O50,P50,Q50,S50,T50,V50,A50)), UPPER(ComputeResourceName(#REF!,#REF!,#REF!,G50,N50,O50,P50,Q50,S50,T50,V50,A50))),""), "-",""))</f>
        <v/>
      </c>
      <c r="L50" s="3" t="str">
        <f xml:space="preserve"> IF(K50="","",  IFERROR(VLOOKUP(I50,Resources!$B$1:$H$1503,5,FALSE)-LEN(K50),0))</f>
        <v/>
      </c>
      <c r="M50" s="3" t="str">
        <f>IF(K50="","",IFERROR(matches(K50,VLOOKUP(I50,Resources!$A$2:$AA$1503,16,FALSE)),FALSE))</f>
        <v/>
      </c>
      <c r="N50" s="3" t="e">
        <f>VLOOKUP(E50,Enviroments!$A$3:$D$59,1,FALSE)</f>
        <v>#N/A</v>
      </c>
      <c r="O50" s="3" t="e">
        <f>VLOOKUP(E50,Enviroments!$A$3:$D$59,2,FALSE)</f>
        <v>#N/A</v>
      </c>
      <c r="P50" s="3" t="e">
        <f>VLOOKUP(E50,Enviroments!$A$3:$D$59,3,FALSE)</f>
        <v>#N/A</v>
      </c>
      <c r="Q50" s="3" t="e">
        <f>VLOOKUP(E50,Enviroments!$A$3:$D$59,4,FALSE)</f>
        <v>#N/A</v>
      </c>
      <c r="R50" s="3" t="e">
        <f>VLOOKUP(H50,AzureRegions!$A$4:$B$1493,1,FALSE)</f>
        <v>#N/A</v>
      </c>
      <c r="S50" s="3" t="e">
        <f>VLOOKUP(H50,AzureRegions!$A$4:$B$1493,2,FALSE)</f>
        <v>#N/A</v>
      </c>
      <c r="T50" s="3" t="e">
        <f>VLOOKUP(H50,AzureRegions!$A$4:$C$1493,3,FALSE)</f>
        <v>#N/A</v>
      </c>
      <c r="U50" s="3" t="e">
        <f>VLOOKUP(I50,Resources!$A$2:$AA$1503,2,FALSE)</f>
        <v>#N/A</v>
      </c>
      <c r="V50" s="3" t="e">
        <f>VLOOKUP(I50,Resources!$A$2:$H$1503,6,FALSE)</f>
        <v>#N/A</v>
      </c>
      <c r="W50" s="3" t="str">
        <f>VLOOKUP($H$2,Casing!$A$4:$A$60,1,FALSE)</f>
        <v>Lower</v>
      </c>
      <c r="X50" s="14" t="str">
        <f t="shared" si="1"/>
        <v>001</v>
      </c>
      <c r="Y50" s="3" t="str">
        <f>IFERROR(VLOOKUP(F50,Func!$A$4:$G$1500,2,FALSE),"none")</f>
        <v>none</v>
      </c>
      <c r="Z50" s="3" t="e">
        <f>VLOOKUP(I50,Resources!$A$2:$AA$1503,18,FALSE)</f>
        <v>#N/A</v>
      </c>
      <c r="AA50" s="3" t="str">
        <f>IFERROR(VLOOKUP(B50,Orgs!$A$4:$G$1500,2,FALSE),"none")</f>
        <v>none</v>
      </c>
      <c r="AB50" s="3" t="str">
        <f>IFERROR(VLOOKUP(C50,UnitsDepts!$A$4:$G$1500,2,FALSE),"none")</f>
        <v>none</v>
      </c>
      <c r="AC50" s="3" t="str">
        <f>IFERROR(VLOOKUP(D50,ProjAppSvc!$A$4:$G$1500,2,FALSE),"none")</f>
        <v>none</v>
      </c>
    </row>
    <row r="51" spans="1:29" x14ac:dyDescent="0.45">
      <c r="A51" s="14" t="s">
        <v>23</v>
      </c>
      <c r="B51" s="14"/>
      <c r="C51" s="14"/>
      <c r="D51" s="14"/>
      <c r="H51" s="8"/>
      <c r="I51" s="3"/>
      <c r="J51" s="3" t="str">
        <f t="shared" si="2"/>
        <v/>
      </c>
      <c r="K51" s="3" t="str">
        <f>IF(ISNUMBER(SEARCH("-",V51)),IFERROR(IF($H$2="Lower", LOWER(ComputeResourceName(Z51,#REF!,#REF!,G51,N51,O51,P51,Q51,S51,T51,V51,A51)), UPPER(ComputeResourceName(Z51,#REF!,#REF!,G51,N51,O51,P51,Q51,S51,T51,V51,A51))),""),SUBSTITUTE(IFERROR(IF($H$2="Lower", LOWER(ComputeResourceName(#REF!,#REF!,#REF!,G51,N51,O51,P51,Q51,S51,T51,V51,A51)), UPPER(ComputeResourceName(#REF!,#REF!,#REF!,G51,N51,O51,P51,Q51,S51,T51,V51,A51))),""), "-",""))</f>
        <v/>
      </c>
      <c r="L51" s="3" t="str">
        <f xml:space="preserve"> IF(K51="","",  IFERROR(VLOOKUP(I51,Resources!$B$1:$H$1503,5,FALSE)-LEN(K51),0))</f>
        <v/>
      </c>
      <c r="M51" s="3" t="str">
        <f>IF(K51="","",IFERROR(matches(K51,VLOOKUP(I51,Resources!$A$2:$AA$1503,16,FALSE)),FALSE))</f>
        <v/>
      </c>
      <c r="N51" s="3" t="e">
        <f>VLOOKUP(E51,Enviroments!$A$3:$D$59,1,FALSE)</f>
        <v>#N/A</v>
      </c>
      <c r="O51" s="3" t="e">
        <f>VLOOKUP(E51,Enviroments!$A$3:$D$59,2,FALSE)</f>
        <v>#N/A</v>
      </c>
      <c r="P51" s="3" t="e">
        <f>VLOOKUP(E51,Enviroments!$A$3:$D$59,3,FALSE)</f>
        <v>#N/A</v>
      </c>
      <c r="Q51" s="3" t="e">
        <f>VLOOKUP(E51,Enviroments!$A$3:$D$59,4,FALSE)</f>
        <v>#N/A</v>
      </c>
      <c r="R51" s="3" t="e">
        <f>VLOOKUP(H51,AzureRegions!$A$4:$B$1493,1,FALSE)</f>
        <v>#N/A</v>
      </c>
      <c r="S51" s="3" t="e">
        <f>VLOOKUP(H51,AzureRegions!$A$4:$B$1493,2,FALSE)</f>
        <v>#N/A</v>
      </c>
      <c r="T51" s="3" t="e">
        <f>VLOOKUP(H51,AzureRegions!$A$4:$C$1493,3,FALSE)</f>
        <v>#N/A</v>
      </c>
      <c r="U51" s="3" t="e">
        <f>VLOOKUP(I51,Resources!$A$2:$AA$1503,2,FALSE)</f>
        <v>#N/A</v>
      </c>
      <c r="V51" s="3" t="e">
        <f>VLOOKUP(I51,Resources!$A$2:$H$1503,6,FALSE)</f>
        <v>#N/A</v>
      </c>
      <c r="W51" s="3" t="str">
        <f>VLOOKUP($H$2,Casing!$A$4:$A$60,1,FALSE)</f>
        <v>Lower</v>
      </c>
      <c r="X51" s="14" t="str">
        <f t="shared" si="1"/>
        <v>001</v>
      </c>
      <c r="Y51" s="3" t="str">
        <f>IFERROR(VLOOKUP(F51,Func!$A$4:$G$1500,2,FALSE),"none")</f>
        <v>none</v>
      </c>
      <c r="Z51" s="3" t="e">
        <f>VLOOKUP(I51,Resources!$A$2:$AA$1503,18,FALSE)</f>
        <v>#N/A</v>
      </c>
      <c r="AA51" s="3" t="str">
        <f>IFERROR(VLOOKUP(B51,Orgs!$A$4:$G$1500,2,FALSE),"none")</f>
        <v>none</v>
      </c>
      <c r="AB51" s="3" t="str">
        <f>IFERROR(VLOOKUP(C51,UnitsDepts!$A$4:$G$1500,2,FALSE),"none")</f>
        <v>none</v>
      </c>
      <c r="AC51" s="3" t="str">
        <f>IFERROR(VLOOKUP(D51,ProjAppSvc!$A$4:$G$1500,2,FALSE),"none")</f>
        <v>none</v>
      </c>
    </row>
    <row r="52" spans="1:29" x14ac:dyDescent="0.45">
      <c r="A52" s="14" t="s">
        <v>23</v>
      </c>
      <c r="B52" s="14"/>
      <c r="C52" s="14"/>
      <c r="D52" s="14"/>
      <c r="H52" s="8"/>
      <c r="I52" s="3"/>
      <c r="J52" s="3" t="str">
        <f t="shared" si="2"/>
        <v/>
      </c>
      <c r="K52" s="3" t="str">
        <f>IF(ISNUMBER(SEARCH("-",V52)),IFERROR(IF($H$2="Lower", LOWER(ComputeResourceName(Z52,#REF!,#REF!,G52,N52,O52,P52,Q52,S52,T52,V52,A52)), UPPER(ComputeResourceName(Z52,#REF!,#REF!,G52,N52,O52,P52,Q52,S52,T52,V52,A52))),""),SUBSTITUTE(IFERROR(IF($H$2="Lower", LOWER(ComputeResourceName(#REF!,#REF!,#REF!,G52,N52,O52,P52,Q52,S52,T52,V52,A52)), UPPER(ComputeResourceName(#REF!,#REF!,#REF!,G52,N52,O52,P52,Q52,S52,T52,V52,A52))),""), "-",""))</f>
        <v/>
      </c>
      <c r="L52" s="3" t="str">
        <f xml:space="preserve"> IF(K52="","",  IFERROR(VLOOKUP(I52,Resources!$B$1:$H$1503,5,FALSE)-LEN(K52),0))</f>
        <v/>
      </c>
      <c r="M52" s="3" t="str">
        <f>IF(K52="","",IFERROR(matches(K52,VLOOKUP(I52,Resources!$A$2:$AA$1503,16,FALSE)),FALSE))</f>
        <v/>
      </c>
      <c r="N52" s="3" t="e">
        <f>VLOOKUP(E52,Enviroments!$A$3:$D$59,1,FALSE)</f>
        <v>#N/A</v>
      </c>
      <c r="O52" s="3" t="e">
        <f>VLOOKUP(E52,Enviroments!$A$3:$D$59,2,FALSE)</f>
        <v>#N/A</v>
      </c>
      <c r="P52" s="3" t="e">
        <f>VLOOKUP(E52,Enviroments!$A$3:$D$59,3,FALSE)</f>
        <v>#N/A</v>
      </c>
      <c r="Q52" s="3" t="e">
        <f>VLOOKUP(E52,Enviroments!$A$3:$D$59,4,FALSE)</f>
        <v>#N/A</v>
      </c>
      <c r="R52" s="3" t="e">
        <f>VLOOKUP(H52,AzureRegions!$A$4:$B$1493,1,FALSE)</f>
        <v>#N/A</v>
      </c>
      <c r="S52" s="3" t="e">
        <f>VLOOKUP(H52,AzureRegions!$A$4:$B$1493,2,FALSE)</f>
        <v>#N/A</v>
      </c>
      <c r="T52" s="3" t="e">
        <f>VLOOKUP(H52,AzureRegions!$A$4:$C$1493,3,FALSE)</f>
        <v>#N/A</v>
      </c>
      <c r="U52" s="3" t="e">
        <f>VLOOKUP(I52,Resources!$A$2:$AA$1503,2,FALSE)</f>
        <v>#N/A</v>
      </c>
      <c r="V52" s="3" t="e">
        <f>VLOOKUP(I52,Resources!$A$2:$H$1503,6,FALSE)</f>
        <v>#N/A</v>
      </c>
      <c r="W52" s="3" t="str">
        <f>VLOOKUP($H$2,Casing!$A$4:$A$60,1,FALSE)</f>
        <v>Lower</v>
      </c>
      <c r="X52" s="14" t="str">
        <f t="shared" si="1"/>
        <v>001</v>
      </c>
      <c r="Y52" s="3" t="str">
        <f>IFERROR(VLOOKUP(F52,Func!$A$4:$G$1500,2,FALSE),"none")</f>
        <v>none</v>
      </c>
      <c r="Z52" s="3" t="e">
        <f>VLOOKUP(I52,Resources!$A$2:$AA$1503,18,FALSE)</f>
        <v>#N/A</v>
      </c>
      <c r="AA52" s="3" t="str">
        <f>IFERROR(VLOOKUP(B52,Orgs!$A$4:$G$1500,2,FALSE),"none")</f>
        <v>none</v>
      </c>
      <c r="AB52" s="3" t="str">
        <f>IFERROR(VLOOKUP(C52,UnitsDepts!$A$4:$G$1500,2,FALSE),"none")</f>
        <v>none</v>
      </c>
      <c r="AC52" s="3" t="str">
        <f>IFERROR(VLOOKUP(D52,ProjAppSvc!$A$4:$G$1500,2,FALSE),"none")</f>
        <v>none</v>
      </c>
    </row>
    <row r="53" spans="1:29" x14ac:dyDescent="0.45">
      <c r="A53" s="14" t="s">
        <v>23</v>
      </c>
      <c r="B53" s="14"/>
      <c r="C53" s="14"/>
      <c r="D53" s="14"/>
      <c r="H53" s="8"/>
      <c r="I53" s="3"/>
      <c r="J53" s="3" t="str">
        <f t="shared" si="2"/>
        <v/>
      </c>
      <c r="K53" s="3" t="str">
        <f>IF(ISNUMBER(SEARCH("-",V53)),IFERROR(IF($H$2="Lower", LOWER(ComputeResourceName(Z53,#REF!,#REF!,G53,N53,O53,P53,Q53,S53,T53,V53,A53)), UPPER(ComputeResourceName(Z53,#REF!,#REF!,G53,N53,O53,P53,Q53,S53,T53,V53,A53))),""),SUBSTITUTE(IFERROR(IF($H$2="Lower", LOWER(ComputeResourceName(#REF!,#REF!,#REF!,G53,N53,O53,P53,Q53,S53,T53,V53,A53)), UPPER(ComputeResourceName(#REF!,#REF!,#REF!,G53,N53,O53,P53,Q53,S53,T53,V53,A53))),""), "-",""))</f>
        <v/>
      </c>
      <c r="L53" s="3" t="str">
        <f xml:space="preserve"> IF(K53="","",  IFERROR(VLOOKUP(I53,Resources!$B$1:$H$1503,5,FALSE)-LEN(K53),0))</f>
        <v/>
      </c>
      <c r="M53" s="3" t="str">
        <f>IF(K53="","",IFERROR(matches(K53,VLOOKUP(I53,Resources!$A$2:$AA$1503,16,FALSE)),FALSE))</f>
        <v/>
      </c>
      <c r="N53" s="3" t="e">
        <f>VLOOKUP(E53,Enviroments!$A$3:$D$59,1,FALSE)</f>
        <v>#N/A</v>
      </c>
      <c r="O53" s="3" t="e">
        <f>VLOOKUP(E53,Enviroments!$A$3:$D$59,2,FALSE)</f>
        <v>#N/A</v>
      </c>
      <c r="P53" s="3" t="e">
        <f>VLOOKUP(E53,Enviroments!$A$3:$D$59,3,FALSE)</f>
        <v>#N/A</v>
      </c>
      <c r="Q53" s="3" t="e">
        <f>VLOOKUP(E53,Enviroments!$A$3:$D$59,4,FALSE)</f>
        <v>#N/A</v>
      </c>
      <c r="R53" s="3" t="e">
        <f>VLOOKUP(H53,AzureRegions!$A$4:$B$1493,1,FALSE)</f>
        <v>#N/A</v>
      </c>
      <c r="S53" s="3" t="e">
        <f>VLOOKUP(H53,AzureRegions!$A$4:$B$1493,2,FALSE)</f>
        <v>#N/A</v>
      </c>
      <c r="T53" s="3" t="e">
        <f>VLOOKUP(H53,AzureRegions!$A$4:$C$1493,3,FALSE)</f>
        <v>#N/A</v>
      </c>
      <c r="U53" s="3" t="e">
        <f>VLOOKUP(I53,Resources!$A$2:$AA$1503,2,FALSE)</f>
        <v>#N/A</v>
      </c>
      <c r="V53" s="3" t="e">
        <f>VLOOKUP(I53,Resources!$A$2:$H$1503,6,FALSE)</f>
        <v>#N/A</v>
      </c>
      <c r="W53" s="3" t="str">
        <f>VLOOKUP($H$2,Casing!$A$4:$A$60,1,FALSE)</f>
        <v>Lower</v>
      </c>
      <c r="X53" s="14" t="str">
        <f t="shared" si="1"/>
        <v>001</v>
      </c>
      <c r="Y53" s="3" t="str">
        <f>IFERROR(VLOOKUP(F53,Func!$A$4:$G$1500,2,FALSE),"none")</f>
        <v>none</v>
      </c>
      <c r="Z53" s="3" t="e">
        <f>VLOOKUP(I53,Resources!$A$2:$AA$1503,18,FALSE)</f>
        <v>#N/A</v>
      </c>
      <c r="AA53" s="3" t="str">
        <f>IFERROR(VLOOKUP(B53,Orgs!$A$4:$G$1500,2,FALSE),"none")</f>
        <v>none</v>
      </c>
      <c r="AB53" s="3" t="str">
        <f>IFERROR(VLOOKUP(C53,UnitsDepts!$A$4:$G$1500,2,FALSE),"none")</f>
        <v>none</v>
      </c>
      <c r="AC53" s="3" t="str">
        <f>IFERROR(VLOOKUP(D53,ProjAppSvc!$A$4:$G$1500,2,FALSE),"none")</f>
        <v>none</v>
      </c>
    </row>
    <row r="54" spans="1:29" x14ac:dyDescent="0.45">
      <c r="A54" s="14" t="s">
        <v>23</v>
      </c>
      <c r="B54" s="14"/>
      <c r="C54" s="14"/>
      <c r="D54" s="14"/>
      <c r="H54" s="8"/>
      <c r="I54" s="3"/>
      <c r="J54" s="3" t="str">
        <f t="shared" si="2"/>
        <v/>
      </c>
      <c r="K54" s="3" t="str">
        <f>IF(ISNUMBER(SEARCH("-",V54)),IFERROR(IF($H$2="Lower", LOWER(ComputeResourceName(Z54,#REF!,#REF!,G54,N54,O54,P54,Q54,S54,T54,V54,A54)), UPPER(ComputeResourceName(Z54,#REF!,#REF!,G54,N54,O54,P54,Q54,S54,T54,V54,A54))),""),SUBSTITUTE(IFERROR(IF($H$2="Lower", LOWER(ComputeResourceName(#REF!,#REF!,#REF!,G54,N54,O54,P54,Q54,S54,T54,V54,A54)), UPPER(ComputeResourceName(#REF!,#REF!,#REF!,G54,N54,O54,P54,Q54,S54,T54,V54,A54))),""), "-",""))</f>
        <v/>
      </c>
      <c r="L54" s="3" t="str">
        <f xml:space="preserve"> IF(K54="","",  IFERROR(VLOOKUP(I54,Resources!$B$1:$H$1503,5,FALSE)-LEN(K54),0))</f>
        <v/>
      </c>
      <c r="M54" s="3" t="str">
        <f>IF(K54="","",IFERROR(matches(K54,VLOOKUP(I54,Resources!$A$2:$AA$1503,16,FALSE)),FALSE))</f>
        <v/>
      </c>
      <c r="N54" s="3" t="e">
        <f>VLOOKUP(E54,Enviroments!$A$3:$D$59,1,FALSE)</f>
        <v>#N/A</v>
      </c>
      <c r="O54" s="3" t="e">
        <f>VLOOKUP(E54,Enviroments!$A$3:$D$59,2,FALSE)</f>
        <v>#N/A</v>
      </c>
      <c r="P54" s="3" t="e">
        <f>VLOOKUP(E54,Enviroments!$A$3:$D$59,3,FALSE)</f>
        <v>#N/A</v>
      </c>
      <c r="Q54" s="3" t="e">
        <f>VLOOKUP(E54,Enviroments!$A$3:$D$59,4,FALSE)</f>
        <v>#N/A</v>
      </c>
      <c r="R54" s="3" t="e">
        <f>VLOOKUP(H54,AzureRegions!$A$4:$B$1493,1,FALSE)</f>
        <v>#N/A</v>
      </c>
      <c r="S54" s="3" t="e">
        <f>VLOOKUP(H54,AzureRegions!$A$4:$B$1493,2,FALSE)</f>
        <v>#N/A</v>
      </c>
      <c r="T54" s="3" t="e">
        <f>VLOOKUP(H54,AzureRegions!$A$4:$C$1493,3,FALSE)</f>
        <v>#N/A</v>
      </c>
      <c r="U54" s="3" t="e">
        <f>VLOOKUP(I54,Resources!$A$2:$AA$1503,2,FALSE)</f>
        <v>#N/A</v>
      </c>
      <c r="V54" s="3" t="e">
        <f>VLOOKUP(I54,Resources!$A$2:$H$1503,6,FALSE)</f>
        <v>#N/A</v>
      </c>
      <c r="W54" s="3" t="str">
        <f>VLOOKUP($H$2,Casing!$A$4:$A$60,1,FALSE)</f>
        <v>Lower</v>
      </c>
      <c r="X54" s="14" t="str">
        <f t="shared" si="1"/>
        <v>001</v>
      </c>
      <c r="Y54" s="3" t="str">
        <f>IFERROR(VLOOKUP(F54,Func!$A$4:$G$1500,2,FALSE),"none")</f>
        <v>none</v>
      </c>
      <c r="Z54" s="3" t="e">
        <f>VLOOKUP(I54,Resources!$A$2:$AA$1503,18,FALSE)</f>
        <v>#N/A</v>
      </c>
      <c r="AA54" s="3" t="str">
        <f>IFERROR(VLOOKUP(B54,Orgs!$A$4:$G$1500,2,FALSE),"none")</f>
        <v>none</v>
      </c>
      <c r="AB54" s="3" t="str">
        <f>IFERROR(VLOOKUP(C54,UnitsDepts!$A$4:$G$1500,2,FALSE),"none")</f>
        <v>none</v>
      </c>
      <c r="AC54" s="3" t="str">
        <f>IFERROR(VLOOKUP(D54,ProjAppSvc!$A$4:$G$1500,2,FALSE),"none")</f>
        <v>none</v>
      </c>
    </row>
    <row r="55" spans="1:29" x14ac:dyDescent="0.45">
      <c r="A55" s="14" t="s">
        <v>23</v>
      </c>
      <c r="B55" s="14"/>
      <c r="C55" s="14"/>
      <c r="D55" s="14"/>
      <c r="H55" s="8"/>
      <c r="I55" s="3"/>
      <c r="J55" s="3" t="str">
        <f t="shared" si="2"/>
        <v/>
      </c>
      <c r="K55" s="3" t="str">
        <f>IF(ISNUMBER(SEARCH("-",V55)),IFERROR(IF($H$2="Lower", LOWER(ComputeResourceName(Z55,#REF!,#REF!,G55,N55,O55,P55,Q55,S55,T55,V55,A55)), UPPER(ComputeResourceName(Z55,#REF!,#REF!,G55,N55,O55,P55,Q55,S55,T55,V55,A55))),""),SUBSTITUTE(IFERROR(IF($H$2="Lower", LOWER(ComputeResourceName(#REF!,#REF!,#REF!,G55,N55,O55,P55,Q55,S55,T55,V55,A55)), UPPER(ComputeResourceName(#REF!,#REF!,#REF!,G55,N55,O55,P55,Q55,S55,T55,V55,A55))),""), "-",""))</f>
        <v/>
      </c>
      <c r="L55" s="3" t="str">
        <f xml:space="preserve"> IF(K55="","",  IFERROR(VLOOKUP(I55,Resources!$B$1:$H$1503,5,FALSE)-LEN(K55),0))</f>
        <v/>
      </c>
      <c r="M55" s="3" t="str">
        <f>IF(K55="","",IFERROR(matches(K55,VLOOKUP(I55,Resources!$A$2:$AA$1503,16,FALSE)),FALSE))</f>
        <v/>
      </c>
      <c r="N55" s="3" t="e">
        <f>VLOOKUP(E55,Enviroments!$A$3:$D$59,1,FALSE)</f>
        <v>#N/A</v>
      </c>
      <c r="O55" s="3" t="e">
        <f>VLOOKUP(E55,Enviroments!$A$3:$D$59,2,FALSE)</f>
        <v>#N/A</v>
      </c>
      <c r="P55" s="3" t="e">
        <f>VLOOKUP(E55,Enviroments!$A$3:$D$59,3,FALSE)</f>
        <v>#N/A</v>
      </c>
      <c r="Q55" s="3" t="e">
        <f>VLOOKUP(E55,Enviroments!$A$3:$D$59,4,FALSE)</f>
        <v>#N/A</v>
      </c>
      <c r="R55" s="3" t="e">
        <f>VLOOKUP(H55,AzureRegions!$A$4:$B$1493,1,FALSE)</f>
        <v>#N/A</v>
      </c>
      <c r="S55" s="3" t="e">
        <f>VLOOKUP(H55,AzureRegions!$A$4:$B$1493,2,FALSE)</f>
        <v>#N/A</v>
      </c>
      <c r="T55" s="3" t="e">
        <f>VLOOKUP(H55,AzureRegions!$A$4:$C$1493,3,FALSE)</f>
        <v>#N/A</v>
      </c>
      <c r="U55" s="3" t="e">
        <f>VLOOKUP(I55,Resources!$A$2:$AA$1503,2,FALSE)</f>
        <v>#N/A</v>
      </c>
      <c r="V55" s="3" t="e">
        <f>VLOOKUP(I55,Resources!$A$2:$H$1503,6,FALSE)</f>
        <v>#N/A</v>
      </c>
      <c r="W55" s="3" t="str">
        <f>VLOOKUP($H$2,Casing!$A$4:$A$60,1,FALSE)</f>
        <v>Lower</v>
      </c>
      <c r="X55" s="14" t="str">
        <f t="shared" si="1"/>
        <v>001</v>
      </c>
      <c r="Y55" s="3" t="str">
        <f>IFERROR(VLOOKUP(F55,Func!$A$4:$G$1500,2,FALSE),"none")</f>
        <v>none</v>
      </c>
      <c r="Z55" s="3" t="e">
        <f>VLOOKUP(I55,Resources!$A$2:$AA$1503,18,FALSE)</f>
        <v>#N/A</v>
      </c>
      <c r="AA55" s="3" t="str">
        <f>IFERROR(VLOOKUP(B55,Orgs!$A$4:$G$1500,2,FALSE),"none")</f>
        <v>none</v>
      </c>
      <c r="AB55" s="3" t="str">
        <f>IFERROR(VLOOKUP(C55,UnitsDepts!$A$4:$G$1500,2,FALSE),"none")</f>
        <v>none</v>
      </c>
      <c r="AC55" s="3" t="str">
        <f>IFERROR(VLOOKUP(D55,ProjAppSvc!$A$4:$G$1500,2,FALSE),"none")</f>
        <v>none</v>
      </c>
    </row>
    <row r="56" spans="1:29" x14ac:dyDescent="0.45">
      <c r="A56" s="14" t="s">
        <v>23</v>
      </c>
      <c r="B56" s="14"/>
      <c r="C56" s="14"/>
      <c r="D56" s="14"/>
      <c r="H56" s="8"/>
      <c r="I56" s="3"/>
      <c r="J56" s="3" t="str">
        <f t="shared" si="2"/>
        <v/>
      </c>
      <c r="K56" s="3" t="str">
        <f>IF(ISNUMBER(SEARCH("-",V56)),IFERROR(IF($H$2="Lower", LOWER(ComputeResourceName(Z56,#REF!,#REF!,G56,N56,O56,P56,Q56,S56,T56,V56,A56)), UPPER(ComputeResourceName(Z56,#REF!,#REF!,G56,N56,O56,P56,Q56,S56,T56,V56,A56))),""),SUBSTITUTE(IFERROR(IF($H$2="Lower", LOWER(ComputeResourceName(#REF!,#REF!,#REF!,G56,N56,O56,P56,Q56,S56,T56,V56,A56)), UPPER(ComputeResourceName(#REF!,#REF!,#REF!,G56,N56,O56,P56,Q56,S56,T56,V56,A56))),""), "-",""))</f>
        <v/>
      </c>
      <c r="L56" s="3" t="str">
        <f xml:space="preserve"> IF(K56="","",  IFERROR(VLOOKUP(I56,Resources!$B$1:$H$1503,5,FALSE)-LEN(K56),0))</f>
        <v/>
      </c>
      <c r="M56" s="3" t="str">
        <f>IF(K56="","",IFERROR(matches(K56,VLOOKUP(I56,Resources!$A$2:$AA$1503,16,FALSE)),FALSE))</f>
        <v/>
      </c>
      <c r="N56" s="3" t="e">
        <f>VLOOKUP(E56,Enviroments!$A$3:$D$59,1,FALSE)</f>
        <v>#N/A</v>
      </c>
      <c r="O56" s="3" t="e">
        <f>VLOOKUP(E56,Enviroments!$A$3:$D$59,2,FALSE)</f>
        <v>#N/A</v>
      </c>
      <c r="P56" s="3" t="e">
        <f>VLOOKUP(E56,Enviroments!$A$3:$D$59,3,FALSE)</f>
        <v>#N/A</v>
      </c>
      <c r="Q56" s="3" t="e">
        <f>VLOOKUP(E56,Enviroments!$A$3:$D$59,4,FALSE)</f>
        <v>#N/A</v>
      </c>
      <c r="R56" s="3" t="e">
        <f>VLOOKUP(H56,AzureRegions!$A$4:$B$1493,1,FALSE)</f>
        <v>#N/A</v>
      </c>
      <c r="S56" s="3" t="e">
        <f>VLOOKUP(H56,AzureRegions!$A$4:$B$1493,2,FALSE)</f>
        <v>#N/A</v>
      </c>
      <c r="T56" s="3" t="e">
        <f>VLOOKUP(H56,AzureRegions!$A$4:$C$1493,3,FALSE)</f>
        <v>#N/A</v>
      </c>
      <c r="U56" s="3" t="e">
        <f>VLOOKUP(I56,Resources!$A$2:$AA$1503,2,FALSE)</f>
        <v>#N/A</v>
      </c>
      <c r="V56" s="3" t="e">
        <f>VLOOKUP(I56,Resources!$A$2:$H$1503,6,FALSE)</f>
        <v>#N/A</v>
      </c>
      <c r="W56" s="3" t="str">
        <f>VLOOKUP($H$2,Casing!$A$4:$A$60,1,FALSE)</f>
        <v>Lower</v>
      </c>
      <c r="X56" s="14" t="str">
        <f t="shared" si="1"/>
        <v>001</v>
      </c>
      <c r="Y56" s="3" t="str">
        <f>IFERROR(VLOOKUP(F56,Func!$A$4:$G$1500,2,FALSE),"none")</f>
        <v>none</v>
      </c>
      <c r="Z56" s="3" t="e">
        <f>VLOOKUP(I56,Resources!$A$2:$AA$1503,18,FALSE)</f>
        <v>#N/A</v>
      </c>
      <c r="AA56" s="3" t="str">
        <f>IFERROR(VLOOKUP(B56,Orgs!$A$4:$G$1500,2,FALSE),"none")</f>
        <v>none</v>
      </c>
      <c r="AB56" s="3" t="str">
        <f>IFERROR(VLOOKUP(C56,UnitsDepts!$A$4:$G$1500,2,FALSE),"none")</f>
        <v>none</v>
      </c>
      <c r="AC56" s="3" t="str">
        <f>IFERROR(VLOOKUP(D56,ProjAppSvc!$A$4:$G$1500,2,FALSE),"none")</f>
        <v>none</v>
      </c>
    </row>
    <row r="57" spans="1:29" x14ac:dyDescent="0.45">
      <c r="A57" s="14" t="s">
        <v>23</v>
      </c>
      <c r="B57" s="14"/>
      <c r="C57" s="14"/>
      <c r="D57" s="14"/>
      <c r="H57" s="8"/>
      <c r="I57" s="3"/>
      <c r="J57" s="3" t="str">
        <f t="shared" si="2"/>
        <v/>
      </c>
      <c r="K57" s="3" t="str">
        <f>IF(ISNUMBER(SEARCH("-",V57)),IFERROR(IF($H$2="Lower", LOWER(ComputeResourceName(Z57,#REF!,#REF!,G57,N57,O57,P57,Q57,S57,T57,V57,A57)), UPPER(ComputeResourceName(Z57,#REF!,#REF!,G57,N57,O57,P57,Q57,S57,T57,V57,A57))),""),SUBSTITUTE(IFERROR(IF($H$2="Lower", LOWER(ComputeResourceName(#REF!,#REF!,#REF!,G57,N57,O57,P57,Q57,S57,T57,V57,A57)), UPPER(ComputeResourceName(#REF!,#REF!,#REF!,G57,N57,O57,P57,Q57,S57,T57,V57,A57))),""), "-",""))</f>
        <v/>
      </c>
      <c r="L57" s="3" t="str">
        <f xml:space="preserve"> IF(K57="","",  IFERROR(VLOOKUP(I57,Resources!$B$1:$H$1503,5,FALSE)-LEN(K57),0))</f>
        <v/>
      </c>
      <c r="M57" s="3" t="str">
        <f>IF(K57="","",IFERROR(matches(K57,VLOOKUP(I57,Resources!$A$2:$AA$1503,16,FALSE)),FALSE))</f>
        <v/>
      </c>
      <c r="N57" s="3" t="e">
        <f>VLOOKUP(E57,Enviroments!$A$3:$D$59,1,FALSE)</f>
        <v>#N/A</v>
      </c>
      <c r="O57" s="3" t="e">
        <f>VLOOKUP(E57,Enviroments!$A$3:$D$59,2,FALSE)</f>
        <v>#N/A</v>
      </c>
      <c r="P57" s="3" t="e">
        <f>VLOOKUP(E57,Enviroments!$A$3:$D$59,3,FALSE)</f>
        <v>#N/A</v>
      </c>
      <c r="Q57" s="3" t="e">
        <f>VLOOKUP(E57,Enviroments!$A$3:$D$59,4,FALSE)</f>
        <v>#N/A</v>
      </c>
      <c r="R57" s="3" t="e">
        <f>VLOOKUP(H57,AzureRegions!$A$4:$B$1493,1,FALSE)</f>
        <v>#N/A</v>
      </c>
      <c r="S57" s="3" t="e">
        <f>VLOOKUP(H57,AzureRegions!$A$4:$B$1493,2,FALSE)</f>
        <v>#N/A</v>
      </c>
      <c r="T57" s="3" t="e">
        <f>VLOOKUP(H57,AzureRegions!$A$4:$C$1493,3,FALSE)</f>
        <v>#N/A</v>
      </c>
      <c r="U57" s="3" t="e">
        <f>VLOOKUP(I57,Resources!$A$2:$AA$1503,2,FALSE)</f>
        <v>#N/A</v>
      </c>
      <c r="V57" s="3" t="e">
        <f>VLOOKUP(I57,Resources!$A$2:$H$1503,6,FALSE)</f>
        <v>#N/A</v>
      </c>
      <c r="W57" s="3" t="str">
        <f>VLOOKUP($H$2,Casing!$A$4:$A$60,1,FALSE)</f>
        <v>Lower</v>
      </c>
      <c r="X57" s="14" t="str">
        <f t="shared" si="1"/>
        <v>001</v>
      </c>
      <c r="Y57" s="3" t="str">
        <f>IFERROR(VLOOKUP(F57,Func!$A$4:$G$1500,2,FALSE),"none")</f>
        <v>none</v>
      </c>
      <c r="Z57" s="3" t="e">
        <f>VLOOKUP(I57,Resources!$A$2:$AA$1503,18,FALSE)</f>
        <v>#N/A</v>
      </c>
      <c r="AA57" s="3" t="str">
        <f>IFERROR(VLOOKUP(B57,Orgs!$A$4:$G$1500,2,FALSE),"none")</f>
        <v>none</v>
      </c>
      <c r="AB57" s="3" t="str">
        <f>IFERROR(VLOOKUP(C57,UnitsDepts!$A$4:$G$1500,2,FALSE),"none")</f>
        <v>none</v>
      </c>
      <c r="AC57" s="3" t="str">
        <f>IFERROR(VLOOKUP(D57,ProjAppSvc!$A$4:$G$1500,2,FALSE),"none")</f>
        <v>none</v>
      </c>
    </row>
    <row r="58" spans="1:29" x14ac:dyDescent="0.45">
      <c r="A58" s="14" t="s">
        <v>23</v>
      </c>
      <c r="B58" s="14"/>
      <c r="C58" s="14"/>
      <c r="D58" s="14"/>
      <c r="H58" s="8"/>
      <c r="I58" s="3"/>
      <c r="J58" s="3" t="str">
        <f t="shared" si="2"/>
        <v/>
      </c>
      <c r="K58" s="3" t="str">
        <f>IF(ISNUMBER(SEARCH("-",V58)),IFERROR(IF($H$2="Lower", LOWER(ComputeResourceName(Z58,#REF!,#REF!,G58,N58,O58,P58,Q58,S58,T58,V58,A58)), UPPER(ComputeResourceName(Z58,#REF!,#REF!,G58,N58,O58,P58,Q58,S58,T58,V58,A58))),""),SUBSTITUTE(IFERROR(IF($H$2="Lower", LOWER(ComputeResourceName(#REF!,#REF!,#REF!,G58,N58,O58,P58,Q58,S58,T58,V58,A58)), UPPER(ComputeResourceName(#REF!,#REF!,#REF!,G58,N58,O58,P58,Q58,S58,T58,V58,A58))),""), "-",""))</f>
        <v/>
      </c>
      <c r="L58" s="3" t="str">
        <f xml:space="preserve"> IF(K58="","",  IFERROR(VLOOKUP(I58,Resources!$B$1:$H$1503,5,FALSE)-LEN(K58),0))</f>
        <v/>
      </c>
      <c r="M58" s="3" t="str">
        <f>IF(K58="","",IFERROR(matches(K58,VLOOKUP(I58,Resources!$A$2:$AA$1503,16,FALSE)),FALSE))</f>
        <v/>
      </c>
      <c r="N58" s="3" t="e">
        <f>VLOOKUP(E58,Enviroments!$A$3:$D$59,1,FALSE)</f>
        <v>#N/A</v>
      </c>
      <c r="O58" s="3" t="e">
        <f>VLOOKUP(E58,Enviroments!$A$3:$D$59,2,FALSE)</f>
        <v>#N/A</v>
      </c>
      <c r="P58" s="3" t="e">
        <f>VLOOKUP(E58,Enviroments!$A$3:$D$59,3,FALSE)</f>
        <v>#N/A</v>
      </c>
      <c r="Q58" s="3" t="e">
        <f>VLOOKUP(E58,Enviroments!$A$3:$D$59,4,FALSE)</f>
        <v>#N/A</v>
      </c>
      <c r="R58" s="3" t="e">
        <f>VLOOKUP(H58,AzureRegions!$A$4:$B$1493,1,FALSE)</f>
        <v>#N/A</v>
      </c>
      <c r="S58" s="3" t="e">
        <f>VLOOKUP(H58,AzureRegions!$A$4:$B$1493,2,FALSE)</f>
        <v>#N/A</v>
      </c>
      <c r="T58" s="3" t="e">
        <f>VLOOKUP(H58,AzureRegions!$A$4:$C$1493,3,FALSE)</f>
        <v>#N/A</v>
      </c>
      <c r="U58" s="3" t="e">
        <f>VLOOKUP(I58,Resources!$A$2:$AA$1503,2,FALSE)</f>
        <v>#N/A</v>
      </c>
      <c r="V58" s="3" t="e">
        <f>VLOOKUP(I58,Resources!$A$2:$H$1503,6,FALSE)</f>
        <v>#N/A</v>
      </c>
      <c r="W58" s="3" t="str">
        <f>VLOOKUP($H$2,Casing!$A$4:$A$60,1,FALSE)</f>
        <v>Lower</v>
      </c>
      <c r="X58" s="14" t="str">
        <f t="shared" si="1"/>
        <v>001</v>
      </c>
      <c r="Y58" s="3" t="str">
        <f>IFERROR(VLOOKUP(F58,Func!$A$4:$G$1500,2,FALSE),"none")</f>
        <v>none</v>
      </c>
      <c r="Z58" s="3" t="e">
        <f>VLOOKUP(I58,Resources!$A$2:$AA$1503,18,FALSE)</f>
        <v>#N/A</v>
      </c>
      <c r="AA58" s="3" t="str">
        <f>IFERROR(VLOOKUP(B58,Orgs!$A$4:$G$1500,2,FALSE),"none")</f>
        <v>none</v>
      </c>
      <c r="AB58" s="3" t="str">
        <f>IFERROR(VLOOKUP(C58,UnitsDepts!$A$4:$G$1500,2,FALSE),"none")</f>
        <v>none</v>
      </c>
      <c r="AC58" s="3" t="str">
        <f>IFERROR(VLOOKUP(D58,ProjAppSvc!$A$4:$G$1500,2,FALSE),"none")</f>
        <v>none</v>
      </c>
    </row>
    <row r="59" spans="1:29" x14ac:dyDescent="0.45">
      <c r="A59" s="14" t="s">
        <v>23</v>
      </c>
      <c r="B59" s="14"/>
      <c r="C59" s="14"/>
      <c r="D59" s="14"/>
      <c r="H59" s="8"/>
      <c r="I59" s="3"/>
      <c r="J59" s="3" t="str">
        <f t="shared" si="2"/>
        <v/>
      </c>
      <c r="K59" s="3" t="str">
        <f>IF(ISNUMBER(SEARCH("-",V59)),IFERROR(IF($H$2="Lower", LOWER(ComputeResourceName(Z59,#REF!,#REF!,G59,N59,O59,P59,Q59,S59,T59,V59,A59)), UPPER(ComputeResourceName(Z59,#REF!,#REF!,G59,N59,O59,P59,Q59,S59,T59,V59,A59))),""),SUBSTITUTE(IFERROR(IF($H$2="Lower", LOWER(ComputeResourceName(#REF!,#REF!,#REF!,G59,N59,O59,P59,Q59,S59,T59,V59,A59)), UPPER(ComputeResourceName(#REF!,#REF!,#REF!,G59,N59,O59,P59,Q59,S59,T59,V59,A59))),""), "-",""))</f>
        <v/>
      </c>
      <c r="L59" s="3" t="str">
        <f xml:space="preserve"> IF(K59="","",  IFERROR(VLOOKUP(I59,Resources!$B$1:$H$1503,5,FALSE)-LEN(K59),0))</f>
        <v/>
      </c>
      <c r="M59" s="3" t="str">
        <f>IF(K59="","",IFERROR(matches(K59,VLOOKUP(I59,Resources!$A$2:$AA$1503,16,FALSE)),FALSE))</f>
        <v/>
      </c>
      <c r="N59" s="3" t="e">
        <f>VLOOKUP(E59,Enviroments!$A$3:$D$59,1,FALSE)</f>
        <v>#N/A</v>
      </c>
      <c r="O59" s="3" t="e">
        <f>VLOOKUP(E59,Enviroments!$A$3:$D$59,2,FALSE)</f>
        <v>#N/A</v>
      </c>
      <c r="P59" s="3" t="e">
        <f>VLOOKUP(E59,Enviroments!$A$3:$D$59,3,FALSE)</f>
        <v>#N/A</v>
      </c>
      <c r="Q59" s="3" t="e">
        <f>VLOOKUP(E59,Enviroments!$A$3:$D$59,4,FALSE)</f>
        <v>#N/A</v>
      </c>
      <c r="R59" s="3" t="e">
        <f>VLOOKUP(H59,AzureRegions!$A$4:$B$1493,1,FALSE)</f>
        <v>#N/A</v>
      </c>
      <c r="S59" s="3" t="e">
        <f>VLOOKUP(H59,AzureRegions!$A$4:$B$1493,2,FALSE)</f>
        <v>#N/A</v>
      </c>
      <c r="T59" s="3" t="e">
        <f>VLOOKUP(H59,AzureRegions!$A$4:$C$1493,3,FALSE)</f>
        <v>#N/A</v>
      </c>
      <c r="U59" s="3" t="e">
        <f>VLOOKUP(I59,Resources!$A$2:$AA$1503,2,FALSE)</f>
        <v>#N/A</v>
      </c>
      <c r="V59" s="3" t="e">
        <f>VLOOKUP(I59,Resources!$A$2:$H$1503,6,FALSE)</f>
        <v>#N/A</v>
      </c>
      <c r="W59" s="3" t="str">
        <f>VLOOKUP($H$2,Casing!$A$4:$A$60,1,FALSE)</f>
        <v>Lower</v>
      </c>
      <c r="X59" s="14" t="str">
        <f t="shared" si="1"/>
        <v>001</v>
      </c>
      <c r="Y59" s="3" t="str">
        <f>IFERROR(VLOOKUP(F59,Func!$A$4:$G$1500,2,FALSE),"none")</f>
        <v>none</v>
      </c>
      <c r="Z59" s="3" t="e">
        <f>VLOOKUP(I59,Resources!$A$2:$AA$1503,18,FALSE)</f>
        <v>#N/A</v>
      </c>
      <c r="AA59" s="3" t="str">
        <f>IFERROR(VLOOKUP(B59,Orgs!$A$4:$G$1500,2,FALSE),"none")</f>
        <v>none</v>
      </c>
      <c r="AB59" s="3" t="str">
        <f>IFERROR(VLOOKUP(C59,UnitsDepts!$A$4:$G$1500,2,FALSE),"none")</f>
        <v>none</v>
      </c>
      <c r="AC59" s="3" t="str">
        <f>IFERROR(VLOOKUP(D59,ProjAppSvc!$A$4:$G$1500,2,FALSE),"none")</f>
        <v>none</v>
      </c>
    </row>
    <row r="60" spans="1:29" x14ac:dyDescent="0.45">
      <c r="A60" s="14" t="s">
        <v>23</v>
      </c>
      <c r="B60" s="14"/>
      <c r="C60" s="14"/>
      <c r="D60" s="14"/>
      <c r="H60" s="8"/>
      <c r="I60" s="3"/>
      <c r="J60" s="3" t="str">
        <f t="shared" si="2"/>
        <v/>
      </c>
      <c r="K60" s="3" t="str">
        <f>IF(ISNUMBER(SEARCH("-",V60)),IFERROR(IF($H$2="Lower", LOWER(ComputeResourceName(Z60,#REF!,#REF!,G60,N60,O60,P60,Q60,S60,T60,V60,A60)), UPPER(ComputeResourceName(Z60,#REF!,#REF!,G60,N60,O60,P60,Q60,S60,T60,V60,A60))),""),SUBSTITUTE(IFERROR(IF($H$2="Lower", LOWER(ComputeResourceName(#REF!,#REF!,#REF!,G60,N60,O60,P60,Q60,S60,T60,V60,A60)), UPPER(ComputeResourceName(#REF!,#REF!,#REF!,G60,N60,O60,P60,Q60,S60,T60,V60,A60))),""), "-",""))</f>
        <v/>
      </c>
      <c r="L60" s="3" t="str">
        <f xml:space="preserve"> IF(K60="","",  IFERROR(VLOOKUP(I60,Resources!$B$1:$H$1503,5,FALSE)-LEN(K60),0))</f>
        <v/>
      </c>
      <c r="M60" s="3" t="str">
        <f>IF(K60="","",IFERROR(matches(K60,VLOOKUP(I60,Resources!$A$2:$AA$1503,16,FALSE)),FALSE))</f>
        <v/>
      </c>
      <c r="N60" s="3" t="e">
        <f>VLOOKUP(E60,Enviroments!$A$3:$D$59,1,FALSE)</f>
        <v>#N/A</v>
      </c>
      <c r="O60" s="3" t="e">
        <f>VLOOKUP(E60,Enviroments!$A$3:$D$59,2,FALSE)</f>
        <v>#N/A</v>
      </c>
      <c r="P60" s="3" t="e">
        <f>VLOOKUP(E60,Enviroments!$A$3:$D$59,3,FALSE)</f>
        <v>#N/A</v>
      </c>
      <c r="Q60" s="3" t="e">
        <f>VLOOKUP(E60,Enviroments!$A$3:$D$59,4,FALSE)</f>
        <v>#N/A</v>
      </c>
      <c r="R60" s="3" t="e">
        <f>VLOOKUP(H60,AzureRegions!$A$4:$B$1493,1,FALSE)</f>
        <v>#N/A</v>
      </c>
      <c r="S60" s="3" t="e">
        <f>VLOOKUP(H60,AzureRegions!$A$4:$B$1493,2,FALSE)</f>
        <v>#N/A</v>
      </c>
      <c r="T60" s="3" t="e">
        <f>VLOOKUP(H60,AzureRegions!$A$4:$C$1493,3,FALSE)</f>
        <v>#N/A</v>
      </c>
      <c r="U60" s="3" t="e">
        <f>VLOOKUP(I60,Resources!$A$2:$AA$1503,2,FALSE)</f>
        <v>#N/A</v>
      </c>
      <c r="V60" s="3" t="e">
        <f>VLOOKUP(I60,Resources!$A$2:$H$1503,6,FALSE)</f>
        <v>#N/A</v>
      </c>
      <c r="W60" s="3" t="str">
        <f>VLOOKUP($H$2,Casing!$A$4:$A$60,1,FALSE)</f>
        <v>Lower</v>
      </c>
      <c r="X60" s="14" t="str">
        <f t="shared" si="1"/>
        <v>001</v>
      </c>
      <c r="Y60" s="3" t="str">
        <f>IFERROR(VLOOKUP(F60,Func!$A$4:$G$1500,2,FALSE),"none")</f>
        <v>none</v>
      </c>
      <c r="Z60" s="3" t="e">
        <f>VLOOKUP(I60,Resources!$A$2:$AA$1503,18,FALSE)</f>
        <v>#N/A</v>
      </c>
      <c r="AA60" s="3" t="str">
        <f>IFERROR(VLOOKUP(B60,Orgs!$A$4:$G$1500,2,FALSE),"none")</f>
        <v>none</v>
      </c>
      <c r="AB60" s="3" t="str">
        <f>IFERROR(VLOOKUP(C60,UnitsDepts!$A$4:$G$1500,2,FALSE),"none")</f>
        <v>none</v>
      </c>
      <c r="AC60" s="3" t="str">
        <f>IFERROR(VLOOKUP(D60,ProjAppSvc!$A$4:$G$1500,2,FALSE),"none")</f>
        <v>none</v>
      </c>
    </row>
    <row r="61" spans="1:29" x14ac:dyDescent="0.45">
      <c r="A61" s="14" t="s">
        <v>23</v>
      </c>
      <c r="B61" s="14"/>
      <c r="C61" s="14"/>
      <c r="D61" s="14"/>
      <c r="H61" s="8"/>
      <c r="I61" s="3"/>
      <c r="J61" s="3" t="str">
        <f t="shared" si="2"/>
        <v/>
      </c>
      <c r="K61" s="3" t="str">
        <f>IF(ISNUMBER(SEARCH("-",V61)),IFERROR(IF($H$2="Lower", LOWER(ComputeResourceName(Z61,#REF!,#REF!,G61,N61,O61,P61,Q61,S61,T61,V61,A61)), UPPER(ComputeResourceName(Z61,#REF!,#REF!,G61,N61,O61,P61,Q61,S61,T61,V61,A61))),""),SUBSTITUTE(IFERROR(IF($H$2="Lower", LOWER(ComputeResourceName(#REF!,#REF!,#REF!,G61,N61,O61,P61,Q61,S61,T61,V61,A61)), UPPER(ComputeResourceName(#REF!,#REF!,#REF!,G61,N61,O61,P61,Q61,S61,T61,V61,A61))),""), "-",""))</f>
        <v/>
      </c>
      <c r="L61" s="3" t="str">
        <f xml:space="preserve"> IF(K61="","",  IFERROR(VLOOKUP(I61,Resources!$B$1:$H$1503,5,FALSE)-LEN(K61),0))</f>
        <v/>
      </c>
      <c r="M61" s="3" t="str">
        <f>IF(K61="","",IFERROR(matches(K61,VLOOKUP(I61,Resources!$A$2:$AA$1503,16,FALSE)),FALSE))</f>
        <v/>
      </c>
      <c r="N61" s="3" t="e">
        <f>VLOOKUP(E61,Enviroments!$A$3:$D$59,1,FALSE)</f>
        <v>#N/A</v>
      </c>
      <c r="O61" s="3" t="e">
        <f>VLOOKUP(E61,Enviroments!$A$3:$D$59,2,FALSE)</f>
        <v>#N/A</v>
      </c>
      <c r="P61" s="3" t="e">
        <f>VLOOKUP(E61,Enviroments!$A$3:$D$59,3,FALSE)</f>
        <v>#N/A</v>
      </c>
      <c r="Q61" s="3" t="e">
        <f>VLOOKUP(E61,Enviroments!$A$3:$D$59,4,FALSE)</f>
        <v>#N/A</v>
      </c>
      <c r="R61" s="3" t="e">
        <f>VLOOKUP(H61,AzureRegions!$A$4:$B$1493,1,FALSE)</f>
        <v>#N/A</v>
      </c>
      <c r="S61" s="3" t="e">
        <f>VLOOKUP(H61,AzureRegions!$A$4:$B$1493,2,FALSE)</f>
        <v>#N/A</v>
      </c>
      <c r="T61" s="3" t="e">
        <f>VLOOKUP(H61,AzureRegions!$A$4:$C$1493,3,FALSE)</f>
        <v>#N/A</v>
      </c>
      <c r="U61" s="3" t="e">
        <f>VLOOKUP(I61,Resources!$A$2:$AA$1503,2,FALSE)</f>
        <v>#N/A</v>
      </c>
      <c r="V61" s="3" t="e">
        <f>VLOOKUP(I61,Resources!$A$2:$H$1503,6,FALSE)</f>
        <v>#N/A</v>
      </c>
      <c r="W61" s="3" t="str">
        <f>VLOOKUP($H$2,Casing!$A$4:$A$60,1,FALSE)</f>
        <v>Lower</v>
      </c>
      <c r="X61" s="14" t="str">
        <f t="shared" si="1"/>
        <v>001</v>
      </c>
      <c r="Y61" s="3" t="str">
        <f>IFERROR(VLOOKUP(F61,Func!$A$4:$G$1500,2,FALSE),"none")</f>
        <v>none</v>
      </c>
      <c r="Z61" s="3" t="e">
        <f>VLOOKUP(I61,Resources!$A$2:$AA$1503,18,FALSE)</f>
        <v>#N/A</v>
      </c>
      <c r="AA61" s="3" t="str">
        <f>IFERROR(VLOOKUP(B61,Orgs!$A$4:$G$1500,2,FALSE),"none")</f>
        <v>none</v>
      </c>
      <c r="AB61" s="3" t="str">
        <f>IFERROR(VLOOKUP(C61,UnitsDepts!$A$4:$G$1500,2,FALSE),"none")</f>
        <v>none</v>
      </c>
      <c r="AC61" s="3" t="str">
        <f>IFERROR(VLOOKUP(D61,ProjAppSvc!$A$4:$G$1500,2,FALSE),"none")</f>
        <v>none</v>
      </c>
    </row>
    <row r="62" spans="1:29" x14ac:dyDescent="0.45">
      <c r="A62" s="14" t="s">
        <v>23</v>
      </c>
      <c r="B62" s="14"/>
      <c r="C62" s="14"/>
      <c r="D62" s="14"/>
      <c r="H62" s="8"/>
      <c r="I62" s="3"/>
      <c r="J62" s="3" t="str">
        <f t="shared" si="2"/>
        <v/>
      </c>
      <c r="K62" s="3" t="str">
        <f>IF(ISNUMBER(SEARCH("-",V62)),IFERROR(IF($H$2="Lower", LOWER(ComputeResourceName(Z62,#REF!,#REF!,G62,N62,O62,P62,Q62,S62,T62,V62,A62)), UPPER(ComputeResourceName(Z62,#REF!,#REF!,G62,N62,O62,P62,Q62,S62,T62,V62,A62))),""),SUBSTITUTE(IFERROR(IF($H$2="Lower", LOWER(ComputeResourceName(#REF!,#REF!,#REF!,G62,N62,O62,P62,Q62,S62,T62,V62,A62)), UPPER(ComputeResourceName(#REF!,#REF!,#REF!,G62,N62,O62,P62,Q62,S62,T62,V62,A62))),""), "-",""))</f>
        <v/>
      </c>
      <c r="L62" s="3" t="str">
        <f xml:space="preserve"> IF(K62="","",  IFERROR(VLOOKUP(I62,Resources!$B$1:$H$1503,5,FALSE)-LEN(K62),0))</f>
        <v/>
      </c>
      <c r="M62" s="3" t="str">
        <f>IF(K62="","",IFERROR(matches(K62,VLOOKUP(I62,Resources!$A$2:$AA$1503,16,FALSE)),FALSE))</f>
        <v/>
      </c>
      <c r="N62" s="3" t="e">
        <f>VLOOKUP(E62,Enviroments!$A$3:$D$59,1,FALSE)</f>
        <v>#N/A</v>
      </c>
      <c r="O62" s="3" t="e">
        <f>VLOOKUP(E62,Enviroments!$A$3:$D$59,2,FALSE)</f>
        <v>#N/A</v>
      </c>
      <c r="P62" s="3" t="e">
        <f>VLOOKUP(E62,Enviroments!$A$3:$D$59,3,FALSE)</f>
        <v>#N/A</v>
      </c>
      <c r="Q62" s="3" t="e">
        <f>VLOOKUP(E62,Enviroments!$A$3:$D$59,4,FALSE)</f>
        <v>#N/A</v>
      </c>
      <c r="R62" s="3" t="e">
        <f>VLOOKUP(H62,AzureRegions!$A$4:$B$1493,1,FALSE)</f>
        <v>#N/A</v>
      </c>
      <c r="S62" s="3" t="e">
        <f>VLOOKUP(H62,AzureRegions!$A$4:$B$1493,2,FALSE)</f>
        <v>#N/A</v>
      </c>
      <c r="T62" s="3" t="e">
        <f>VLOOKUP(H62,AzureRegions!$A$4:$C$1493,3,FALSE)</f>
        <v>#N/A</v>
      </c>
      <c r="U62" s="3" t="e">
        <f>VLOOKUP(I62,Resources!$A$2:$AA$1503,2,FALSE)</f>
        <v>#N/A</v>
      </c>
      <c r="V62" s="3" t="e">
        <f>VLOOKUP(I62,Resources!$A$2:$H$1503,6,FALSE)</f>
        <v>#N/A</v>
      </c>
      <c r="W62" s="3" t="str">
        <f>VLOOKUP($H$2,Casing!$A$4:$A$60,1,FALSE)</f>
        <v>Lower</v>
      </c>
      <c r="X62" s="14" t="str">
        <f t="shared" si="1"/>
        <v>001</v>
      </c>
      <c r="Y62" s="3" t="str">
        <f>IFERROR(VLOOKUP(F62,Func!$A$4:$G$1500,2,FALSE),"none")</f>
        <v>none</v>
      </c>
      <c r="Z62" s="3" t="e">
        <f>VLOOKUP(I62,Resources!$A$2:$AA$1503,18,FALSE)</f>
        <v>#N/A</v>
      </c>
      <c r="AA62" s="3" t="str">
        <f>IFERROR(VLOOKUP(B62,Orgs!$A$4:$G$1500,2,FALSE),"none")</f>
        <v>none</v>
      </c>
      <c r="AB62" s="3" t="str">
        <f>IFERROR(VLOOKUP(C62,UnitsDepts!$A$4:$G$1500,2,FALSE),"none")</f>
        <v>none</v>
      </c>
      <c r="AC62" s="3" t="str">
        <f>IFERROR(VLOOKUP(D62,ProjAppSvc!$A$4:$G$1500,2,FALSE),"none")</f>
        <v>none</v>
      </c>
    </row>
    <row r="63" spans="1:29" x14ac:dyDescent="0.45">
      <c r="A63" s="14" t="s">
        <v>23</v>
      </c>
      <c r="B63" s="14"/>
      <c r="C63" s="14"/>
      <c r="D63" s="14"/>
      <c r="H63" s="8"/>
      <c r="I63" s="3"/>
      <c r="J63" s="3" t="str">
        <f t="shared" si="2"/>
        <v/>
      </c>
      <c r="K63" s="3" t="str">
        <f>IF(ISNUMBER(SEARCH("-",V63)),IFERROR(IF($H$2="Lower", LOWER(ComputeResourceName(Z63,#REF!,#REF!,G63,N63,O63,P63,Q63,S63,T63,V63,A63)), UPPER(ComputeResourceName(Z63,#REF!,#REF!,G63,N63,O63,P63,Q63,S63,T63,V63,A63))),""),SUBSTITUTE(IFERROR(IF($H$2="Lower", LOWER(ComputeResourceName(#REF!,#REF!,#REF!,G63,N63,O63,P63,Q63,S63,T63,V63,A63)), UPPER(ComputeResourceName(#REF!,#REF!,#REF!,G63,N63,O63,P63,Q63,S63,T63,V63,A63))),""), "-",""))</f>
        <v/>
      </c>
      <c r="L63" s="3" t="str">
        <f xml:space="preserve"> IF(K63="","",  IFERROR(VLOOKUP(I63,Resources!$B$1:$H$1503,5,FALSE)-LEN(K63),0))</f>
        <v/>
      </c>
      <c r="M63" s="3" t="str">
        <f>IF(K63="","",IFERROR(matches(K63,VLOOKUP(I63,Resources!$A$2:$AA$1503,16,FALSE)),FALSE))</f>
        <v/>
      </c>
      <c r="N63" s="3" t="e">
        <f>VLOOKUP(E63,Enviroments!$A$3:$D$59,1,FALSE)</f>
        <v>#N/A</v>
      </c>
      <c r="O63" s="3" t="e">
        <f>VLOOKUP(E63,Enviroments!$A$3:$D$59,2,FALSE)</f>
        <v>#N/A</v>
      </c>
      <c r="P63" s="3" t="e">
        <f>VLOOKUP(E63,Enviroments!$A$3:$D$59,3,FALSE)</f>
        <v>#N/A</v>
      </c>
      <c r="Q63" s="3" t="e">
        <f>VLOOKUP(E63,Enviroments!$A$3:$D$59,4,FALSE)</f>
        <v>#N/A</v>
      </c>
      <c r="R63" s="3" t="e">
        <f>VLOOKUP(H63,AzureRegions!$A$4:$B$1493,1,FALSE)</f>
        <v>#N/A</v>
      </c>
      <c r="S63" s="3" t="e">
        <f>VLOOKUP(H63,AzureRegions!$A$4:$B$1493,2,FALSE)</f>
        <v>#N/A</v>
      </c>
      <c r="T63" s="3" t="e">
        <f>VLOOKUP(H63,AzureRegions!$A$4:$C$1493,3,FALSE)</f>
        <v>#N/A</v>
      </c>
      <c r="U63" s="3" t="e">
        <f>VLOOKUP(I63,Resources!$A$2:$AA$1503,2,FALSE)</f>
        <v>#N/A</v>
      </c>
      <c r="V63" s="3" t="e">
        <f>VLOOKUP(I63,Resources!$A$2:$H$1503,6,FALSE)</f>
        <v>#N/A</v>
      </c>
      <c r="W63" s="3" t="str">
        <f>VLOOKUP($H$2,Casing!$A$4:$A$60,1,FALSE)</f>
        <v>Lower</v>
      </c>
      <c r="X63" s="14" t="str">
        <f t="shared" si="1"/>
        <v>001</v>
      </c>
      <c r="Y63" s="3" t="str">
        <f>IFERROR(VLOOKUP(F63,Func!$A$4:$G$1500,2,FALSE),"none")</f>
        <v>none</v>
      </c>
      <c r="Z63" s="3" t="e">
        <f>VLOOKUP(I63,Resources!$A$2:$AA$1503,18,FALSE)</f>
        <v>#N/A</v>
      </c>
      <c r="AA63" s="3" t="str">
        <f>IFERROR(VLOOKUP(B63,Orgs!$A$4:$G$1500,2,FALSE),"none")</f>
        <v>none</v>
      </c>
      <c r="AB63" s="3" t="str">
        <f>IFERROR(VLOOKUP(C63,UnitsDepts!$A$4:$G$1500,2,FALSE),"none")</f>
        <v>none</v>
      </c>
      <c r="AC63" s="3" t="str">
        <f>IFERROR(VLOOKUP(D63,ProjAppSvc!$A$4:$G$1500,2,FALSE),"none")</f>
        <v>none</v>
      </c>
    </row>
    <row r="64" spans="1:29" x14ac:dyDescent="0.45">
      <c r="A64" s="14" t="s">
        <v>23</v>
      </c>
      <c r="B64" s="14"/>
      <c r="C64" s="14"/>
      <c r="D64" s="14"/>
      <c r="H64" s="8"/>
      <c r="I64" s="3"/>
      <c r="J64" s="3" t="str">
        <f t="shared" si="2"/>
        <v/>
      </c>
      <c r="K64" s="3" t="str">
        <f>IF(ISNUMBER(SEARCH("-",V64)),IFERROR(IF($H$2="Lower", LOWER(ComputeResourceName(Z64,#REF!,#REF!,G64,N64,O64,P64,Q64,S64,T64,V64,A64)), UPPER(ComputeResourceName(Z64,#REF!,#REF!,G64,N64,O64,P64,Q64,S64,T64,V64,A64))),""),SUBSTITUTE(IFERROR(IF($H$2="Lower", LOWER(ComputeResourceName(#REF!,#REF!,#REF!,G64,N64,O64,P64,Q64,S64,T64,V64,A64)), UPPER(ComputeResourceName(#REF!,#REF!,#REF!,G64,N64,O64,P64,Q64,S64,T64,V64,A64))),""), "-",""))</f>
        <v/>
      </c>
      <c r="L64" s="3" t="str">
        <f xml:space="preserve"> IF(K64="","",  IFERROR(VLOOKUP(I64,Resources!$B$1:$H$1503,5,FALSE)-LEN(K64),0))</f>
        <v/>
      </c>
      <c r="M64" s="3" t="str">
        <f>IF(K64="","",IFERROR(matches(K64,VLOOKUP(I64,Resources!$A$2:$AA$1503,16,FALSE)),FALSE))</f>
        <v/>
      </c>
      <c r="N64" s="3" t="e">
        <f>VLOOKUP(E64,Enviroments!$A$3:$D$59,1,FALSE)</f>
        <v>#N/A</v>
      </c>
      <c r="O64" s="3" t="e">
        <f>VLOOKUP(E64,Enviroments!$A$3:$D$59,2,FALSE)</f>
        <v>#N/A</v>
      </c>
      <c r="P64" s="3" t="e">
        <f>VLOOKUP(E64,Enviroments!$A$3:$D$59,3,FALSE)</f>
        <v>#N/A</v>
      </c>
      <c r="Q64" s="3" t="e">
        <f>VLOOKUP(E64,Enviroments!$A$3:$D$59,4,FALSE)</f>
        <v>#N/A</v>
      </c>
      <c r="R64" s="3" t="e">
        <f>VLOOKUP(H64,AzureRegions!$A$4:$B$1493,1,FALSE)</f>
        <v>#N/A</v>
      </c>
      <c r="S64" s="3" t="e">
        <f>VLOOKUP(H64,AzureRegions!$A$4:$B$1493,2,FALSE)</f>
        <v>#N/A</v>
      </c>
      <c r="T64" s="3" t="e">
        <f>VLOOKUP(H64,AzureRegions!$A$4:$C$1493,3,FALSE)</f>
        <v>#N/A</v>
      </c>
      <c r="U64" s="3" t="e">
        <f>VLOOKUP(I64,Resources!$A$2:$AA$1503,2,FALSE)</f>
        <v>#N/A</v>
      </c>
      <c r="V64" s="3" t="e">
        <f>VLOOKUP(I64,Resources!$A$2:$H$1503,6,FALSE)</f>
        <v>#N/A</v>
      </c>
      <c r="W64" s="3" t="str">
        <f>VLOOKUP($H$2,Casing!$A$4:$A$60,1,FALSE)</f>
        <v>Lower</v>
      </c>
      <c r="X64" s="14" t="str">
        <f t="shared" si="1"/>
        <v>001</v>
      </c>
      <c r="Y64" s="3" t="str">
        <f>IFERROR(VLOOKUP(F64,Func!$A$4:$G$1500,2,FALSE),"none")</f>
        <v>none</v>
      </c>
      <c r="Z64" s="3" t="e">
        <f>VLOOKUP(I64,Resources!$A$2:$AA$1503,18,FALSE)</f>
        <v>#N/A</v>
      </c>
      <c r="AA64" s="3" t="str">
        <f>IFERROR(VLOOKUP(B64,Orgs!$A$4:$G$1500,2,FALSE),"none")</f>
        <v>none</v>
      </c>
      <c r="AB64" s="3" t="str">
        <f>IFERROR(VLOOKUP(C64,UnitsDepts!$A$4:$G$1500,2,FALSE),"none")</f>
        <v>none</v>
      </c>
      <c r="AC64" s="3" t="str">
        <f>IFERROR(VLOOKUP(D64,ProjAppSvc!$A$4:$G$1500,2,FALSE),"none")</f>
        <v>none</v>
      </c>
    </row>
    <row r="65" spans="1:29" x14ac:dyDescent="0.45">
      <c r="A65" s="14" t="s">
        <v>23</v>
      </c>
      <c r="B65" s="14"/>
      <c r="C65" s="14"/>
      <c r="D65" s="14"/>
      <c r="H65" s="8"/>
      <c r="I65" s="3"/>
      <c r="J65" s="3" t="str">
        <f t="shared" si="2"/>
        <v/>
      </c>
      <c r="K65" s="3" t="str">
        <f>IF(ISNUMBER(SEARCH("-",V65)),IFERROR(IF($H$2="Lower", LOWER(ComputeResourceName(Z65,#REF!,#REF!,G65,N65,O65,P65,Q65,S65,T65,V65,A65)), UPPER(ComputeResourceName(Z65,#REF!,#REF!,G65,N65,O65,P65,Q65,S65,T65,V65,A65))),""),SUBSTITUTE(IFERROR(IF($H$2="Lower", LOWER(ComputeResourceName(#REF!,#REF!,#REF!,G65,N65,O65,P65,Q65,S65,T65,V65,A65)), UPPER(ComputeResourceName(#REF!,#REF!,#REF!,G65,N65,O65,P65,Q65,S65,T65,V65,A65))),""), "-",""))</f>
        <v/>
      </c>
      <c r="L65" s="3" t="str">
        <f xml:space="preserve"> IF(K65="","",  IFERROR(VLOOKUP(I65,Resources!$B$1:$H$1503,5,FALSE)-LEN(K65),0))</f>
        <v/>
      </c>
      <c r="M65" s="3" t="str">
        <f>IF(K65="","",IFERROR(matches(K65,VLOOKUP(I65,Resources!$A$2:$AA$1503,16,FALSE)),FALSE))</f>
        <v/>
      </c>
      <c r="N65" s="3" t="e">
        <f>VLOOKUP(E65,Enviroments!$A$3:$D$59,1,FALSE)</f>
        <v>#N/A</v>
      </c>
      <c r="O65" s="3" t="e">
        <f>VLOOKUP(E65,Enviroments!$A$3:$D$59,2,FALSE)</f>
        <v>#N/A</v>
      </c>
      <c r="P65" s="3" t="e">
        <f>VLOOKUP(E65,Enviroments!$A$3:$D$59,3,FALSE)</f>
        <v>#N/A</v>
      </c>
      <c r="Q65" s="3" t="e">
        <f>VLOOKUP(E65,Enviroments!$A$3:$D$59,4,FALSE)</f>
        <v>#N/A</v>
      </c>
      <c r="R65" s="3" t="e">
        <f>VLOOKUP(H65,AzureRegions!$A$4:$B$1493,1,FALSE)</f>
        <v>#N/A</v>
      </c>
      <c r="S65" s="3" t="e">
        <f>VLOOKUP(H65,AzureRegions!$A$4:$B$1493,2,FALSE)</f>
        <v>#N/A</v>
      </c>
      <c r="T65" s="3" t="e">
        <f>VLOOKUP(H65,AzureRegions!$A$4:$C$1493,3,FALSE)</f>
        <v>#N/A</v>
      </c>
      <c r="U65" s="3" t="e">
        <f>VLOOKUP(I65,Resources!$A$2:$AA$1503,2,FALSE)</f>
        <v>#N/A</v>
      </c>
      <c r="V65" s="3" t="e">
        <f>VLOOKUP(I65,Resources!$A$2:$H$1503,6,FALSE)</f>
        <v>#N/A</v>
      </c>
      <c r="W65" s="3" t="str">
        <f>VLOOKUP($H$2,Casing!$A$4:$A$60,1,FALSE)</f>
        <v>Lower</v>
      </c>
      <c r="X65" s="14" t="str">
        <f t="shared" si="1"/>
        <v>001</v>
      </c>
      <c r="Y65" s="3" t="str">
        <f>IFERROR(VLOOKUP(F65,Func!$A$4:$G$1500,2,FALSE),"none")</f>
        <v>none</v>
      </c>
      <c r="Z65" s="3" t="e">
        <f>VLOOKUP(I65,Resources!$A$2:$AA$1503,18,FALSE)</f>
        <v>#N/A</v>
      </c>
      <c r="AA65" s="3" t="str">
        <f>IFERROR(VLOOKUP(B65,Orgs!$A$4:$G$1500,2,FALSE),"none")</f>
        <v>none</v>
      </c>
      <c r="AB65" s="3" t="str">
        <f>IFERROR(VLOOKUP(C65,UnitsDepts!$A$4:$G$1500,2,FALSE),"none")</f>
        <v>none</v>
      </c>
      <c r="AC65" s="3" t="str">
        <f>IFERROR(VLOOKUP(D65,ProjAppSvc!$A$4:$G$1500,2,FALSE),"none")</f>
        <v>none</v>
      </c>
    </row>
    <row r="66" spans="1:29" x14ac:dyDescent="0.45">
      <c r="A66" s="14" t="s">
        <v>23</v>
      </c>
      <c r="B66" s="14"/>
      <c r="C66" s="14"/>
      <c r="D66" s="14"/>
      <c r="H66" s="8"/>
      <c r="I66" s="3"/>
      <c r="J66" s="3" t="str">
        <f t="shared" si="2"/>
        <v/>
      </c>
      <c r="K66" s="3" t="str">
        <f>IF(ISNUMBER(SEARCH("-",V66)),IFERROR(IF($H$2="Lower", LOWER(ComputeResourceName(Z66,#REF!,#REF!,G66,N66,O66,P66,Q66,S66,T66,V66,A66)), UPPER(ComputeResourceName(Z66,#REF!,#REF!,G66,N66,O66,P66,Q66,S66,T66,V66,A66))),""),SUBSTITUTE(IFERROR(IF($H$2="Lower", LOWER(ComputeResourceName(#REF!,#REF!,#REF!,G66,N66,O66,P66,Q66,S66,T66,V66,A66)), UPPER(ComputeResourceName(#REF!,#REF!,#REF!,G66,N66,O66,P66,Q66,S66,T66,V66,A66))),""), "-",""))</f>
        <v/>
      </c>
      <c r="L66" s="3" t="str">
        <f xml:space="preserve"> IF(K66="","",  IFERROR(VLOOKUP(I66,Resources!$B$1:$H$1503,5,FALSE)-LEN(K66),0))</f>
        <v/>
      </c>
      <c r="M66" s="3" t="str">
        <f>IF(K66="","",IFERROR(matches(K66,VLOOKUP(I66,Resources!$A$2:$AA$1503,16,FALSE)),FALSE))</f>
        <v/>
      </c>
      <c r="N66" s="3" t="e">
        <f>VLOOKUP(E66,Enviroments!$A$3:$D$59,1,FALSE)</f>
        <v>#N/A</v>
      </c>
      <c r="O66" s="3" t="e">
        <f>VLOOKUP(E66,Enviroments!$A$3:$D$59,2,FALSE)</f>
        <v>#N/A</v>
      </c>
      <c r="P66" s="3" t="e">
        <f>VLOOKUP(E66,Enviroments!$A$3:$D$59,3,FALSE)</f>
        <v>#N/A</v>
      </c>
      <c r="Q66" s="3" t="e">
        <f>VLOOKUP(E66,Enviroments!$A$3:$D$59,4,FALSE)</f>
        <v>#N/A</v>
      </c>
      <c r="R66" s="3" t="e">
        <f>VLOOKUP(H66,AzureRegions!$A$4:$B$1493,1,FALSE)</f>
        <v>#N/A</v>
      </c>
      <c r="S66" s="3" t="e">
        <f>VLOOKUP(H66,AzureRegions!$A$4:$B$1493,2,FALSE)</f>
        <v>#N/A</v>
      </c>
      <c r="T66" s="3" t="e">
        <f>VLOOKUP(H66,AzureRegions!$A$4:$C$1493,3,FALSE)</f>
        <v>#N/A</v>
      </c>
      <c r="U66" s="3" t="e">
        <f>VLOOKUP(I66,Resources!$A$2:$AA$1503,2,FALSE)</f>
        <v>#N/A</v>
      </c>
      <c r="V66" s="3" t="e">
        <f>VLOOKUP(I66,Resources!$A$2:$H$1503,6,FALSE)</f>
        <v>#N/A</v>
      </c>
      <c r="W66" s="3" t="str">
        <f>VLOOKUP($H$2,Casing!$A$4:$A$60,1,FALSE)</f>
        <v>Lower</v>
      </c>
      <c r="X66" s="14" t="str">
        <f t="shared" si="1"/>
        <v>001</v>
      </c>
      <c r="Y66" s="3" t="str">
        <f>IFERROR(VLOOKUP(F66,Func!$A$4:$G$1500,2,FALSE),"none")</f>
        <v>none</v>
      </c>
      <c r="Z66" s="3" t="e">
        <f>VLOOKUP(I66,Resources!$A$2:$AA$1503,18,FALSE)</f>
        <v>#N/A</v>
      </c>
      <c r="AA66" s="3" t="str">
        <f>IFERROR(VLOOKUP(B66,Orgs!$A$4:$G$1500,2,FALSE),"none")</f>
        <v>none</v>
      </c>
      <c r="AB66" s="3" t="str">
        <f>IFERROR(VLOOKUP(C66,UnitsDepts!$A$4:$G$1500,2,FALSE),"none")</f>
        <v>none</v>
      </c>
      <c r="AC66" s="3" t="str">
        <f>IFERROR(VLOOKUP(D66,ProjAppSvc!$A$4:$G$1500,2,FALSE),"none")</f>
        <v>none</v>
      </c>
    </row>
    <row r="67" spans="1:29" x14ac:dyDescent="0.45">
      <c r="A67" s="14" t="s">
        <v>23</v>
      </c>
      <c r="B67" s="14"/>
      <c r="C67" s="14"/>
      <c r="D67" s="14"/>
      <c r="H67" s="8"/>
      <c r="I67" s="3"/>
      <c r="J67" s="3" t="str">
        <f t="shared" si="2"/>
        <v/>
      </c>
      <c r="K67" s="3" t="str">
        <f>IF(ISNUMBER(SEARCH("-",V67)),IFERROR(IF($H$2="Lower", LOWER(ComputeResourceName(Z67,#REF!,#REF!,G67,N67,O67,P67,Q67,S67,T67,V67,A67)), UPPER(ComputeResourceName(Z67,#REF!,#REF!,G67,N67,O67,P67,Q67,S67,T67,V67,A67))),""),SUBSTITUTE(IFERROR(IF($H$2="Lower", LOWER(ComputeResourceName(#REF!,#REF!,#REF!,G67,N67,O67,P67,Q67,S67,T67,V67,A67)), UPPER(ComputeResourceName(#REF!,#REF!,#REF!,G67,N67,O67,P67,Q67,S67,T67,V67,A67))),""), "-",""))</f>
        <v/>
      </c>
      <c r="L67" s="3" t="str">
        <f xml:space="preserve"> IF(K67="","",  IFERROR(VLOOKUP(I67,Resources!$B$1:$H$1503,5,FALSE)-LEN(K67),0))</f>
        <v/>
      </c>
      <c r="M67" s="3" t="str">
        <f>IF(K67="","",IFERROR(matches(K67,VLOOKUP(I67,Resources!$A$2:$AA$1503,16,FALSE)),FALSE))</f>
        <v/>
      </c>
      <c r="N67" s="3" t="e">
        <f>VLOOKUP(E67,Enviroments!$A$3:$D$59,1,FALSE)</f>
        <v>#N/A</v>
      </c>
      <c r="O67" s="3" t="e">
        <f>VLOOKUP(E67,Enviroments!$A$3:$D$59,2,FALSE)</f>
        <v>#N/A</v>
      </c>
      <c r="P67" s="3" t="e">
        <f>VLOOKUP(E67,Enviroments!$A$3:$D$59,3,FALSE)</f>
        <v>#N/A</v>
      </c>
      <c r="Q67" s="3" t="e">
        <f>VLOOKUP(E67,Enviroments!$A$3:$D$59,4,FALSE)</f>
        <v>#N/A</v>
      </c>
      <c r="R67" s="3" t="e">
        <f>VLOOKUP(H67,AzureRegions!$A$4:$B$1493,1,FALSE)</f>
        <v>#N/A</v>
      </c>
      <c r="S67" s="3" t="e">
        <f>VLOOKUP(H67,AzureRegions!$A$4:$B$1493,2,FALSE)</f>
        <v>#N/A</v>
      </c>
      <c r="T67" s="3" t="e">
        <f>VLOOKUP(H67,AzureRegions!$A$4:$C$1493,3,FALSE)</f>
        <v>#N/A</v>
      </c>
      <c r="U67" s="3" t="e">
        <f>VLOOKUP(I67,Resources!$A$2:$AA$1503,2,FALSE)</f>
        <v>#N/A</v>
      </c>
      <c r="V67" s="3" t="e">
        <f>VLOOKUP(I67,Resources!$A$2:$H$1503,6,FALSE)</f>
        <v>#N/A</v>
      </c>
      <c r="W67" s="3" t="str">
        <f>VLOOKUP($H$2,Casing!$A$4:$A$60,1,FALSE)</f>
        <v>Lower</v>
      </c>
      <c r="X67" s="14" t="str">
        <f t="shared" si="1"/>
        <v>001</v>
      </c>
      <c r="Y67" s="3" t="str">
        <f>IFERROR(VLOOKUP(F67,Func!$A$4:$G$1500,2,FALSE),"none")</f>
        <v>none</v>
      </c>
      <c r="Z67" s="3" t="e">
        <f>VLOOKUP(I67,Resources!$A$2:$AA$1503,18,FALSE)</f>
        <v>#N/A</v>
      </c>
      <c r="AA67" s="3" t="str">
        <f>IFERROR(VLOOKUP(B67,Orgs!$A$4:$G$1500,2,FALSE),"none")</f>
        <v>none</v>
      </c>
      <c r="AB67" s="3" t="str">
        <f>IFERROR(VLOOKUP(C67,UnitsDepts!$A$4:$G$1500,2,FALSE),"none")</f>
        <v>none</v>
      </c>
      <c r="AC67" s="3" t="str">
        <f>IFERROR(VLOOKUP(D67,ProjAppSvc!$A$4:$G$1500,2,FALSE),"none")</f>
        <v>none</v>
      </c>
    </row>
    <row r="68" spans="1:29" x14ac:dyDescent="0.45">
      <c r="A68" s="14" t="s">
        <v>23</v>
      </c>
      <c r="B68" s="14"/>
      <c r="C68" s="14"/>
      <c r="D68" s="14"/>
      <c r="H68" s="8"/>
      <c r="I68" s="3"/>
      <c r="J68" s="3" t="str">
        <f t="shared" si="2"/>
        <v/>
      </c>
      <c r="K68" s="3" t="str">
        <f>IF(ISNUMBER(SEARCH("-",V68)),IFERROR(IF($H$2="Lower", LOWER(ComputeResourceName(Z68,#REF!,#REF!,G68,N68,O68,P68,Q68,S68,T68,V68,A68)), UPPER(ComputeResourceName(Z68,#REF!,#REF!,G68,N68,O68,P68,Q68,S68,T68,V68,A68))),""),SUBSTITUTE(IFERROR(IF($H$2="Lower", LOWER(ComputeResourceName(#REF!,#REF!,#REF!,G68,N68,O68,P68,Q68,S68,T68,V68,A68)), UPPER(ComputeResourceName(#REF!,#REF!,#REF!,G68,N68,O68,P68,Q68,S68,T68,V68,A68))),""), "-",""))</f>
        <v/>
      </c>
      <c r="L68" s="3" t="str">
        <f xml:space="preserve"> IF(K68="","",  IFERROR(VLOOKUP(I68,Resources!$B$1:$H$1503,5,FALSE)-LEN(K68),0))</f>
        <v/>
      </c>
      <c r="M68" s="3" t="str">
        <f>IF(K68="","",IFERROR(matches(K68,VLOOKUP(I68,Resources!$A$2:$AA$1503,16,FALSE)),FALSE))</f>
        <v/>
      </c>
      <c r="N68" s="3" t="e">
        <f>VLOOKUP(E68,Enviroments!$A$3:$D$59,1,FALSE)</f>
        <v>#N/A</v>
      </c>
      <c r="O68" s="3" t="e">
        <f>VLOOKUP(E68,Enviroments!$A$3:$D$59,2,FALSE)</f>
        <v>#N/A</v>
      </c>
      <c r="P68" s="3" t="e">
        <f>VLOOKUP(E68,Enviroments!$A$3:$D$59,3,FALSE)</f>
        <v>#N/A</v>
      </c>
      <c r="Q68" s="3" t="e">
        <f>VLOOKUP(E68,Enviroments!$A$3:$D$59,4,FALSE)</f>
        <v>#N/A</v>
      </c>
      <c r="R68" s="3" t="e">
        <f>VLOOKUP(H68,AzureRegions!$A$4:$B$1493,1,FALSE)</f>
        <v>#N/A</v>
      </c>
      <c r="S68" s="3" t="e">
        <f>VLOOKUP(H68,AzureRegions!$A$4:$B$1493,2,FALSE)</f>
        <v>#N/A</v>
      </c>
      <c r="T68" s="3" t="e">
        <f>VLOOKUP(H68,AzureRegions!$A$4:$C$1493,3,FALSE)</f>
        <v>#N/A</v>
      </c>
      <c r="U68" s="3" t="e">
        <f>VLOOKUP(I68,Resources!$A$2:$AA$1503,2,FALSE)</f>
        <v>#N/A</v>
      </c>
      <c r="V68" s="3" t="e">
        <f>VLOOKUP(I68,Resources!$A$2:$H$1503,6,FALSE)</f>
        <v>#N/A</v>
      </c>
      <c r="W68" s="3" t="str">
        <f>VLOOKUP($H$2,Casing!$A$4:$A$60,1,FALSE)</f>
        <v>Lower</v>
      </c>
      <c r="X68" s="14" t="str">
        <f t="shared" si="1"/>
        <v>001</v>
      </c>
      <c r="Y68" s="3" t="str">
        <f>IFERROR(VLOOKUP(F68,Func!$A$4:$G$1500,2,FALSE),"none")</f>
        <v>none</v>
      </c>
      <c r="Z68" s="3" t="e">
        <f>VLOOKUP(I68,Resources!$A$2:$AA$1503,18,FALSE)</f>
        <v>#N/A</v>
      </c>
      <c r="AA68" s="3" t="str">
        <f>IFERROR(VLOOKUP(B68,Orgs!$A$4:$G$1500,2,FALSE),"none")</f>
        <v>none</v>
      </c>
      <c r="AB68" s="3" t="str">
        <f>IFERROR(VLOOKUP(C68,UnitsDepts!$A$4:$G$1500,2,FALSE),"none")</f>
        <v>none</v>
      </c>
      <c r="AC68" s="3" t="str">
        <f>IFERROR(VLOOKUP(D68,ProjAppSvc!$A$4:$G$1500,2,FALSE),"none")</f>
        <v>none</v>
      </c>
    </row>
    <row r="69" spans="1:29" x14ac:dyDescent="0.45">
      <c r="A69" s="14" t="s">
        <v>23</v>
      </c>
      <c r="B69" s="14"/>
      <c r="C69" s="14"/>
      <c r="D69" s="14"/>
      <c r="H69" s="8"/>
      <c r="I69" s="3"/>
      <c r="J69" s="3" t="str">
        <f t="shared" si="2"/>
        <v/>
      </c>
      <c r="K69" s="3" t="str">
        <f>IF(ISNUMBER(SEARCH("-",V69)),IFERROR(IF($H$2="Lower", LOWER(ComputeResourceName(Z69,#REF!,#REF!,G69,N69,O69,P69,Q69,S69,T69,V69,A69)), UPPER(ComputeResourceName(Z69,#REF!,#REF!,G69,N69,O69,P69,Q69,S69,T69,V69,A69))),""),SUBSTITUTE(IFERROR(IF($H$2="Lower", LOWER(ComputeResourceName(#REF!,#REF!,#REF!,G69,N69,O69,P69,Q69,S69,T69,V69,A69)), UPPER(ComputeResourceName(#REF!,#REF!,#REF!,G69,N69,O69,P69,Q69,S69,T69,V69,A69))),""), "-",""))</f>
        <v/>
      </c>
      <c r="L69" s="3" t="str">
        <f xml:space="preserve"> IF(K69="","",  IFERROR(VLOOKUP(I69,Resources!$B$1:$H$1503,5,FALSE)-LEN(K69),0))</f>
        <v/>
      </c>
      <c r="M69" s="3" t="str">
        <f>IF(K69="","",IFERROR(matches(K69,VLOOKUP(I69,Resources!$A$2:$AA$1503,16,FALSE)),FALSE))</f>
        <v/>
      </c>
      <c r="N69" s="3" t="e">
        <f>VLOOKUP(E69,Enviroments!$A$3:$D$59,1,FALSE)</f>
        <v>#N/A</v>
      </c>
      <c r="O69" s="3" t="e">
        <f>VLOOKUP(E69,Enviroments!$A$3:$D$59,2,FALSE)</f>
        <v>#N/A</v>
      </c>
      <c r="P69" s="3" t="e">
        <f>VLOOKUP(E69,Enviroments!$A$3:$D$59,3,FALSE)</f>
        <v>#N/A</v>
      </c>
      <c r="Q69" s="3" t="e">
        <f>VLOOKUP(E69,Enviroments!$A$3:$D$59,4,FALSE)</f>
        <v>#N/A</v>
      </c>
      <c r="R69" s="3" t="e">
        <f>VLOOKUP(H69,AzureRegions!$A$4:$B$1493,1,FALSE)</f>
        <v>#N/A</v>
      </c>
      <c r="S69" s="3" t="e">
        <f>VLOOKUP(H69,AzureRegions!$A$4:$B$1493,2,FALSE)</f>
        <v>#N/A</v>
      </c>
      <c r="T69" s="3" t="e">
        <f>VLOOKUP(H69,AzureRegions!$A$4:$C$1493,3,FALSE)</f>
        <v>#N/A</v>
      </c>
      <c r="U69" s="3" t="e">
        <f>VLOOKUP(I69,Resources!$A$2:$AA$1503,2,FALSE)</f>
        <v>#N/A</v>
      </c>
      <c r="V69" s="3" t="e">
        <f>VLOOKUP(I69,Resources!$A$2:$H$1503,6,FALSE)</f>
        <v>#N/A</v>
      </c>
      <c r="W69" s="3" t="str">
        <f>VLOOKUP($H$2,Casing!$A$4:$A$60,1,FALSE)</f>
        <v>Lower</v>
      </c>
      <c r="X69" s="14" t="str">
        <f t="shared" si="1"/>
        <v>001</v>
      </c>
      <c r="Y69" s="3" t="str">
        <f>IFERROR(VLOOKUP(F69,Func!$A$4:$G$1500,2,FALSE),"none")</f>
        <v>none</v>
      </c>
      <c r="Z69" s="3" t="e">
        <f>VLOOKUP(I69,Resources!$A$2:$AA$1503,18,FALSE)</f>
        <v>#N/A</v>
      </c>
      <c r="AA69" s="3" t="str">
        <f>IFERROR(VLOOKUP(B69,Orgs!$A$4:$G$1500,2,FALSE),"none")</f>
        <v>none</v>
      </c>
      <c r="AB69" s="3" t="str">
        <f>IFERROR(VLOOKUP(C69,UnitsDepts!$A$4:$G$1500,2,FALSE),"none")</f>
        <v>none</v>
      </c>
      <c r="AC69" s="3" t="str">
        <f>IFERROR(VLOOKUP(D69,ProjAppSvc!$A$4:$G$1500,2,FALSE),"none")</f>
        <v>none</v>
      </c>
    </row>
    <row r="70" spans="1:29" x14ac:dyDescent="0.45">
      <c r="A70" s="14" t="s">
        <v>23</v>
      </c>
      <c r="B70" s="14"/>
      <c r="C70" s="14"/>
      <c r="D70" s="14"/>
      <c r="H70" s="8"/>
      <c r="I70" s="3"/>
      <c r="J70" s="3" t="str">
        <f t="shared" si="2"/>
        <v/>
      </c>
      <c r="K70" s="3" t="str">
        <f>IF(ISNUMBER(SEARCH("-",V70)),IFERROR(IF($H$2="Lower", LOWER(ComputeResourceName(Z70,#REF!,#REF!,G70,N70,O70,P70,Q70,S70,T70,V70,A70)), UPPER(ComputeResourceName(Z70,#REF!,#REF!,G70,N70,O70,P70,Q70,S70,T70,V70,A70))),""),SUBSTITUTE(IFERROR(IF($H$2="Lower", LOWER(ComputeResourceName(#REF!,#REF!,#REF!,G70,N70,O70,P70,Q70,S70,T70,V70,A70)), UPPER(ComputeResourceName(#REF!,#REF!,#REF!,G70,N70,O70,P70,Q70,S70,T70,V70,A70))),""), "-",""))</f>
        <v/>
      </c>
      <c r="L70" s="3" t="str">
        <f xml:space="preserve"> IF(K70="","",  IFERROR(VLOOKUP(I70,Resources!$B$1:$H$1503,5,FALSE)-LEN(K70),0))</f>
        <v/>
      </c>
      <c r="M70" s="3" t="str">
        <f>IF(K70="","",IFERROR(matches(K70,VLOOKUP(I70,Resources!$A$2:$AA$1503,16,FALSE)),FALSE))</f>
        <v/>
      </c>
      <c r="N70" s="3" t="e">
        <f>VLOOKUP(E70,Enviroments!$A$3:$D$59,1,FALSE)</f>
        <v>#N/A</v>
      </c>
      <c r="O70" s="3" t="e">
        <f>VLOOKUP(E70,Enviroments!$A$3:$D$59,2,FALSE)</f>
        <v>#N/A</v>
      </c>
      <c r="P70" s="3" t="e">
        <f>VLOOKUP(E70,Enviroments!$A$3:$D$59,3,FALSE)</f>
        <v>#N/A</v>
      </c>
      <c r="Q70" s="3" t="e">
        <f>VLOOKUP(E70,Enviroments!$A$3:$D$59,4,FALSE)</f>
        <v>#N/A</v>
      </c>
      <c r="R70" s="3" t="e">
        <f>VLOOKUP(H70,AzureRegions!$A$4:$B$1493,1,FALSE)</f>
        <v>#N/A</v>
      </c>
      <c r="S70" s="3" t="e">
        <f>VLOOKUP(H70,AzureRegions!$A$4:$B$1493,2,FALSE)</f>
        <v>#N/A</v>
      </c>
      <c r="T70" s="3" t="e">
        <f>VLOOKUP(H70,AzureRegions!$A$4:$C$1493,3,FALSE)</f>
        <v>#N/A</v>
      </c>
      <c r="U70" s="3" t="e">
        <f>VLOOKUP(I70,Resources!$A$2:$AA$1503,2,FALSE)</f>
        <v>#N/A</v>
      </c>
      <c r="V70" s="3" t="e">
        <f>VLOOKUP(I70,Resources!$A$2:$H$1503,6,FALSE)</f>
        <v>#N/A</v>
      </c>
      <c r="W70" s="3" t="str">
        <f>VLOOKUP($H$2,Casing!$A$4:$A$60,1,FALSE)</f>
        <v>Lower</v>
      </c>
      <c r="X70" s="14" t="str">
        <f t="shared" si="1"/>
        <v>001</v>
      </c>
      <c r="Y70" s="3" t="str">
        <f>IFERROR(VLOOKUP(F70,Func!$A$4:$G$1500,2,FALSE),"none")</f>
        <v>none</v>
      </c>
      <c r="Z70" s="3" t="e">
        <f>VLOOKUP(I70,Resources!$A$2:$AA$1503,18,FALSE)</f>
        <v>#N/A</v>
      </c>
      <c r="AA70" s="3" t="str">
        <f>IFERROR(VLOOKUP(B70,Orgs!$A$4:$G$1500,2,FALSE),"none")</f>
        <v>none</v>
      </c>
      <c r="AB70" s="3" t="str">
        <f>IFERROR(VLOOKUP(C70,UnitsDepts!$A$4:$G$1500,2,FALSE),"none")</f>
        <v>none</v>
      </c>
      <c r="AC70" s="3" t="str">
        <f>IFERROR(VLOOKUP(D70,ProjAppSvc!$A$4:$G$1500,2,FALSE),"none")</f>
        <v>none</v>
      </c>
    </row>
    <row r="71" spans="1:29" x14ac:dyDescent="0.45">
      <c r="A71" s="14" t="s">
        <v>23</v>
      </c>
      <c r="B71" s="14"/>
      <c r="C71" s="14"/>
      <c r="D71" s="14"/>
      <c r="H71" s="8"/>
      <c r="I71" s="3"/>
      <c r="J71" s="3" t="str">
        <f t="shared" si="2"/>
        <v/>
      </c>
      <c r="K71" s="3" t="str">
        <f>IF(ISNUMBER(SEARCH("-",V71)),IFERROR(IF($H$2="Lower", LOWER(ComputeResourceName(Z71,#REF!,#REF!,G71,N71,O71,P71,Q71,S71,T71,V71,A71)), UPPER(ComputeResourceName(Z71,#REF!,#REF!,G71,N71,O71,P71,Q71,S71,T71,V71,A71))),""),SUBSTITUTE(IFERROR(IF($H$2="Lower", LOWER(ComputeResourceName(#REF!,#REF!,#REF!,G71,N71,O71,P71,Q71,S71,T71,V71,A71)), UPPER(ComputeResourceName(#REF!,#REF!,#REF!,G71,N71,O71,P71,Q71,S71,T71,V71,A71))),""), "-",""))</f>
        <v/>
      </c>
      <c r="L71" s="3" t="str">
        <f xml:space="preserve"> IF(K71="","",  IFERROR(VLOOKUP(I71,Resources!$B$1:$H$1503,5,FALSE)-LEN(K71),0))</f>
        <v/>
      </c>
      <c r="M71" s="3" t="str">
        <f>IF(K71="","",IFERROR(matches(K71,VLOOKUP(I71,Resources!$A$2:$AA$1503,16,FALSE)),FALSE))</f>
        <v/>
      </c>
      <c r="N71" s="3" t="e">
        <f>VLOOKUP(E71,Enviroments!$A$3:$D$59,1,FALSE)</f>
        <v>#N/A</v>
      </c>
      <c r="O71" s="3" t="e">
        <f>VLOOKUP(E71,Enviroments!$A$3:$D$59,2,FALSE)</f>
        <v>#N/A</v>
      </c>
      <c r="P71" s="3" t="e">
        <f>VLOOKUP(E71,Enviroments!$A$3:$D$59,3,FALSE)</f>
        <v>#N/A</v>
      </c>
      <c r="Q71" s="3" t="e">
        <f>VLOOKUP(E71,Enviroments!$A$3:$D$59,4,FALSE)</f>
        <v>#N/A</v>
      </c>
      <c r="R71" s="3" t="e">
        <f>VLOOKUP(H71,AzureRegions!$A$4:$B$1493,1,FALSE)</f>
        <v>#N/A</v>
      </c>
      <c r="S71" s="3" t="e">
        <f>VLOOKUP(H71,AzureRegions!$A$4:$B$1493,2,FALSE)</f>
        <v>#N/A</v>
      </c>
      <c r="T71" s="3" t="e">
        <f>VLOOKUP(H71,AzureRegions!$A$4:$C$1493,3,FALSE)</f>
        <v>#N/A</v>
      </c>
      <c r="U71" s="3" t="e">
        <f>VLOOKUP(I71,Resources!$A$2:$AA$1503,2,FALSE)</f>
        <v>#N/A</v>
      </c>
      <c r="V71" s="3" t="e">
        <f>VLOOKUP(I71,Resources!$A$2:$H$1503,6,FALSE)</f>
        <v>#N/A</v>
      </c>
      <c r="W71" s="3" t="str">
        <f>VLOOKUP($H$2,Casing!$A$4:$A$60,1,FALSE)</f>
        <v>Lower</v>
      </c>
      <c r="X71" s="14" t="str">
        <f t="shared" ref="X71:X134" si="3">A71</f>
        <v>001</v>
      </c>
      <c r="Y71" s="3" t="str">
        <f>IFERROR(VLOOKUP(F71,Func!$A$4:$G$1500,2,FALSE),"none")</f>
        <v>none</v>
      </c>
      <c r="Z71" s="3" t="e">
        <f>VLOOKUP(I71,Resources!$A$2:$AA$1503,18,FALSE)</f>
        <v>#N/A</v>
      </c>
      <c r="AA71" s="3" t="str">
        <f>IFERROR(VLOOKUP(B71,Orgs!$A$4:$G$1500,2,FALSE),"none")</f>
        <v>none</v>
      </c>
      <c r="AB71" s="3" t="str">
        <f>IFERROR(VLOOKUP(C71,UnitsDepts!$A$4:$G$1500,2,FALSE),"none")</f>
        <v>none</v>
      </c>
      <c r="AC71" s="3" t="str">
        <f>IFERROR(VLOOKUP(D71,ProjAppSvc!$A$4:$G$1500,2,FALSE),"none")</f>
        <v>none</v>
      </c>
    </row>
    <row r="72" spans="1:29" x14ac:dyDescent="0.45">
      <c r="A72" s="14" t="s">
        <v>23</v>
      </c>
      <c r="B72" s="14"/>
      <c r="C72" s="14"/>
      <c r="D72" s="14"/>
      <c r="H72" s="8"/>
      <c r="I72" s="3"/>
      <c r="J72" s="3" t="str">
        <f t="shared" si="2"/>
        <v/>
      </c>
      <c r="K72" s="3" t="str">
        <f>IF(ISNUMBER(SEARCH("-",V72)),IFERROR(IF($H$2="Lower", LOWER(ComputeResourceName(Z72,#REF!,#REF!,G72,N72,O72,P72,Q72,S72,T72,V72,A72)), UPPER(ComputeResourceName(Z72,#REF!,#REF!,G72,N72,O72,P72,Q72,S72,T72,V72,A72))),""),SUBSTITUTE(IFERROR(IF($H$2="Lower", LOWER(ComputeResourceName(#REF!,#REF!,#REF!,G72,N72,O72,P72,Q72,S72,T72,V72,A72)), UPPER(ComputeResourceName(#REF!,#REF!,#REF!,G72,N72,O72,P72,Q72,S72,T72,V72,A72))),""), "-",""))</f>
        <v/>
      </c>
      <c r="L72" s="3" t="str">
        <f xml:space="preserve"> IF(K72="","",  IFERROR(VLOOKUP(I72,Resources!$B$1:$H$1503,5,FALSE)-LEN(K72),0))</f>
        <v/>
      </c>
      <c r="M72" s="3" t="str">
        <f>IF(K72="","",IFERROR(matches(K72,VLOOKUP(I72,Resources!$A$2:$AA$1503,16,FALSE)),FALSE))</f>
        <v/>
      </c>
      <c r="N72" s="3" t="e">
        <f>VLOOKUP(E72,Enviroments!$A$3:$D$59,1,FALSE)</f>
        <v>#N/A</v>
      </c>
      <c r="O72" s="3" t="e">
        <f>VLOOKUP(E72,Enviroments!$A$3:$D$59,2,FALSE)</f>
        <v>#N/A</v>
      </c>
      <c r="P72" s="3" t="e">
        <f>VLOOKUP(E72,Enviroments!$A$3:$D$59,3,FALSE)</f>
        <v>#N/A</v>
      </c>
      <c r="Q72" s="3" t="e">
        <f>VLOOKUP(E72,Enviroments!$A$3:$D$59,4,FALSE)</f>
        <v>#N/A</v>
      </c>
      <c r="R72" s="3" t="e">
        <f>VLOOKUP(H72,AzureRegions!$A$4:$B$1493,1,FALSE)</f>
        <v>#N/A</v>
      </c>
      <c r="S72" s="3" t="e">
        <f>VLOOKUP(H72,AzureRegions!$A$4:$B$1493,2,FALSE)</f>
        <v>#N/A</v>
      </c>
      <c r="T72" s="3" t="e">
        <f>VLOOKUP(H72,AzureRegions!$A$4:$C$1493,3,FALSE)</f>
        <v>#N/A</v>
      </c>
      <c r="U72" s="3" t="e">
        <f>VLOOKUP(I72,Resources!$A$2:$AA$1503,2,FALSE)</f>
        <v>#N/A</v>
      </c>
      <c r="V72" s="3" t="e">
        <f>VLOOKUP(I72,Resources!$A$2:$H$1503,6,FALSE)</f>
        <v>#N/A</v>
      </c>
      <c r="W72" s="3" t="str">
        <f>VLOOKUP($H$2,Casing!$A$4:$A$60,1,FALSE)</f>
        <v>Lower</v>
      </c>
      <c r="X72" s="14" t="str">
        <f t="shared" si="3"/>
        <v>001</v>
      </c>
      <c r="Y72" s="3" t="str">
        <f>IFERROR(VLOOKUP(F72,Func!$A$4:$G$1500,2,FALSE),"none")</f>
        <v>none</v>
      </c>
      <c r="Z72" s="3" t="e">
        <f>VLOOKUP(I72,Resources!$A$2:$AA$1503,18,FALSE)</f>
        <v>#N/A</v>
      </c>
      <c r="AA72" s="3" t="str">
        <f>IFERROR(VLOOKUP(B72,Orgs!$A$4:$G$1500,2,FALSE),"none")</f>
        <v>none</v>
      </c>
      <c r="AB72" s="3" t="str">
        <f>IFERROR(VLOOKUP(C72,UnitsDepts!$A$4:$G$1500,2,FALSE),"none")</f>
        <v>none</v>
      </c>
      <c r="AC72" s="3" t="str">
        <f>IFERROR(VLOOKUP(D72,ProjAppSvc!$A$4:$G$1500,2,FALSE),"none")</f>
        <v>none</v>
      </c>
    </row>
    <row r="73" spans="1:29" x14ac:dyDescent="0.45">
      <c r="A73" s="14" t="s">
        <v>23</v>
      </c>
      <c r="B73" s="14"/>
      <c r="C73" s="14"/>
      <c r="D73" s="14"/>
      <c r="H73" s="8"/>
      <c r="I73" s="3"/>
      <c r="J73" s="3" t="str">
        <f t="shared" si="2"/>
        <v/>
      </c>
      <c r="K73" s="3" t="str">
        <f>IF(ISNUMBER(SEARCH("-",V73)),IFERROR(IF($H$2="Lower", LOWER(ComputeResourceName(Z73,#REF!,#REF!,G73,N73,O73,P73,Q73,S73,T73,V73,A73)), UPPER(ComputeResourceName(Z73,#REF!,#REF!,G73,N73,O73,P73,Q73,S73,T73,V73,A73))),""),SUBSTITUTE(IFERROR(IF($H$2="Lower", LOWER(ComputeResourceName(#REF!,#REF!,#REF!,G73,N73,O73,P73,Q73,S73,T73,V73,A73)), UPPER(ComputeResourceName(#REF!,#REF!,#REF!,G73,N73,O73,P73,Q73,S73,T73,V73,A73))),""), "-",""))</f>
        <v/>
      </c>
      <c r="L73" s="3" t="str">
        <f xml:space="preserve"> IF(K73="","",  IFERROR(VLOOKUP(I73,Resources!$B$1:$H$1503,5,FALSE)-LEN(K73),0))</f>
        <v/>
      </c>
      <c r="M73" s="3" t="str">
        <f>IF(K73="","",IFERROR(matches(K73,VLOOKUP(I73,Resources!$A$2:$AA$1503,16,FALSE)),FALSE))</f>
        <v/>
      </c>
      <c r="N73" s="3" t="e">
        <f>VLOOKUP(E73,Enviroments!$A$3:$D$59,1,FALSE)</f>
        <v>#N/A</v>
      </c>
      <c r="O73" s="3" t="e">
        <f>VLOOKUP(E73,Enviroments!$A$3:$D$59,2,FALSE)</f>
        <v>#N/A</v>
      </c>
      <c r="P73" s="3" t="e">
        <f>VLOOKUP(E73,Enviroments!$A$3:$D$59,3,FALSE)</f>
        <v>#N/A</v>
      </c>
      <c r="Q73" s="3" t="e">
        <f>VLOOKUP(E73,Enviroments!$A$3:$D$59,4,FALSE)</f>
        <v>#N/A</v>
      </c>
      <c r="R73" s="3" t="e">
        <f>VLOOKUP(H73,AzureRegions!$A$4:$B$1493,1,FALSE)</f>
        <v>#N/A</v>
      </c>
      <c r="S73" s="3" t="e">
        <f>VLOOKUP(H73,AzureRegions!$A$4:$B$1493,2,FALSE)</f>
        <v>#N/A</v>
      </c>
      <c r="T73" s="3" t="e">
        <f>VLOOKUP(H73,AzureRegions!$A$4:$C$1493,3,FALSE)</f>
        <v>#N/A</v>
      </c>
      <c r="U73" s="3" t="e">
        <f>VLOOKUP(I73,Resources!$A$2:$AA$1503,2,FALSE)</f>
        <v>#N/A</v>
      </c>
      <c r="V73" s="3" t="e">
        <f>VLOOKUP(I73,Resources!$A$2:$H$1503,6,FALSE)</f>
        <v>#N/A</v>
      </c>
      <c r="W73" s="3" t="str">
        <f>VLOOKUP($H$2,Casing!$A$4:$A$60,1,FALSE)</f>
        <v>Lower</v>
      </c>
      <c r="X73" s="14" t="str">
        <f t="shared" si="3"/>
        <v>001</v>
      </c>
      <c r="Y73" s="3" t="str">
        <f>IFERROR(VLOOKUP(F73,Func!$A$4:$G$1500,2,FALSE),"none")</f>
        <v>none</v>
      </c>
      <c r="Z73" s="3" t="e">
        <f>VLOOKUP(I73,Resources!$A$2:$AA$1503,18,FALSE)</f>
        <v>#N/A</v>
      </c>
      <c r="AA73" s="3" t="str">
        <f>IFERROR(VLOOKUP(B73,Orgs!$A$4:$G$1500,2,FALSE),"none")</f>
        <v>none</v>
      </c>
      <c r="AB73" s="3" t="str">
        <f>IFERROR(VLOOKUP(C73,UnitsDepts!$A$4:$G$1500,2,FALSE),"none")</f>
        <v>none</v>
      </c>
      <c r="AC73" s="3" t="str">
        <f>IFERROR(VLOOKUP(D73,ProjAppSvc!$A$4:$G$1500,2,FALSE),"none")</f>
        <v>none</v>
      </c>
    </row>
    <row r="74" spans="1:29" x14ac:dyDescent="0.45">
      <c r="A74" s="14" t="s">
        <v>23</v>
      </c>
      <c r="B74" s="14"/>
      <c r="C74" s="14"/>
      <c r="D74" s="14"/>
      <c r="H74" s="8"/>
      <c r="I74" s="3"/>
      <c r="J74" s="3" t="str">
        <f t="shared" si="2"/>
        <v/>
      </c>
      <c r="K74" s="3" t="str">
        <f>IF(ISNUMBER(SEARCH("-",V74)),IFERROR(IF($H$2="Lower", LOWER(ComputeResourceName(Z74,#REF!,#REF!,G74,N74,O74,P74,Q74,S74,T74,V74,A74)), UPPER(ComputeResourceName(Z74,#REF!,#REF!,G74,N74,O74,P74,Q74,S74,T74,V74,A74))),""),SUBSTITUTE(IFERROR(IF($H$2="Lower", LOWER(ComputeResourceName(#REF!,#REF!,#REF!,G74,N74,O74,P74,Q74,S74,T74,V74,A74)), UPPER(ComputeResourceName(#REF!,#REF!,#REF!,G74,N74,O74,P74,Q74,S74,T74,V74,A74))),""), "-",""))</f>
        <v/>
      </c>
      <c r="L74" s="3" t="str">
        <f xml:space="preserve"> IF(K74="","",  IFERROR(VLOOKUP(I74,Resources!$B$1:$H$1503,5,FALSE)-LEN(K74),0))</f>
        <v/>
      </c>
      <c r="M74" s="3" t="str">
        <f>IF(K74="","",IFERROR(matches(K74,VLOOKUP(I74,Resources!$A$2:$AA$1503,16,FALSE)),FALSE))</f>
        <v/>
      </c>
      <c r="N74" s="3" t="e">
        <f>VLOOKUP(E74,Enviroments!$A$3:$D$59,1,FALSE)</f>
        <v>#N/A</v>
      </c>
      <c r="O74" s="3" t="e">
        <f>VLOOKUP(E74,Enviroments!$A$3:$D$59,2,FALSE)</f>
        <v>#N/A</v>
      </c>
      <c r="P74" s="3" t="e">
        <f>VLOOKUP(E74,Enviroments!$A$3:$D$59,3,FALSE)</f>
        <v>#N/A</v>
      </c>
      <c r="Q74" s="3" t="e">
        <f>VLOOKUP(E74,Enviroments!$A$3:$D$59,4,FALSE)</f>
        <v>#N/A</v>
      </c>
      <c r="R74" s="3" t="e">
        <f>VLOOKUP(H74,AzureRegions!$A$4:$B$1493,1,FALSE)</f>
        <v>#N/A</v>
      </c>
      <c r="S74" s="3" t="e">
        <f>VLOOKUP(H74,AzureRegions!$A$4:$B$1493,2,FALSE)</f>
        <v>#N/A</v>
      </c>
      <c r="T74" s="3" t="e">
        <f>VLOOKUP(H74,AzureRegions!$A$4:$C$1493,3,FALSE)</f>
        <v>#N/A</v>
      </c>
      <c r="U74" s="3" t="e">
        <f>VLOOKUP(I74,Resources!$A$2:$AA$1503,2,FALSE)</f>
        <v>#N/A</v>
      </c>
      <c r="V74" s="3" t="e">
        <f>VLOOKUP(I74,Resources!$A$2:$H$1503,6,FALSE)</f>
        <v>#N/A</v>
      </c>
      <c r="W74" s="3" t="str">
        <f>VLOOKUP($H$2,Casing!$A$4:$A$60,1,FALSE)</f>
        <v>Lower</v>
      </c>
      <c r="X74" s="14" t="str">
        <f t="shared" si="3"/>
        <v>001</v>
      </c>
      <c r="Y74" s="3" t="str">
        <f>IFERROR(VLOOKUP(F74,Func!$A$4:$G$1500,2,FALSE),"none")</f>
        <v>none</v>
      </c>
      <c r="Z74" s="3" t="e">
        <f>VLOOKUP(I74,Resources!$A$2:$AA$1503,18,FALSE)</f>
        <v>#N/A</v>
      </c>
      <c r="AA74" s="3" t="str">
        <f>IFERROR(VLOOKUP(B74,Orgs!$A$4:$G$1500,2,FALSE),"none")</f>
        <v>none</v>
      </c>
      <c r="AB74" s="3" t="str">
        <f>IFERROR(VLOOKUP(C74,UnitsDepts!$A$4:$G$1500,2,FALSE),"none")</f>
        <v>none</v>
      </c>
      <c r="AC74" s="3" t="str">
        <f>IFERROR(VLOOKUP(D74,ProjAppSvc!$A$4:$G$1500,2,FALSE),"none")</f>
        <v>none</v>
      </c>
    </row>
    <row r="75" spans="1:29" x14ac:dyDescent="0.45">
      <c r="A75" s="14" t="s">
        <v>23</v>
      </c>
      <c r="B75" s="14"/>
      <c r="C75" s="14"/>
      <c r="D75" s="14"/>
      <c r="H75" s="8"/>
      <c r="I75" s="3"/>
      <c r="J75" s="3" t="str">
        <f t="shared" si="2"/>
        <v/>
      </c>
      <c r="K75" s="3" t="str">
        <f>IF(ISNUMBER(SEARCH("-",V75)),IFERROR(IF($H$2="Lower", LOWER(ComputeResourceName(Z75,#REF!,#REF!,G75,N75,O75,P75,Q75,S75,T75,V75,A75)), UPPER(ComputeResourceName(Z75,#REF!,#REF!,G75,N75,O75,P75,Q75,S75,T75,V75,A75))),""),SUBSTITUTE(IFERROR(IF($H$2="Lower", LOWER(ComputeResourceName(#REF!,#REF!,#REF!,G75,N75,O75,P75,Q75,S75,T75,V75,A75)), UPPER(ComputeResourceName(#REF!,#REF!,#REF!,G75,N75,O75,P75,Q75,S75,T75,V75,A75))),""), "-",""))</f>
        <v/>
      </c>
      <c r="L75" s="3" t="str">
        <f xml:space="preserve"> IF(K75="","",  IFERROR(VLOOKUP(I75,Resources!$B$1:$H$1503,5,FALSE)-LEN(K75),0))</f>
        <v/>
      </c>
      <c r="M75" s="3" t="str">
        <f>IF(K75="","",IFERROR(matches(K75,VLOOKUP(I75,Resources!$A$2:$AA$1503,16,FALSE)),FALSE))</f>
        <v/>
      </c>
      <c r="N75" s="3" t="e">
        <f>VLOOKUP(E75,Enviroments!$A$3:$D$59,1,FALSE)</f>
        <v>#N/A</v>
      </c>
      <c r="O75" s="3" t="e">
        <f>VLOOKUP(E75,Enviroments!$A$3:$D$59,2,FALSE)</f>
        <v>#N/A</v>
      </c>
      <c r="P75" s="3" t="e">
        <f>VLOOKUP(E75,Enviroments!$A$3:$D$59,3,FALSE)</f>
        <v>#N/A</v>
      </c>
      <c r="Q75" s="3" t="e">
        <f>VLOOKUP(E75,Enviroments!$A$3:$D$59,4,FALSE)</f>
        <v>#N/A</v>
      </c>
      <c r="R75" s="3" t="e">
        <f>VLOOKUP(H75,AzureRegions!$A$4:$B$1493,1,FALSE)</f>
        <v>#N/A</v>
      </c>
      <c r="S75" s="3" t="e">
        <f>VLOOKUP(H75,AzureRegions!$A$4:$B$1493,2,FALSE)</f>
        <v>#N/A</v>
      </c>
      <c r="T75" s="3" t="e">
        <f>VLOOKUP(H75,AzureRegions!$A$4:$C$1493,3,FALSE)</f>
        <v>#N/A</v>
      </c>
      <c r="U75" s="3" t="e">
        <f>VLOOKUP(I75,Resources!$A$2:$AA$1503,2,FALSE)</f>
        <v>#N/A</v>
      </c>
      <c r="V75" s="3" t="e">
        <f>VLOOKUP(I75,Resources!$A$2:$H$1503,6,FALSE)</f>
        <v>#N/A</v>
      </c>
      <c r="W75" s="3" t="str">
        <f>VLOOKUP($H$2,Casing!$A$4:$A$60,1,FALSE)</f>
        <v>Lower</v>
      </c>
      <c r="X75" s="14" t="str">
        <f t="shared" si="3"/>
        <v>001</v>
      </c>
      <c r="Y75" s="3" t="str">
        <f>IFERROR(VLOOKUP(F75,Func!$A$4:$G$1500,2,FALSE),"none")</f>
        <v>none</v>
      </c>
      <c r="Z75" s="3" t="e">
        <f>VLOOKUP(I75,Resources!$A$2:$AA$1503,18,FALSE)</f>
        <v>#N/A</v>
      </c>
      <c r="AA75" s="3" t="str">
        <f>IFERROR(VLOOKUP(B75,Orgs!$A$4:$G$1500,2,FALSE),"none")</f>
        <v>none</v>
      </c>
      <c r="AB75" s="3" t="str">
        <f>IFERROR(VLOOKUP(C75,UnitsDepts!$A$4:$G$1500,2,FALSE),"none")</f>
        <v>none</v>
      </c>
      <c r="AC75" s="3" t="str">
        <f>IFERROR(VLOOKUP(D75,ProjAppSvc!$A$4:$G$1500,2,FALSE),"none")</f>
        <v>none</v>
      </c>
    </row>
    <row r="76" spans="1:29" x14ac:dyDescent="0.45">
      <c r="A76" s="14" t="s">
        <v>23</v>
      </c>
      <c r="B76" s="14"/>
      <c r="C76" s="14"/>
      <c r="D76" s="14"/>
      <c r="H76" s="8"/>
      <c r="I76" s="3"/>
      <c r="J76" s="3" t="str">
        <f t="shared" si="2"/>
        <v/>
      </c>
      <c r="K76" s="3" t="str">
        <f>IF(ISNUMBER(SEARCH("-",V76)),IFERROR(IF($H$2="Lower", LOWER(ComputeResourceName(Z76,#REF!,#REF!,G76,N76,O76,P76,Q76,S76,T76,V76,A76)), UPPER(ComputeResourceName(Z76,#REF!,#REF!,G76,N76,O76,P76,Q76,S76,T76,V76,A76))),""),SUBSTITUTE(IFERROR(IF($H$2="Lower", LOWER(ComputeResourceName(#REF!,#REF!,#REF!,G76,N76,O76,P76,Q76,S76,T76,V76,A76)), UPPER(ComputeResourceName(#REF!,#REF!,#REF!,G76,N76,O76,P76,Q76,S76,T76,V76,A76))),""), "-",""))</f>
        <v/>
      </c>
      <c r="L76" s="3" t="str">
        <f xml:space="preserve"> IF(K76="","",  IFERROR(VLOOKUP(I76,Resources!$B$1:$H$1503,5,FALSE)-LEN(K76),0))</f>
        <v/>
      </c>
      <c r="M76" s="3" t="str">
        <f>IF(K76="","",IFERROR(matches(K76,VLOOKUP(I76,Resources!$A$2:$AA$1503,16,FALSE)),FALSE))</f>
        <v/>
      </c>
      <c r="N76" s="3" t="e">
        <f>VLOOKUP(E76,Enviroments!$A$3:$D$59,1,FALSE)</f>
        <v>#N/A</v>
      </c>
      <c r="O76" s="3" t="e">
        <f>VLOOKUP(E76,Enviroments!$A$3:$D$59,2,FALSE)</f>
        <v>#N/A</v>
      </c>
      <c r="P76" s="3" t="e">
        <f>VLOOKUP(E76,Enviroments!$A$3:$D$59,3,FALSE)</f>
        <v>#N/A</v>
      </c>
      <c r="Q76" s="3" t="e">
        <f>VLOOKUP(E76,Enviroments!$A$3:$D$59,4,FALSE)</f>
        <v>#N/A</v>
      </c>
      <c r="R76" s="3" t="e">
        <f>VLOOKUP(H76,AzureRegions!$A$4:$B$1493,1,FALSE)</f>
        <v>#N/A</v>
      </c>
      <c r="S76" s="3" t="e">
        <f>VLOOKUP(H76,AzureRegions!$A$4:$B$1493,2,FALSE)</f>
        <v>#N/A</v>
      </c>
      <c r="T76" s="3" t="e">
        <f>VLOOKUP(H76,AzureRegions!$A$4:$C$1493,3,FALSE)</f>
        <v>#N/A</v>
      </c>
      <c r="U76" s="3" t="e">
        <f>VLOOKUP(I76,Resources!$A$2:$AA$1503,2,FALSE)</f>
        <v>#N/A</v>
      </c>
      <c r="V76" s="3" t="e">
        <f>VLOOKUP(I76,Resources!$A$2:$H$1503,6,FALSE)</f>
        <v>#N/A</v>
      </c>
      <c r="W76" s="3" t="str">
        <f>VLOOKUP($H$2,Casing!$A$4:$A$60,1,FALSE)</f>
        <v>Lower</v>
      </c>
      <c r="X76" s="14" t="str">
        <f t="shared" si="3"/>
        <v>001</v>
      </c>
      <c r="Y76" s="3" t="str">
        <f>IFERROR(VLOOKUP(F76,Func!$A$4:$G$1500,2,FALSE),"none")</f>
        <v>none</v>
      </c>
      <c r="Z76" s="3" t="e">
        <f>VLOOKUP(I76,Resources!$A$2:$AA$1503,18,FALSE)</f>
        <v>#N/A</v>
      </c>
      <c r="AA76" s="3" t="str">
        <f>IFERROR(VLOOKUP(B76,Orgs!$A$4:$G$1500,2,FALSE),"none")</f>
        <v>none</v>
      </c>
      <c r="AB76" s="3" t="str">
        <f>IFERROR(VLOOKUP(C76,UnitsDepts!$A$4:$G$1500,2,FALSE),"none")</f>
        <v>none</v>
      </c>
      <c r="AC76" s="3" t="str">
        <f>IFERROR(VLOOKUP(D76,ProjAppSvc!$A$4:$G$1500,2,FALSE),"none")</f>
        <v>none</v>
      </c>
    </row>
    <row r="77" spans="1:29" x14ac:dyDescent="0.45">
      <c r="A77" s="14" t="s">
        <v>23</v>
      </c>
      <c r="B77" s="14"/>
      <c r="C77" s="14"/>
      <c r="D77" s="14"/>
      <c r="H77" s="8"/>
      <c r="I77" s="3"/>
      <c r="J77" s="3" t="str">
        <f t="shared" ref="J77:J140" si="4">IFERROR(Z77, "")</f>
        <v/>
      </c>
      <c r="K77" s="3" t="str">
        <f>IF(ISNUMBER(SEARCH("-",V77)),IFERROR(IF($H$2="Lower", LOWER(ComputeResourceName(Z77,#REF!,#REF!,G77,N77,O77,P77,Q77,S77,T77,V77,A77)), UPPER(ComputeResourceName(Z77,#REF!,#REF!,G77,N77,O77,P77,Q77,S77,T77,V77,A77))),""),SUBSTITUTE(IFERROR(IF($H$2="Lower", LOWER(ComputeResourceName(#REF!,#REF!,#REF!,G77,N77,O77,P77,Q77,S77,T77,V77,A77)), UPPER(ComputeResourceName(#REF!,#REF!,#REF!,G77,N77,O77,P77,Q77,S77,T77,V77,A77))),""), "-",""))</f>
        <v/>
      </c>
      <c r="L77" s="3" t="str">
        <f xml:space="preserve"> IF(K77="","",  IFERROR(VLOOKUP(I77,Resources!$B$1:$H$1503,5,FALSE)-LEN(K77),0))</f>
        <v/>
      </c>
      <c r="M77" s="3" t="str">
        <f>IF(K77="","",IFERROR(matches(K77,VLOOKUP(I77,Resources!$A$2:$AA$1503,16,FALSE)),FALSE))</f>
        <v/>
      </c>
      <c r="N77" s="3" t="e">
        <f>VLOOKUP(E77,Enviroments!$A$3:$D$59,1,FALSE)</f>
        <v>#N/A</v>
      </c>
      <c r="O77" s="3" t="e">
        <f>VLOOKUP(E77,Enviroments!$A$3:$D$59,2,FALSE)</f>
        <v>#N/A</v>
      </c>
      <c r="P77" s="3" t="e">
        <f>VLOOKUP(E77,Enviroments!$A$3:$D$59,3,FALSE)</f>
        <v>#N/A</v>
      </c>
      <c r="Q77" s="3" t="e">
        <f>VLOOKUP(E77,Enviroments!$A$3:$D$59,4,FALSE)</f>
        <v>#N/A</v>
      </c>
      <c r="R77" s="3" t="e">
        <f>VLOOKUP(H77,AzureRegions!$A$4:$B$1493,1,FALSE)</f>
        <v>#N/A</v>
      </c>
      <c r="S77" s="3" t="e">
        <f>VLOOKUP(H77,AzureRegions!$A$4:$B$1493,2,FALSE)</f>
        <v>#N/A</v>
      </c>
      <c r="T77" s="3" t="e">
        <f>VLOOKUP(H77,AzureRegions!$A$4:$C$1493,3,FALSE)</f>
        <v>#N/A</v>
      </c>
      <c r="U77" s="3" t="e">
        <f>VLOOKUP(I77,Resources!$A$2:$AA$1503,2,FALSE)</f>
        <v>#N/A</v>
      </c>
      <c r="V77" s="3" t="e">
        <f>VLOOKUP(I77,Resources!$A$2:$H$1503,6,FALSE)</f>
        <v>#N/A</v>
      </c>
      <c r="W77" s="3" t="str">
        <f>VLOOKUP($H$2,Casing!$A$4:$A$60,1,FALSE)</f>
        <v>Lower</v>
      </c>
      <c r="X77" s="14" t="str">
        <f t="shared" si="3"/>
        <v>001</v>
      </c>
      <c r="Y77" s="3" t="str">
        <f>IFERROR(VLOOKUP(F77,Func!$A$4:$G$1500,2,FALSE),"none")</f>
        <v>none</v>
      </c>
      <c r="Z77" s="3" t="e">
        <f>VLOOKUP(I77,Resources!$A$2:$AA$1503,18,FALSE)</f>
        <v>#N/A</v>
      </c>
      <c r="AA77" s="3" t="str">
        <f>IFERROR(VLOOKUP(B77,Orgs!$A$4:$G$1500,2,FALSE),"none")</f>
        <v>none</v>
      </c>
      <c r="AB77" s="3" t="str">
        <f>IFERROR(VLOOKUP(C77,UnitsDepts!$A$4:$G$1500,2,FALSE),"none")</f>
        <v>none</v>
      </c>
      <c r="AC77" s="3" t="str">
        <f>IFERROR(VLOOKUP(D77,ProjAppSvc!$A$4:$G$1500,2,FALSE),"none")</f>
        <v>none</v>
      </c>
    </row>
    <row r="78" spans="1:29" x14ac:dyDescent="0.45">
      <c r="A78" s="14" t="s">
        <v>23</v>
      </c>
      <c r="B78" s="14"/>
      <c r="C78" s="14"/>
      <c r="D78" s="14"/>
      <c r="H78" s="8"/>
      <c r="I78" s="3"/>
      <c r="J78" s="3" t="str">
        <f t="shared" si="4"/>
        <v/>
      </c>
      <c r="K78" s="3" t="str">
        <f>IF(ISNUMBER(SEARCH("-",V78)),IFERROR(IF($H$2="Lower", LOWER(ComputeResourceName(Z78,#REF!,#REF!,G78,N78,O78,P78,Q78,S78,T78,V78,A78)), UPPER(ComputeResourceName(Z78,#REF!,#REF!,G78,N78,O78,P78,Q78,S78,T78,V78,A78))),""),SUBSTITUTE(IFERROR(IF($H$2="Lower", LOWER(ComputeResourceName(#REF!,#REF!,#REF!,G78,N78,O78,P78,Q78,S78,T78,V78,A78)), UPPER(ComputeResourceName(#REF!,#REF!,#REF!,G78,N78,O78,P78,Q78,S78,T78,V78,A78))),""), "-",""))</f>
        <v/>
      </c>
      <c r="L78" s="3" t="str">
        <f xml:space="preserve"> IF(K78="","",  IFERROR(VLOOKUP(I78,Resources!$B$1:$H$1503,5,FALSE)-LEN(K78),0))</f>
        <v/>
      </c>
      <c r="M78" s="3" t="str">
        <f>IF(K78="","",IFERROR(matches(K78,VLOOKUP(I78,Resources!$A$2:$AA$1503,16,FALSE)),FALSE))</f>
        <v/>
      </c>
      <c r="N78" s="3" t="e">
        <f>VLOOKUP(E78,Enviroments!$A$3:$D$59,1,FALSE)</f>
        <v>#N/A</v>
      </c>
      <c r="O78" s="3" t="e">
        <f>VLOOKUP(E78,Enviroments!$A$3:$D$59,2,FALSE)</f>
        <v>#N/A</v>
      </c>
      <c r="P78" s="3" t="e">
        <f>VLOOKUP(E78,Enviroments!$A$3:$D$59,3,FALSE)</f>
        <v>#N/A</v>
      </c>
      <c r="Q78" s="3" t="e">
        <f>VLOOKUP(E78,Enviroments!$A$3:$D$59,4,FALSE)</f>
        <v>#N/A</v>
      </c>
      <c r="R78" s="3" t="e">
        <f>VLOOKUP(H78,AzureRegions!$A$4:$B$1493,1,FALSE)</f>
        <v>#N/A</v>
      </c>
      <c r="S78" s="3" t="e">
        <f>VLOOKUP(H78,AzureRegions!$A$4:$B$1493,2,FALSE)</f>
        <v>#N/A</v>
      </c>
      <c r="T78" s="3" t="e">
        <f>VLOOKUP(H78,AzureRegions!$A$4:$C$1493,3,FALSE)</f>
        <v>#N/A</v>
      </c>
      <c r="U78" s="3" t="e">
        <f>VLOOKUP(I78,Resources!$A$2:$AA$1503,2,FALSE)</f>
        <v>#N/A</v>
      </c>
      <c r="V78" s="3" t="e">
        <f>VLOOKUP(I78,Resources!$A$2:$H$1503,6,FALSE)</f>
        <v>#N/A</v>
      </c>
      <c r="W78" s="3" t="str">
        <f>VLOOKUP($H$2,Casing!$A$4:$A$60,1,FALSE)</f>
        <v>Lower</v>
      </c>
      <c r="X78" s="14" t="str">
        <f t="shared" si="3"/>
        <v>001</v>
      </c>
      <c r="Y78" s="3" t="str">
        <f>IFERROR(VLOOKUP(F78,Func!$A$4:$G$1500,2,FALSE),"none")</f>
        <v>none</v>
      </c>
      <c r="Z78" s="3" t="e">
        <f>VLOOKUP(I78,Resources!$A$2:$AA$1503,18,FALSE)</f>
        <v>#N/A</v>
      </c>
      <c r="AA78" s="3" t="str">
        <f>IFERROR(VLOOKUP(B78,Orgs!$A$4:$G$1500,2,FALSE),"none")</f>
        <v>none</v>
      </c>
      <c r="AB78" s="3" t="str">
        <f>IFERROR(VLOOKUP(C78,UnitsDepts!$A$4:$G$1500,2,FALSE),"none")</f>
        <v>none</v>
      </c>
      <c r="AC78" s="3" t="str">
        <f>IFERROR(VLOOKUP(D78,ProjAppSvc!$A$4:$G$1500,2,FALSE),"none")</f>
        <v>none</v>
      </c>
    </row>
    <row r="79" spans="1:29" x14ac:dyDescent="0.45">
      <c r="A79" s="14" t="s">
        <v>23</v>
      </c>
      <c r="B79" s="14"/>
      <c r="C79" s="14"/>
      <c r="D79" s="14"/>
      <c r="H79" s="8"/>
      <c r="I79" s="3"/>
      <c r="J79" s="3" t="str">
        <f t="shared" si="4"/>
        <v/>
      </c>
      <c r="K79" s="3" t="str">
        <f>IF(ISNUMBER(SEARCH("-",V79)),IFERROR(IF($H$2="Lower", LOWER(ComputeResourceName(Z79,#REF!,#REF!,G79,N79,O79,P79,Q79,S79,T79,V79,A79)), UPPER(ComputeResourceName(Z79,#REF!,#REF!,G79,N79,O79,P79,Q79,S79,T79,V79,A79))),""),SUBSTITUTE(IFERROR(IF($H$2="Lower", LOWER(ComputeResourceName(#REF!,#REF!,#REF!,G79,N79,O79,P79,Q79,S79,T79,V79,A79)), UPPER(ComputeResourceName(#REF!,#REF!,#REF!,G79,N79,O79,P79,Q79,S79,T79,V79,A79))),""), "-",""))</f>
        <v/>
      </c>
      <c r="L79" s="3" t="str">
        <f xml:space="preserve"> IF(K79="","",  IFERROR(VLOOKUP(I79,Resources!$B$1:$H$1503,5,FALSE)-LEN(K79),0))</f>
        <v/>
      </c>
      <c r="M79" s="3" t="str">
        <f>IF(K79="","",IFERROR(matches(K79,VLOOKUP(I79,Resources!$A$2:$AA$1503,16,FALSE)),FALSE))</f>
        <v/>
      </c>
      <c r="N79" s="3" t="e">
        <f>VLOOKUP(E79,Enviroments!$A$3:$D$59,1,FALSE)</f>
        <v>#N/A</v>
      </c>
      <c r="O79" s="3" t="e">
        <f>VLOOKUP(E79,Enviroments!$A$3:$D$59,2,FALSE)</f>
        <v>#N/A</v>
      </c>
      <c r="P79" s="3" t="e">
        <f>VLOOKUP(E79,Enviroments!$A$3:$D$59,3,FALSE)</f>
        <v>#N/A</v>
      </c>
      <c r="Q79" s="3" t="e">
        <f>VLOOKUP(E79,Enviroments!$A$3:$D$59,4,FALSE)</f>
        <v>#N/A</v>
      </c>
      <c r="R79" s="3" t="e">
        <f>VLOOKUP(H79,AzureRegions!$A$4:$B$1493,1,FALSE)</f>
        <v>#N/A</v>
      </c>
      <c r="S79" s="3" t="e">
        <f>VLOOKUP(H79,AzureRegions!$A$4:$B$1493,2,FALSE)</f>
        <v>#N/A</v>
      </c>
      <c r="T79" s="3" t="e">
        <f>VLOOKUP(H79,AzureRegions!$A$4:$C$1493,3,FALSE)</f>
        <v>#N/A</v>
      </c>
      <c r="U79" s="3" t="e">
        <f>VLOOKUP(I79,Resources!$A$2:$AA$1503,2,FALSE)</f>
        <v>#N/A</v>
      </c>
      <c r="V79" s="3" t="e">
        <f>VLOOKUP(I79,Resources!$A$2:$H$1503,6,FALSE)</f>
        <v>#N/A</v>
      </c>
      <c r="W79" s="3" t="str">
        <f>VLOOKUP($H$2,Casing!$A$4:$A$60,1,FALSE)</f>
        <v>Lower</v>
      </c>
      <c r="X79" s="14" t="str">
        <f t="shared" si="3"/>
        <v>001</v>
      </c>
      <c r="Y79" s="3" t="str">
        <f>IFERROR(VLOOKUP(F79,Func!$A$4:$G$1500,2,FALSE),"none")</f>
        <v>none</v>
      </c>
      <c r="Z79" s="3" t="e">
        <f>VLOOKUP(I79,Resources!$A$2:$AA$1503,18,FALSE)</f>
        <v>#N/A</v>
      </c>
      <c r="AA79" s="3" t="str">
        <f>IFERROR(VLOOKUP(B79,Orgs!$A$4:$G$1500,2,FALSE),"none")</f>
        <v>none</v>
      </c>
      <c r="AB79" s="3" t="str">
        <f>IFERROR(VLOOKUP(C79,UnitsDepts!$A$4:$G$1500,2,FALSE),"none")</f>
        <v>none</v>
      </c>
      <c r="AC79" s="3" t="str">
        <f>IFERROR(VLOOKUP(D79,ProjAppSvc!$A$4:$G$1500,2,FALSE),"none")</f>
        <v>none</v>
      </c>
    </row>
    <row r="80" spans="1:29" x14ac:dyDescent="0.45">
      <c r="A80" s="14" t="s">
        <v>23</v>
      </c>
      <c r="B80" s="14"/>
      <c r="C80" s="14"/>
      <c r="D80" s="14"/>
      <c r="H80" s="8"/>
      <c r="I80" s="3"/>
      <c r="J80" s="3" t="str">
        <f t="shared" si="4"/>
        <v/>
      </c>
      <c r="K80" s="3" t="str">
        <f>IF(ISNUMBER(SEARCH("-",V80)),IFERROR(IF($H$2="Lower", LOWER(ComputeResourceName(Z80,#REF!,#REF!,G80,N80,O80,P80,Q80,S80,T80,V80,A80)), UPPER(ComputeResourceName(Z80,#REF!,#REF!,G80,N80,O80,P80,Q80,S80,T80,V80,A80))),""),SUBSTITUTE(IFERROR(IF($H$2="Lower", LOWER(ComputeResourceName(#REF!,#REF!,#REF!,G80,N80,O80,P80,Q80,S80,T80,V80,A80)), UPPER(ComputeResourceName(#REF!,#REF!,#REF!,G80,N80,O80,P80,Q80,S80,T80,V80,A80))),""), "-",""))</f>
        <v/>
      </c>
      <c r="L80" s="3" t="str">
        <f xml:space="preserve"> IF(K80="","",  IFERROR(VLOOKUP(I80,Resources!$B$1:$H$1503,5,FALSE)-LEN(K80),0))</f>
        <v/>
      </c>
      <c r="M80" s="3" t="str">
        <f>IF(K80="","",IFERROR(matches(K80,VLOOKUP(I80,Resources!$A$2:$AA$1503,16,FALSE)),FALSE))</f>
        <v/>
      </c>
      <c r="N80" s="3" t="e">
        <f>VLOOKUP(E80,Enviroments!$A$3:$D$59,1,FALSE)</f>
        <v>#N/A</v>
      </c>
      <c r="O80" s="3" t="e">
        <f>VLOOKUP(E80,Enviroments!$A$3:$D$59,2,FALSE)</f>
        <v>#N/A</v>
      </c>
      <c r="P80" s="3" t="e">
        <f>VLOOKUP(E80,Enviroments!$A$3:$D$59,3,FALSE)</f>
        <v>#N/A</v>
      </c>
      <c r="Q80" s="3" t="e">
        <f>VLOOKUP(E80,Enviroments!$A$3:$D$59,4,FALSE)</f>
        <v>#N/A</v>
      </c>
      <c r="R80" s="3" t="e">
        <f>VLOOKUP(H80,AzureRegions!$A$4:$B$1493,1,FALSE)</f>
        <v>#N/A</v>
      </c>
      <c r="S80" s="3" t="e">
        <f>VLOOKUP(H80,AzureRegions!$A$4:$B$1493,2,FALSE)</f>
        <v>#N/A</v>
      </c>
      <c r="T80" s="3" t="e">
        <f>VLOOKUP(H80,AzureRegions!$A$4:$C$1493,3,FALSE)</f>
        <v>#N/A</v>
      </c>
      <c r="U80" s="3" t="e">
        <f>VLOOKUP(I80,Resources!$A$2:$AA$1503,2,FALSE)</f>
        <v>#N/A</v>
      </c>
      <c r="V80" s="3" t="e">
        <f>VLOOKUP(I80,Resources!$A$2:$H$1503,6,FALSE)</f>
        <v>#N/A</v>
      </c>
      <c r="W80" s="3" t="str">
        <f>VLOOKUP($H$2,Casing!$A$4:$A$60,1,FALSE)</f>
        <v>Lower</v>
      </c>
      <c r="X80" s="14" t="str">
        <f t="shared" si="3"/>
        <v>001</v>
      </c>
      <c r="Y80" s="3" t="str">
        <f>IFERROR(VLOOKUP(F80,Func!$A$4:$G$1500,2,FALSE),"none")</f>
        <v>none</v>
      </c>
      <c r="Z80" s="3" t="e">
        <f>VLOOKUP(I80,Resources!$A$2:$AA$1503,18,FALSE)</f>
        <v>#N/A</v>
      </c>
      <c r="AA80" s="3" t="str">
        <f>IFERROR(VLOOKUP(B80,Orgs!$A$4:$G$1500,2,FALSE),"none")</f>
        <v>none</v>
      </c>
      <c r="AB80" s="3" t="str">
        <f>IFERROR(VLOOKUP(C80,UnitsDepts!$A$4:$G$1500,2,FALSE),"none")</f>
        <v>none</v>
      </c>
      <c r="AC80" s="3" t="str">
        <f>IFERROR(VLOOKUP(D80,ProjAppSvc!$A$4:$G$1500,2,FALSE),"none")</f>
        <v>none</v>
      </c>
    </row>
    <row r="81" spans="1:29" x14ac:dyDescent="0.45">
      <c r="A81" s="14" t="s">
        <v>23</v>
      </c>
      <c r="B81" s="14"/>
      <c r="C81" s="14"/>
      <c r="D81" s="14"/>
      <c r="H81" s="8"/>
      <c r="I81" s="3"/>
      <c r="J81" s="3" t="str">
        <f t="shared" si="4"/>
        <v/>
      </c>
      <c r="K81" s="3" t="str">
        <f>IF(ISNUMBER(SEARCH("-",V81)),IFERROR(IF($H$2="Lower", LOWER(ComputeResourceName(Z81,#REF!,#REF!,G81,N81,O81,P81,Q81,S81,T81,V81,A81)), UPPER(ComputeResourceName(Z81,#REF!,#REF!,G81,N81,O81,P81,Q81,S81,T81,V81,A81))),""),SUBSTITUTE(IFERROR(IF($H$2="Lower", LOWER(ComputeResourceName(#REF!,#REF!,#REF!,G81,N81,O81,P81,Q81,S81,T81,V81,A81)), UPPER(ComputeResourceName(#REF!,#REF!,#REF!,G81,N81,O81,P81,Q81,S81,T81,V81,A81))),""), "-",""))</f>
        <v/>
      </c>
      <c r="L81" s="3" t="str">
        <f xml:space="preserve"> IF(K81="","",  IFERROR(VLOOKUP(I81,Resources!$B$1:$H$1503,5,FALSE)-LEN(K81),0))</f>
        <v/>
      </c>
      <c r="M81" s="3" t="str">
        <f>IF(K81="","",IFERROR(matches(K81,VLOOKUP(I81,Resources!$A$2:$AA$1503,16,FALSE)),FALSE))</f>
        <v/>
      </c>
      <c r="N81" s="3" t="e">
        <f>VLOOKUP(E81,Enviroments!$A$3:$D$59,1,FALSE)</f>
        <v>#N/A</v>
      </c>
      <c r="O81" s="3" t="e">
        <f>VLOOKUP(E81,Enviroments!$A$3:$D$59,2,FALSE)</f>
        <v>#N/A</v>
      </c>
      <c r="P81" s="3" t="e">
        <f>VLOOKUP(E81,Enviroments!$A$3:$D$59,3,FALSE)</f>
        <v>#N/A</v>
      </c>
      <c r="Q81" s="3" t="e">
        <f>VLOOKUP(E81,Enviroments!$A$3:$D$59,4,FALSE)</f>
        <v>#N/A</v>
      </c>
      <c r="R81" s="3" t="e">
        <f>VLOOKUP(H81,AzureRegions!$A$4:$B$1493,1,FALSE)</f>
        <v>#N/A</v>
      </c>
      <c r="S81" s="3" t="e">
        <f>VLOOKUP(H81,AzureRegions!$A$4:$B$1493,2,FALSE)</f>
        <v>#N/A</v>
      </c>
      <c r="T81" s="3" t="e">
        <f>VLOOKUP(H81,AzureRegions!$A$4:$C$1493,3,FALSE)</f>
        <v>#N/A</v>
      </c>
      <c r="U81" s="3" t="e">
        <f>VLOOKUP(I81,Resources!$A$2:$AA$1503,2,FALSE)</f>
        <v>#N/A</v>
      </c>
      <c r="V81" s="3" t="e">
        <f>VLOOKUP(I81,Resources!$A$2:$H$1503,6,FALSE)</f>
        <v>#N/A</v>
      </c>
      <c r="W81" s="3" t="str">
        <f>VLOOKUP($H$2,Casing!$A$4:$A$60,1,FALSE)</f>
        <v>Lower</v>
      </c>
      <c r="X81" s="14" t="str">
        <f t="shared" si="3"/>
        <v>001</v>
      </c>
      <c r="Y81" s="3" t="str">
        <f>IFERROR(VLOOKUP(F81,Func!$A$4:$G$1500,2,FALSE),"none")</f>
        <v>none</v>
      </c>
      <c r="Z81" s="3" t="e">
        <f>VLOOKUP(I81,Resources!$A$2:$AA$1503,18,FALSE)</f>
        <v>#N/A</v>
      </c>
      <c r="AA81" s="3" t="str">
        <f>IFERROR(VLOOKUP(B81,Orgs!$A$4:$G$1500,2,FALSE),"none")</f>
        <v>none</v>
      </c>
      <c r="AB81" s="3" t="str">
        <f>IFERROR(VLOOKUP(C81,UnitsDepts!$A$4:$G$1500,2,FALSE),"none")</f>
        <v>none</v>
      </c>
      <c r="AC81" s="3" t="str">
        <f>IFERROR(VLOOKUP(D81,ProjAppSvc!$A$4:$G$1500,2,FALSE),"none")</f>
        <v>none</v>
      </c>
    </row>
    <row r="82" spans="1:29" x14ac:dyDescent="0.45">
      <c r="A82" s="14" t="s">
        <v>23</v>
      </c>
      <c r="B82" s="14"/>
      <c r="C82" s="14"/>
      <c r="D82" s="14"/>
      <c r="H82" s="8"/>
      <c r="I82" s="3"/>
      <c r="J82" s="3" t="str">
        <f t="shared" si="4"/>
        <v/>
      </c>
      <c r="K82" s="3" t="str">
        <f>IF(ISNUMBER(SEARCH("-",V82)),IFERROR(IF($H$2="Lower", LOWER(ComputeResourceName(Z82,#REF!,#REF!,G82,N82,O82,P82,Q82,S82,T82,V82,A82)), UPPER(ComputeResourceName(Z82,#REF!,#REF!,G82,N82,O82,P82,Q82,S82,T82,V82,A82))),""),SUBSTITUTE(IFERROR(IF($H$2="Lower", LOWER(ComputeResourceName(#REF!,#REF!,#REF!,G82,N82,O82,P82,Q82,S82,T82,V82,A82)), UPPER(ComputeResourceName(#REF!,#REF!,#REF!,G82,N82,O82,P82,Q82,S82,T82,V82,A82))),""), "-",""))</f>
        <v/>
      </c>
      <c r="L82" s="3" t="str">
        <f xml:space="preserve"> IF(K82="","",  IFERROR(VLOOKUP(I82,Resources!$B$1:$H$1503,5,FALSE)-LEN(K82),0))</f>
        <v/>
      </c>
      <c r="M82" s="3" t="str">
        <f>IF(K82="","",IFERROR(matches(K82,VLOOKUP(I82,Resources!$A$2:$AA$1503,16,FALSE)),FALSE))</f>
        <v/>
      </c>
      <c r="N82" s="3" t="e">
        <f>VLOOKUP(E82,Enviroments!$A$3:$D$59,1,FALSE)</f>
        <v>#N/A</v>
      </c>
      <c r="O82" s="3" t="e">
        <f>VLOOKUP(E82,Enviroments!$A$3:$D$59,2,FALSE)</f>
        <v>#N/A</v>
      </c>
      <c r="P82" s="3" t="e">
        <f>VLOOKUP(E82,Enviroments!$A$3:$D$59,3,FALSE)</f>
        <v>#N/A</v>
      </c>
      <c r="Q82" s="3" t="e">
        <f>VLOOKUP(E82,Enviroments!$A$3:$D$59,4,FALSE)</f>
        <v>#N/A</v>
      </c>
      <c r="R82" s="3" t="e">
        <f>VLOOKUP(H82,AzureRegions!$A$4:$B$1493,1,FALSE)</f>
        <v>#N/A</v>
      </c>
      <c r="S82" s="3" t="e">
        <f>VLOOKUP(H82,AzureRegions!$A$4:$B$1493,2,FALSE)</f>
        <v>#N/A</v>
      </c>
      <c r="T82" s="3" t="e">
        <f>VLOOKUP(H82,AzureRegions!$A$4:$C$1493,3,FALSE)</f>
        <v>#N/A</v>
      </c>
      <c r="U82" s="3" t="e">
        <f>VLOOKUP(I82,Resources!$A$2:$AA$1503,2,FALSE)</f>
        <v>#N/A</v>
      </c>
      <c r="V82" s="3" t="e">
        <f>VLOOKUP(I82,Resources!$A$2:$H$1503,6,FALSE)</f>
        <v>#N/A</v>
      </c>
      <c r="W82" s="3" t="str">
        <f>VLOOKUP($H$2,Casing!$A$4:$A$60,1,FALSE)</f>
        <v>Lower</v>
      </c>
      <c r="X82" s="14" t="str">
        <f t="shared" si="3"/>
        <v>001</v>
      </c>
      <c r="Y82" s="3" t="str">
        <f>IFERROR(VLOOKUP(F82,Func!$A$4:$G$1500,2,FALSE),"none")</f>
        <v>none</v>
      </c>
      <c r="Z82" s="3" t="e">
        <f>VLOOKUP(I82,Resources!$A$2:$AA$1503,18,FALSE)</f>
        <v>#N/A</v>
      </c>
      <c r="AA82" s="3" t="str">
        <f>IFERROR(VLOOKUP(B82,Orgs!$A$4:$G$1500,2,FALSE),"none")</f>
        <v>none</v>
      </c>
      <c r="AB82" s="3" t="str">
        <f>IFERROR(VLOOKUP(C82,UnitsDepts!$A$4:$G$1500,2,FALSE),"none")</f>
        <v>none</v>
      </c>
      <c r="AC82" s="3" t="str">
        <f>IFERROR(VLOOKUP(D82,ProjAppSvc!$A$4:$G$1500,2,FALSE),"none")</f>
        <v>none</v>
      </c>
    </row>
    <row r="83" spans="1:29" x14ac:dyDescent="0.45">
      <c r="A83" s="14" t="s">
        <v>23</v>
      </c>
      <c r="B83" s="14"/>
      <c r="C83" s="14"/>
      <c r="D83" s="14"/>
      <c r="H83" s="8"/>
      <c r="I83" s="3"/>
      <c r="J83" s="3" t="str">
        <f t="shared" si="4"/>
        <v/>
      </c>
      <c r="K83" s="3" t="str">
        <f>IF(ISNUMBER(SEARCH("-",V83)),IFERROR(IF($H$2="Lower", LOWER(ComputeResourceName(Z83,#REF!,#REF!,G83,N83,O83,P83,Q83,S83,T83,V83,A83)), UPPER(ComputeResourceName(Z83,#REF!,#REF!,G83,N83,O83,P83,Q83,S83,T83,V83,A83))),""),SUBSTITUTE(IFERROR(IF($H$2="Lower", LOWER(ComputeResourceName(#REF!,#REF!,#REF!,G83,N83,O83,P83,Q83,S83,T83,V83,A83)), UPPER(ComputeResourceName(#REF!,#REF!,#REF!,G83,N83,O83,P83,Q83,S83,T83,V83,A83))),""), "-",""))</f>
        <v/>
      </c>
      <c r="L83" s="3" t="str">
        <f xml:space="preserve"> IF(K83="","",  IFERROR(VLOOKUP(I83,Resources!$B$1:$H$1503,5,FALSE)-LEN(K83),0))</f>
        <v/>
      </c>
      <c r="M83" s="3" t="str">
        <f>IF(K83="","",IFERROR(matches(K83,VLOOKUP(I83,Resources!$A$2:$AA$1503,16,FALSE)),FALSE))</f>
        <v/>
      </c>
      <c r="N83" s="3" t="e">
        <f>VLOOKUP(E83,Enviroments!$A$3:$D$59,1,FALSE)</f>
        <v>#N/A</v>
      </c>
      <c r="O83" s="3" t="e">
        <f>VLOOKUP(E83,Enviroments!$A$3:$D$59,2,FALSE)</f>
        <v>#N/A</v>
      </c>
      <c r="P83" s="3" t="e">
        <f>VLOOKUP(E83,Enviroments!$A$3:$D$59,3,FALSE)</f>
        <v>#N/A</v>
      </c>
      <c r="Q83" s="3" t="e">
        <f>VLOOKUP(E83,Enviroments!$A$3:$D$59,4,FALSE)</f>
        <v>#N/A</v>
      </c>
      <c r="R83" s="3" t="e">
        <f>VLOOKUP(H83,AzureRegions!$A$4:$B$1493,1,FALSE)</f>
        <v>#N/A</v>
      </c>
      <c r="S83" s="3" t="e">
        <f>VLOOKUP(H83,AzureRegions!$A$4:$B$1493,2,FALSE)</f>
        <v>#N/A</v>
      </c>
      <c r="T83" s="3" t="e">
        <f>VLOOKUP(H83,AzureRegions!$A$4:$C$1493,3,FALSE)</f>
        <v>#N/A</v>
      </c>
      <c r="U83" s="3" t="e">
        <f>VLOOKUP(I83,Resources!$A$2:$AA$1503,2,FALSE)</f>
        <v>#N/A</v>
      </c>
      <c r="V83" s="3" t="e">
        <f>VLOOKUP(I83,Resources!$A$2:$H$1503,6,FALSE)</f>
        <v>#N/A</v>
      </c>
      <c r="W83" s="3" t="str">
        <f>VLOOKUP($H$2,Casing!$A$4:$A$60,1,FALSE)</f>
        <v>Lower</v>
      </c>
      <c r="X83" s="14" t="str">
        <f t="shared" si="3"/>
        <v>001</v>
      </c>
      <c r="Y83" s="3" t="str">
        <f>IFERROR(VLOOKUP(F83,Func!$A$4:$G$1500,2,FALSE),"none")</f>
        <v>none</v>
      </c>
      <c r="Z83" s="3" t="e">
        <f>VLOOKUP(I83,Resources!$A$2:$AA$1503,18,FALSE)</f>
        <v>#N/A</v>
      </c>
      <c r="AA83" s="3" t="str">
        <f>IFERROR(VLOOKUP(B83,Orgs!$A$4:$G$1500,2,FALSE),"none")</f>
        <v>none</v>
      </c>
      <c r="AB83" s="3" t="str">
        <f>IFERROR(VLOOKUP(C83,UnitsDepts!$A$4:$G$1500,2,FALSE),"none")</f>
        <v>none</v>
      </c>
      <c r="AC83" s="3" t="str">
        <f>IFERROR(VLOOKUP(D83,ProjAppSvc!$A$4:$G$1500,2,FALSE),"none")</f>
        <v>none</v>
      </c>
    </row>
    <row r="84" spans="1:29" x14ac:dyDescent="0.45">
      <c r="A84" s="14" t="s">
        <v>23</v>
      </c>
      <c r="B84" s="14"/>
      <c r="C84" s="14"/>
      <c r="D84" s="14"/>
      <c r="H84" s="8"/>
      <c r="I84" s="3"/>
      <c r="J84" s="3" t="str">
        <f t="shared" si="4"/>
        <v/>
      </c>
      <c r="K84" s="3" t="str">
        <f>IF(ISNUMBER(SEARCH("-",V84)),IFERROR(IF($H$2="Lower", LOWER(ComputeResourceName(Z84,#REF!,#REF!,G84,N84,O84,P84,Q84,S84,T84,V84,A84)), UPPER(ComputeResourceName(Z84,#REF!,#REF!,G84,N84,O84,P84,Q84,S84,T84,V84,A84))),""),SUBSTITUTE(IFERROR(IF($H$2="Lower", LOWER(ComputeResourceName(#REF!,#REF!,#REF!,G84,N84,O84,P84,Q84,S84,T84,V84,A84)), UPPER(ComputeResourceName(#REF!,#REF!,#REF!,G84,N84,O84,P84,Q84,S84,T84,V84,A84))),""), "-",""))</f>
        <v/>
      </c>
      <c r="L84" s="3" t="str">
        <f xml:space="preserve"> IF(K84="","",  IFERROR(VLOOKUP(I84,Resources!$B$1:$H$1503,5,FALSE)-LEN(K84),0))</f>
        <v/>
      </c>
      <c r="M84" s="3" t="str">
        <f>IF(K84="","",IFERROR(matches(K84,VLOOKUP(I84,Resources!$A$2:$AA$1503,16,FALSE)),FALSE))</f>
        <v/>
      </c>
      <c r="N84" s="3" t="e">
        <f>VLOOKUP(E84,Enviroments!$A$3:$D$59,1,FALSE)</f>
        <v>#N/A</v>
      </c>
      <c r="O84" s="3" t="e">
        <f>VLOOKUP(E84,Enviroments!$A$3:$D$59,2,FALSE)</f>
        <v>#N/A</v>
      </c>
      <c r="P84" s="3" t="e">
        <f>VLOOKUP(E84,Enviroments!$A$3:$D$59,3,FALSE)</f>
        <v>#N/A</v>
      </c>
      <c r="Q84" s="3" t="e">
        <f>VLOOKUP(E84,Enviroments!$A$3:$D$59,4,FALSE)</f>
        <v>#N/A</v>
      </c>
      <c r="R84" s="3" t="e">
        <f>VLOOKUP(H84,AzureRegions!$A$4:$B$1493,1,FALSE)</f>
        <v>#N/A</v>
      </c>
      <c r="S84" s="3" t="e">
        <f>VLOOKUP(H84,AzureRegions!$A$4:$B$1493,2,FALSE)</f>
        <v>#N/A</v>
      </c>
      <c r="T84" s="3" t="e">
        <f>VLOOKUP(H84,AzureRegions!$A$4:$C$1493,3,FALSE)</f>
        <v>#N/A</v>
      </c>
      <c r="U84" s="3" t="e">
        <f>VLOOKUP(I84,Resources!$A$2:$AA$1503,2,FALSE)</f>
        <v>#N/A</v>
      </c>
      <c r="V84" s="3" t="e">
        <f>VLOOKUP(I84,Resources!$A$2:$H$1503,6,FALSE)</f>
        <v>#N/A</v>
      </c>
      <c r="W84" s="3" t="str">
        <f>VLOOKUP($H$2,Casing!$A$4:$A$60,1,FALSE)</f>
        <v>Lower</v>
      </c>
      <c r="X84" s="14" t="str">
        <f t="shared" si="3"/>
        <v>001</v>
      </c>
      <c r="Y84" s="3" t="str">
        <f>IFERROR(VLOOKUP(F84,Func!$A$4:$G$1500,2,FALSE),"none")</f>
        <v>none</v>
      </c>
      <c r="Z84" s="3" t="e">
        <f>VLOOKUP(I84,Resources!$A$2:$AA$1503,18,FALSE)</f>
        <v>#N/A</v>
      </c>
      <c r="AA84" s="3" t="str">
        <f>IFERROR(VLOOKUP(B84,Orgs!$A$4:$G$1500,2,FALSE),"none")</f>
        <v>none</v>
      </c>
      <c r="AB84" s="3" t="str">
        <f>IFERROR(VLOOKUP(C84,UnitsDepts!$A$4:$G$1500,2,FALSE),"none")</f>
        <v>none</v>
      </c>
      <c r="AC84" s="3" t="str">
        <f>IFERROR(VLOOKUP(D84,ProjAppSvc!$A$4:$G$1500,2,FALSE),"none")</f>
        <v>none</v>
      </c>
    </row>
    <row r="85" spans="1:29" x14ac:dyDescent="0.45">
      <c r="A85" s="14" t="s">
        <v>23</v>
      </c>
      <c r="B85" s="14"/>
      <c r="C85" s="14"/>
      <c r="D85" s="14"/>
      <c r="H85" s="8"/>
      <c r="I85" s="3"/>
      <c r="J85" s="3" t="str">
        <f t="shared" si="4"/>
        <v/>
      </c>
      <c r="K85" s="3" t="str">
        <f>IF(ISNUMBER(SEARCH("-",V85)),IFERROR(IF($H$2="Lower", LOWER(ComputeResourceName(Z85,#REF!,#REF!,G85,N85,O85,P85,Q85,S85,T85,V85,A85)), UPPER(ComputeResourceName(Z85,#REF!,#REF!,G85,N85,O85,P85,Q85,S85,T85,V85,A85))),""),SUBSTITUTE(IFERROR(IF($H$2="Lower", LOWER(ComputeResourceName(#REF!,#REF!,#REF!,G85,N85,O85,P85,Q85,S85,T85,V85,A85)), UPPER(ComputeResourceName(#REF!,#REF!,#REF!,G85,N85,O85,P85,Q85,S85,T85,V85,A85))),""), "-",""))</f>
        <v/>
      </c>
      <c r="L85" s="3" t="str">
        <f xml:space="preserve"> IF(K85="","",  IFERROR(VLOOKUP(I85,Resources!$B$1:$H$1503,5,FALSE)-LEN(K85),0))</f>
        <v/>
      </c>
      <c r="M85" s="3" t="str">
        <f>IF(K85="","",IFERROR(matches(K85,VLOOKUP(I85,Resources!$A$2:$AA$1503,16,FALSE)),FALSE))</f>
        <v/>
      </c>
      <c r="N85" s="3" t="e">
        <f>VLOOKUP(E85,Enviroments!$A$3:$D$59,1,FALSE)</f>
        <v>#N/A</v>
      </c>
      <c r="O85" s="3" t="e">
        <f>VLOOKUP(E85,Enviroments!$A$3:$D$59,2,FALSE)</f>
        <v>#N/A</v>
      </c>
      <c r="P85" s="3" t="e">
        <f>VLOOKUP(E85,Enviroments!$A$3:$D$59,3,FALSE)</f>
        <v>#N/A</v>
      </c>
      <c r="Q85" s="3" t="e">
        <f>VLOOKUP(E85,Enviroments!$A$3:$D$59,4,FALSE)</f>
        <v>#N/A</v>
      </c>
      <c r="R85" s="3" t="e">
        <f>VLOOKUP(H85,AzureRegions!$A$4:$B$1493,1,FALSE)</f>
        <v>#N/A</v>
      </c>
      <c r="S85" s="3" t="e">
        <f>VLOOKUP(H85,AzureRegions!$A$4:$B$1493,2,FALSE)</f>
        <v>#N/A</v>
      </c>
      <c r="T85" s="3" t="e">
        <f>VLOOKUP(H85,AzureRegions!$A$4:$C$1493,3,FALSE)</f>
        <v>#N/A</v>
      </c>
      <c r="U85" s="3" t="e">
        <f>VLOOKUP(I85,Resources!$A$2:$AA$1503,2,FALSE)</f>
        <v>#N/A</v>
      </c>
      <c r="V85" s="3" t="e">
        <f>VLOOKUP(I85,Resources!$A$2:$H$1503,6,FALSE)</f>
        <v>#N/A</v>
      </c>
      <c r="W85" s="3" t="str">
        <f>VLOOKUP($H$2,Casing!$A$4:$A$60,1,FALSE)</f>
        <v>Lower</v>
      </c>
      <c r="X85" s="14" t="str">
        <f t="shared" si="3"/>
        <v>001</v>
      </c>
      <c r="Y85" s="3" t="str">
        <f>IFERROR(VLOOKUP(F85,Func!$A$4:$G$1500,2,FALSE),"none")</f>
        <v>none</v>
      </c>
      <c r="Z85" s="3" t="e">
        <f>VLOOKUP(I85,Resources!$A$2:$AA$1503,18,FALSE)</f>
        <v>#N/A</v>
      </c>
      <c r="AA85" s="3" t="str">
        <f>IFERROR(VLOOKUP(B85,Orgs!$A$4:$G$1500,2,FALSE),"none")</f>
        <v>none</v>
      </c>
      <c r="AB85" s="3" t="str">
        <f>IFERROR(VLOOKUP(C85,UnitsDepts!$A$4:$G$1500,2,FALSE),"none")</f>
        <v>none</v>
      </c>
      <c r="AC85" s="3" t="str">
        <f>IFERROR(VLOOKUP(D85,ProjAppSvc!$A$4:$G$1500,2,FALSE),"none")</f>
        <v>none</v>
      </c>
    </row>
    <row r="86" spans="1:29" x14ac:dyDescent="0.45">
      <c r="A86" s="14" t="s">
        <v>23</v>
      </c>
      <c r="B86" s="14"/>
      <c r="C86" s="14"/>
      <c r="D86" s="14"/>
      <c r="H86" s="8"/>
      <c r="I86" s="3"/>
      <c r="J86" s="3" t="str">
        <f t="shared" si="4"/>
        <v/>
      </c>
      <c r="K86" s="3" t="str">
        <f>IF(ISNUMBER(SEARCH("-",V86)),IFERROR(IF($H$2="Lower", LOWER(ComputeResourceName(Z86,#REF!,#REF!,G86,N86,O86,P86,Q86,S86,T86,V86,A86)), UPPER(ComputeResourceName(Z86,#REF!,#REF!,G86,N86,O86,P86,Q86,S86,T86,V86,A86))),""),SUBSTITUTE(IFERROR(IF($H$2="Lower", LOWER(ComputeResourceName(#REF!,#REF!,#REF!,G86,N86,O86,P86,Q86,S86,T86,V86,A86)), UPPER(ComputeResourceName(#REF!,#REF!,#REF!,G86,N86,O86,P86,Q86,S86,T86,V86,A86))),""), "-",""))</f>
        <v/>
      </c>
      <c r="L86" s="3" t="str">
        <f xml:space="preserve"> IF(K86="","",  IFERROR(VLOOKUP(I86,Resources!$B$1:$H$1503,5,FALSE)-LEN(K86),0))</f>
        <v/>
      </c>
      <c r="M86" s="3" t="str">
        <f>IF(K86="","",IFERROR(matches(K86,VLOOKUP(I86,Resources!$A$2:$AA$1503,16,FALSE)),FALSE))</f>
        <v/>
      </c>
      <c r="N86" s="3" t="e">
        <f>VLOOKUP(E86,Enviroments!$A$3:$D$59,1,FALSE)</f>
        <v>#N/A</v>
      </c>
      <c r="O86" s="3" t="e">
        <f>VLOOKUP(E86,Enviroments!$A$3:$D$59,2,FALSE)</f>
        <v>#N/A</v>
      </c>
      <c r="P86" s="3" t="e">
        <f>VLOOKUP(E86,Enviroments!$A$3:$D$59,3,FALSE)</f>
        <v>#N/A</v>
      </c>
      <c r="Q86" s="3" t="e">
        <f>VLOOKUP(E86,Enviroments!$A$3:$D$59,4,FALSE)</f>
        <v>#N/A</v>
      </c>
      <c r="R86" s="3" t="e">
        <f>VLOOKUP(H86,AzureRegions!$A$4:$B$1493,1,FALSE)</f>
        <v>#N/A</v>
      </c>
      <c r="S86" s="3" t="e">
        <f>VLOOKUP(H86,AzureRegions!$A$4:$B$1493,2,FALSE)</f>
        <v>#N/A</v>
      </c>
      <c r="T86" s="3" t="e">
        <f>VLOOKUP(H86,AzureRegions!$A$4:$C$1493,3,FALSE)</f>
        <v>#N/A</v>
      </c>
      <c r="U86" s="3" t="e">
        <f>VLOOKUP(I86,Resources!$A$2:$AA$1503,2,FALSE)</f>
        <v>#N/A</v>
      </c>
      <c r="V86" s="3" t="e">
        <f>VLOOKUP(I86,Resources!$A$2:$H$1503,6,FALSE)</f>
        <v>#N/A</v>
      </c>
      <c r="W86" s="3" t="str">
        <f>VLOOKUP($H$2,Casing!$A$4:$A$60,1,FALSE)</f>
        <v>Lower</v>
      </c>
      <c r="X86" s="14" t="str">
        <f t="shared" si="3"/>
        <v>001</v>
      </c>
      <c r="Y86" s="3" t="str">
        <f>IFERROR(VLOOKUP(F86,Func!$A$4:$G$1500,2,FALSE),"none")</f>
        <v>none</v>
      </c>
      <c r="Z86" s="3" t="e">
        <f>VLOOKUP(I86,Resources!$A$2:$AA$1503,18,FALSE)</f>
        <v>#N/A</v>
      </c>
      <c r="AA86" s="3" t="str">
        <f>IFERROR(VLOOKUP(B86,Orgs!$A$4:$G$1500,2,FALSE),"none")</f>
        <v>none</v>
      </c>
      <c r="AB86" s="3" t="str">
        <f>IFERROR(VLOOKUP(C86,UnitsDepts!$A$4:$G$1500,2,FALSE),"none")</f>
        <v>none</v>
      </c>
      <c r="AC86" s="3" t="str">
        <f>IFERROR(VLOOKUP(D86,ProjAppSvc!$A$4:$G$1500,2,FALSE),"none")</f>
        <v>none</v>
      </c>
    </row>
    <row r="87" spans="1:29" x14ac:dyDescent="0.45">
      <c r="A87" s="14" t="s">
        <v>23</v>
      </c>
      <c r="B87" s="14"/>
      <c r="C87" s="14"/>
      <c r="D87" s="14"/>
      <c r="H87" s="8"/>
      <c r="I87" s="3"/>
      <c r="J87" s="3" t="str">
        <f t="shared" si="4"/>
        <v/>
      </c>
      <c r="K87" s="3" t="str">
        <f>IF(ISNUMBER(SEARCH("-",V87)),IFERROR(IF($H$2="Lower", LOWER(ComputeResourceName(Z87,#REF!,#REF!,G87,N87,O87,P87,Q87,S87,T87,V87,A87)), UPPER(ComputeResourceName(Z87,#REF!,#REF!,G87,N87,O87,P87,Q87,S87,T87,V87,A87))),""),SUBSTITUTE(IFERROR(IF($H$2="Lower", LOWER(ComputeResourceName(#REF!,#REF!,#REF!,G87,N87,O87,P87,Q87,S87,T87,V87,A87)), UPPER(ComputeResourceName(#REF!,#REF!,#REF!,G87,N87,O87,P87,Q87,S87,T87,V87,A87))),""), "-",""))</f>
        <v/>
      </c>
      <c r="L87" s="3" t="str">
        <f xml:space="preserve"> IF(K87="","",  IFERROR(VLOOKUP(I87,Resources!$B$1:$H$1503,5,FALSE)-LEN(K87),0))</f>
        <v/>
      </c>
      <c r="M87" s="3" t="str">
        <f>IF(K87="","",IFERROR(matches(K87,VLOOKUP(I87,Resources!$A$2:$AA$1503,16,FALSE)),FALSE))</f>
        <v/>
      </c>
      <c r="N87" s="3" t="e">
        <f>VLOOKUP(E87,Enviroments!$A$3:$D$59,1,FALSE)</f>
        <v>#N/A</v>
      </c>
      <c r="O87" s="3" t="e">
        <f>VLOOKUP(E87,Enviroments!$A$3:$D$59,2,FALSE)</f>
        <v>#N/A</v>
      </c>
      <c r="P87" s="3" t="e">
        <f>VLOOKUP(E87,Enviroments!$A$3:$D$59,3,FALSE)</f>
        <v>#N/A</v>
      </c>
      <c r="Q87" s="3" t="e">
        <f>VLOOKUP(E87,Enviroments!$A$3:$D$59,4,FALSE)</f>
        <v>#N/A</v>
      </c>
      <c r="R87" s="3" t="e">
        <f>VLOOKUP(H87,AzureRegions!$A$4:$B$1493,1,FALSE)</f>
        <v>#N/A</v>
      </c>
      <c r="S87" s="3" t="e">
        <f>VLOOKUP(H87,AzureRegions!$A$4:$B$1493,2,FALSE)</f>
        <v>#N/A</v>
      </c>
      <c r="T87" s="3" t="e">
        <f>VLOOKUP(H87,AzureRegions!$A$4:$C$1493,3,FALSE)</f>
        <v>#N/A</v>
      </c>
      <c r="U87" s="3" t="e">
        <f>VLOOKUP(I87,Resources!$A$2:$AA$1503,2,FALSE)</f>
        <v>#N/A</v>
      </c>
      <c r="V87" s="3" t="e">
        <f>VLOOKUP(I87,Resources!$A$2:$H$1503,6,FALSE)</f>
        <v>#N/A</v>
      </c>
      <c r="W87" s="3" t="str">
        <f>VLOOKUP($H$2,Casing!$A$4:$A$60,1,FALSE)</f>
        <v>Lower</v>
      </c>
      <c r="X87" s="14" t="str">
        <f t="shared" si="3"/>
        <v>001</v>
      </c>
      <c r="Y87" s="3" t="str">
        <f>IFERROR(VLOOKUP(F87,Func!$A$4:$G$1500,2,FALSE),"none")</f>
        <v>none</v>
      </c>
      <c r="Z87" s="3" t="e">
        <f>VLOOKUP(I87,Resources!$A$2:$AA$1503,18,FALSE)</f>
        <v>#N/A</v>
      </c>
      <c r="AA87" s="3" t="str">
        <f>IFERROR(VLOOKUP(B87,Orgs!$A$4:$G$1500,2,FALSE),"none")</f>
        <v>none</v>
      </c>
      <c r="AB87" s="3" t="str">
        <f>IFERROR(VLOOKUP(C87,UnitsDepts!$A$4:$G$1500,2,FALSE),"none")</f>
        <v>none</v>
      </c>
      <c r="AC87" s="3" t="str">
        <f>IFERROR(VLOOKUP(D87,ProjAppSvc!$A$4:$G$1500,2,FALSE),"none")</f>
        <v>none</v>
      </c>
    </row>
    <row r="88" spans="1:29" x14ac:dyDescent="0.45">
      <c r="A88" s="14" t="s">
        <v>23</v>
      </c>
      <c r="B88" s="14"/>
      <c r="C88" s="14"/>
      <c r="D88" s="14"/>
      <c r="H88" s="8"/>
      <c r="I88" s="3"/>
      <c r="J88" s="3" t="str">
        <f t="shared" si="4"/>
        <v/>
      </c>
      <c r="K88" s="3" t="str">
        <f>IF(ISNUMBER(SEARCH("-",V88)),IFERROR(IF($H$2="Lower", LOWER(ComputeResourceName(Z88,#REF!,#REF!,G88,N88,O88,P88,Q88,S88,T88,V88,A88)), UPPER(ComputeResourceName(Z88,#REF!,#REF!,G88,N88,O88,P88,Q88,S88,T88,V88,A88))),""),SUBSTITUTE(IFERROR(IF($H$2="Lower", LOWER(ComputeResourceName(#REF!,#REF!,#REF!,G88,N88,O88,P88,Q88,S88,T88,V88,A88)), UPPER(ComputeResourceName(#REF!,#REF!,#REF!,G88,N88,O88,P88,Q88,S88,T88,V88,A88))),""), "-",""))</f>
        <v/>
      </c>
      <c r="L88" s="3" t="str">
        <f xml:space="preserve"> IF(K88="","",  IFERROR(VLOOKUP(I88,Resources!$B$1:$H$1503,5,FALSE)-LEN(K88),0))</f>
        <v/>
      </c>
      <c r="M88" s="3" t="str">
        <f>IF(K88="","",IFERROR(matches(K88,VLOOKUP(I88,Resources!$A$2:$AA$1503,16,FALSE)),FALSE))</f>
        <v/>
      </c>
      <c r="N88" s="3" t="e">
        <f>VLOOKUP(E88,Enviroments!$A$3:$D$59,1,FALSE)</f>
        <v>#N/A</v>
      </c>
      <c r="O88" s="3" t="e">
        <f>VLOOKUP(E88,Enviroments!$A$3:$D$59,2,FALSE)</f>
        <v>#N/A</v>
      </c>
      <c r="P88" s="3" t="e">
        <f>VLOOKUP(E88,Enviroments!$A$3:$D$59,3,FALSE)</f>
        <v>#N/A</v>
      </c>
      <c r="Q88" s="3" t="e">
        <f>VLOOKUP(E88,Enviroments!$A$3:$D$59,4,FALSE)</f>
        <v>#N/A</v>
      </c>
      <c r="R88" s="3" t="e">
        <f>VLOOKUP(H88,AzureRegions!$A$4:$B$1493,1,FALSE)</f>
        <v>#N/A</v>
      </c>
      <c r="S88" s="3" t="e">
        <f>VLOOKUP(H88,AzureRegions!$A$4:$B$1493,2,FALSE)</f>
        <v>#N/A</v>
      </c>
      <c r="T88" s="3" t="e">
        <f>VLOOKUP(H88,AzureRegions!$A$4:$C$1493,3,FALSE)</f>
        <v>#N/A</v>
      </c>
      <c r="U88" s="3" t="e">
        <f>VLOOKUP(I88,Resources!$A$2:$AA$1503,2,FALSE)</f>
        <v>#N/A</v>
      </c>
      <c r="V88" s="3" t="e">
        <f>VLOOKUP(I88,Resources!$A$2:$H$1503,6,FALSE)</f>
        <v>#N/A</v>
      </c>
      <c r="W88" s="3" t="str">
        <f>VLOOKUP($H$2,Casing!$A$4:$A$60,1,FALSE)</f>
        <v>Lower</v>
      </c>
      <c r="X88" s="14" t="str">
        <f t="shared" si="3"/>
        <v>001</v>
      </c>
      <c r="Y88" s="3" t="str">
        <f>IFERROR(VLOOKUP(F88,Func!$A$4:$G$1500,2,FALSE),"none")</f>
        <v>none</v>
      </c>
      <c r="Z88" s="3" t="e">
        <f>VLOOKUP(I88,Resources!$A$2:$AA$1503,18,FALSE)</f>
        <v>#N/A</v>
      </c>
      <c r="AA88" s="3" t="str">
        <f>IFERROR(VLOOKUP(B88,Orgs!$A$4:$G$1500,2,FALSE),"none")</f>
        <v>none</v>
      </c>
      <c r="AB88" s="3" t="str">
        <f>IFERROR(VLOOKUP(C88,UnitsDepts!$A$4:$G$1500,2,FALSE),"none")</f>
        <v>none</v>
      </c>
      <c r="AC88" s="3" t="str">
        <f>IFERROR(VLOOKUP(D88,ProjAppSvc!$A$4:$G$1500,2,FALSE),"none")</f>
        <v>none</v>
      </c>
    </row>
    <row r="89" spans="1:29" x14ac:dyDescent="0.45">
      <c r="A89" s="14" t="s">
        <v>23</v>
      </c>
      <c r="B89" s="14"/>
      <c r="C89" s="14"/>
      <c r="D89" s="14"/>
      <c r="H89" s="8"/>
      <c r="I89" s="3"/>
      <c r="J89" s="3" t="str">
        <f t="shared" si="4"/>
        <v/>
      </c>
      <c r="K89" s="3" t="str">
        <f>IF(ISNUMBER(SEARCH("-",V89)),IFERROR(IF($H$2="Lower", LOWER(ComputeResourceName(Z89,#REF!,#REF!,G89,N89,O89,P89,Q89,S89,T89,V89,A89)), UPPER(ComputeResourceName(Z89,#REF!,#REF!,G89,N89,O89,P89,Q89,S89,T89,V89,A89))),""),SUBSTITUTE(IFERROR(IF($H$2="Lower", LOWER(ComputeResourceName(#REF!,#REF!,#REF!,G89,N89,O89,P89,Q89,S89,T89,V89,A89)), UPPER(ComputeResourceName(#REF!,#REF!,#REF!,G89,N89,O89,P89,Q89,S89,T89,V89,A89))),""), "-",""))</f>
        <v/>
      </c>
      <c r="L89" s="3" t="str">
        <f xml:space="preserve"> IF(K89="","",  IFERROR(VLOOKUP(I89,Resources!$B$1:$H$1503,5,FALSE)-LEN(K89),0))</f>
        <v/>
      </c>
      <c r="M89" s="3" t="str">
        <f>IF(K89="","",IFERROR(matches(K89,VLOOKUP(I89,Resources!$A$2:$AA$1503,16,FALSE)),FALSE))</f>
        <v/>
      </c>
      <c r="N89" s="3" t="e">
        <f>VLOOKUP(E89,Enviroments!$A$3:$D$59,1,FALSE)</f>
        <v>#N/A</v>
      </c>
      <c r="O89" s="3" t="e">
        <f>VLOOKUP(E89,Enviroments!$A$3:$D$59,2,FALSE)</f>
        <v>#N/A</v>
      </c>
      <c r="P89" s="3" t="e">
        <f>VLOOKUP(E89,Enviroments!$A$3:$D$59,3,FALSE)</f>
        <v>#N/A</v>
      </c>
      <c r="Q89" s="3" t="e">
        <f>VLOOKUP(E89,Enviroments!$A$3:$D$59,4,FALSE)</f>
        <v>#N/A</v>
      </c>
      <c r="R89" s="3" t="e">
        <f>VLOOKUP(H89,AzureRegions!$A$4:$B$1493,1,FALSE)</f>
        <v>#N/A</v>
      </c>
      <c r="S89" s="3" t="e">
        <f>VLOOKUP(H89,AzureRegions!$A$4:$B$1493,2,FALSE)</f>
        <v>#N/A</v>
      </c>
      <c r="T89" s="3" t="e">
        <f>VLOOKUP(H89,AzureRegions!$A$4:$C$1493,3,FALSE)</f>
        <v>#N/A</v>
      </c>
      <c r="U89" s="3" t="e">
        <f>VLOOKUP(I89,Resources!$A$2:$AA$1503,2,FALSE)</f>
        <v>#N/A</v>
      </c>
      <c r="V89" s="3" t="e">
        <f>VLOOKUP(I89,Resources!$A$2:$H$1503,6,FALSE)</f>
        <v>#N/A</v>
      </c>
      <c r="W89" s="3" t="str">
        <f>VLOOKUP($H$2,Casing!$A$4:$A$60,1,FALSE)</f>
        <v>Lower</v>
      </c>
      <c r="X89" s="14" t="str">
        <f t="shared" si="3"/>
        <v>001</v>
      </c>
      <c r="Y89" s="3" t="str">
        <f>IFERROR(VLOOKUP(F89,Func!$A$4:$G$1500,2,FALSE),"none")</f>
        <v>none</v>
      </c>
      <c r="Z89" s="3" t="e">
        <f>VLOOKUP(I89,Resources!$A$2:$AA$1503,18,FALSE)</f>
        <v>#N/A</v>
      </c>
      <c r="AA89" s="3" t="str">
        <f>IFERROR(VLOOKUP(B89,Orgs!$A$4:$G$1500,2,FALSE),"none")</f>
        <v>none</v>
      </c>
      <c r="AB89" s="3" t="str">
        <f>IFERROR(VLOOKUP(C89,UnitsDepts!$A$4:$G$1500,2,FALSE),"none")</f>
        <v>none</v>
      </c>
      <c r="AC89" s="3" t="str">
        <f>IFERROR(VLOOKUP(D89,ProjAppSvc!$A$4:$G$1500,2,FALSE),"none")</f>
        <v>none</v>
      </c>
    </row>
    <row r="90" spans="1:29" x14ac:dyDescent="0.45">
      <c r="A90" s="14" t="s">
        <v>23</v>
      </c>
      <c r="B90" s="14"/>
      <c r="C90" s="14"/>
      <c r="D90" s="14"/>
      <c r="H90" s="8"/>
      <c r="I90" s="3"/>
      <c r="J90" s="3" t="str">
        <f t="shared" si="4"/>
        <v/>
      </c>
      <c r="K90" s="3" t="str">
        <f>IF(ISNUMBER(SEARCH("-",V90)),IFERROR(IF($H$2="Lower", LOWER(ComputeResourceName(Z90,#REF!,#REF!,G90,N90,O90,P90,Q90,S90,T90,V90,A90)), UPPER(ComputeResourceName(Z90,#REF!,#REF!,G90,N90,O90,P90,Q90,S90,T90,V90,A90))),""),SUBSTITUTE(IFERROR(IF($H$2="Lower", LOWER(ComputeResourceName(#REF!,#REF!,#REF!,G90,N90,O90,P90,Q90,S90,T90,V90,A90)), UPPER(ComputeResourceName(#REF!,#REF!,#REF!,G90,N90,O90,P90,Q90,S90,T90,V90,A90))),""), "-",""))</f>
        <v/>
      </c>
      <c r="L90" s="3" t="str">
        <f xml:space="preserve"> IF(K90="","",  IFERROR(VLOOKUP(I90,Resources!$B$1:$H$1503,5,FALSE)-LEN(K90),0))</f>
        <v/>
      </c>
      <c r="M90" s="3" t="str">
        <f>IF(K90="","",IFERROR(matches(K90,VLOOKUP(I90,Resources!$A$2:$AA$1503,16,FALSE)),FALSE))</f>
        <v/>
      </c>
      <c r="N90" s="3" t="e">
        <f>VLOOKUP(E90,Enviroments!$A$3:$D$59,1,FALSE)</f>
        <v>#N/A</v>
      </c>
      <c r="O90" s="3" t="e">
        <f>VLOOKUP(E90,Enviroments!$A$3:$D$59,2,FALSE)</f>
        <v>#N/A</v>
      </c>
      <c r="P90" s="3" t="e">
        <f>VLOOKUP(E90,Enviroments!$A$3:$D$59,3,FALSE)</f>
        <v>#N/A</v>
      </c>
      <c r="Q90" s="3" t="e">
        <f>VLOOKUP(E90,Enviroments!$A$3:$D$59,4,FALSE)</f>
        <v>#N/A</v>
      </c>
      <c r="R90" s="3" t="e">
        <f>VLOOKUP(H90,AzureRegions!$A$4:$B$1493,1,FALSE)</f>
        <v>#N/A</v>
      </c>
      <c r="S90" s="3" t="e">
        <f>VLOOKUP(H90,AzureRegions!$A$4:$B$1493,2,FALSE)</f>
        <v>#N/A</v>
      </c>
      <c r="T90" s="3" t="e">
        <f>VLOOKUP(H90,AzureRegions!$A$4:$C$1493,3,FALSE)</f>
        <v>#N/A</v>
      </c>
      <c r="U90" s="3" t="e">
        <f>VLOOKUP(I90,Resources!$A$2:$AA$1503,2,FALSE)</f>
        <v>#N/A</v>
      </c>
      <c r="V90" s="3" t="e">
        <f>VLOOKUP(I90,Resources!$A$2:$H$1503,6,FALSE)</f>
        <v>#N/A</v>
      </c>
      <c r="W90" s="3" t="str">
        <f>VLOOKUP($H$2,Casing!$A$4:$A$60,1,FALSE)</f>
        <v>Lower</v>
      </c>
      <c r="X90" s="14" t="str">
        <f t="shared" si="3"/>
        <v>001</v>
      </c>
      <c r="Y90" s="3" t="str">
        <f>IFERROR(VLOOKUP(F90,Func!$A$4:$G$1500,2,FALSE),"none")</f>
        <v>none</v>
      </c>
      <c r="Z90" s="3" t="e">
        <f>VLOOKUP(I90,Resources!$A$2:$AA$1503,18,FALSE)</f>
        <v>#N/A</v>
      </c>
      <c r="AA90" s="3" t="str">
        <f>IFERROR(VLOOKUP(B90,Orgs!$A$4:$G$1500,2,FALSE),"none")</f>
        <v>none</v>
      </c>
      <c r="AB90" s="3" t="str">
        <f>IFERROR(VLOOKUP(C90,UnitsDepts!$A$4:$G$1500,2,FALSE),"none")</f>
        <v>none</v>
      </c>
      <c r="AC90" s="3" t="str">
        <f>IFERROR(VLOOKUP(D90,ProjAppSvc!$A$4:$G$1500,2,FALSE),"none")</f>
        <v>none</v>
      </c>
    </row>
    <row r="91" spans="1:29" x14ac:dyDescent="0.45">
      <c r="A91" s="14" t="s">
        <v>23</v>
      </c>
      <c r="B91" s="14"/>
      <c r="C91" s="14"/>
      <c r="D91" s="14"/>
      <c r="H91" s="8"/>
      <c r="I91" s="3"/>
      <c r="J91" s="3" t="str">
        <f t="shared" si="4"/>
        <v/>
      </c>
      <c r="K91" s="3" t="str">
        <f>IF(ISNUMBER(SEARCH("-",V91)),IFERROR(IF($H$2="Lower", LOWER(ComputeResourceName(Z91,#REF!,#REF!,G91,N91,O91,P91,Q91,S91,T91,V91,A91)), UPPER(ComputeResourceName(Z91,#REF!,#REF!,G91,N91,O91,P91,Q91,S91,T91,V91,A91))),""),SUBSTITUTE(IFERROR(IF($H$2="Lower", LOWER(ComputeResourceName(#REF!,#REF!,#REF!,G91,N91,O91,P91,Q91,S91,T91,V91,A91)), UPPER(ComputeResourceName(#REF!,#REF!,#REF!,G91,N91,O91,P91,Q91,S91,T91,V91,A91))),""), "-",""))</f>
        <v/>
      </c>
      <c r="L91" s="3" t="str">
        <f xml:space="preserve"> IF(K91="","",  IFERROR(VLOOKUP(I91,Resources!$B$1:$H$1503,5,FALSE)-LEN(K91),0))</f>
        <v/>
      </c>
      <c r="M91" s="3" t="str">
        <f>IF(K91="","",IFERROR(matches(K91,VLOOKUP(I91,Resources!$A$2:$AA$1503,16,FALSE)),FALSE))</f>
        <v/>
      </c>
      <c r="N91" s="3" t="e">
        <f>VLOOKUP(E91,Enviroments!$A$3:$D$59,1,FALSE)</f>
        <v>#N/A</v>
      </c>
      <c r="O91" s="3" t="e">
        <f>VLOOKUP(E91,Enviroments!$A$3:$D$59,2,FALSE)</f>
        <v>#N/A</v>
      </c>
      <c r="P91" s="3" t="e">
        <f>VLOOKUP(E91,Enviroments!$A$3:$D$59,3,FALSE)</f>
        <v>#N/A</v>
      </c>
      <c r="Q91" s="3" t="e">
        <f>VLOOKUP(E91,Enviroments!$A$3:$D$59,4,FALSE)</f>
        <v>#N/A</v>
      </c>
      <c r="R91" s="3" t="e">
        <f>VLOOKUP(H91,AzureRegions!$A$4:$B$1493,1,FALSE)</f>
        <v>#N/A</v>
      </c>
      <c r="S91" s="3" t="e">
        <f>VLOOKUP(H91,AzureRegions!$A$4:$B$1493,2,FALSE)</f>
        <v>#N/A</v>
      </c>
      <c r="T91" s="3" t="e">
        <f>VLOOKUP(H91,AzureRegions!$A$4:$C$1493,3,FALSE)</f>
        <v>#N/A</v>
      </c>
      <c r="U91" s="3" t="e">
        <f>VLOOKUP(I91,Resources!$A$2:$AA$1503,2,FALSE)</f>
        <v>#N/A</v>
      </c>
      <c r="V91" s="3" t="e">
        <f>VLOOKUP(I91,Resources!$A$2:$H$1503,6,FALSE)</f>
        <v>#N/A</v>
      </c>
      <c r="W91" s="3" t="str">
        <f>VLOOKUP($H$2,Casing!$A$4:$A$60,1,FALSE)</f>
        <v>Lower</v>
      </c>
      <c r="X91" s="14" t="str">
        <f t="shared" si="3"/>
        <v>001</v>
      </c>
      <c r="Y91" s="3" t="str">
        <f>IFERROR(VLOOKUP(F91,Func!$A$4:$G$1500,2,FALSE),"none")</f>
        <v>none</v>
      </c>
      <c r="Z91" s="3" t="e">
        <f>VLOOKUP(I91,Resources!$A$2:$AA$1503,18,FALSE)</f>
        <v>#N/A</v>
      </c>
      <c r="AA91" s="3" t="str">
        <f>IFERROR(VLOOKUP(B91,Orgs!$A$4:$G$1500,2,FALSE),"none")</f>
        <v>none</v>
      </c>
      <c r="AB91" s="3" t="str">
        <f>IFERROR(VLOOKUP(C91,UnitsDepts!$A$4:$G$1500,2,FALSE),"none")</f>
        <v>none</v>
      </c>
      <c r="AC91" s="3" t="str">
        <f>IFERROR(VLOOKUP(D91,ProjAppSvc!$A$4:$G$1500,2,FALSE),"none")</f>
        <v>none</v>
      </c>
    </row>
    <row r="92" spans="1:29" x14ac:dyDescent="0.45">
      <c r="A92" s="14" t="s">
        <v>23</v>
      </c>
      <c r="B92" s="14"/>
      <c r="C92" s="14"/>
      <c r="D92" s="14"/>
      <c r="H92" s="8"/>
      <c r="I92" s="3"/>
      <c r="J92" s="3" t="str">
        <f t="shared" si="4"/>
        <v/>
      </c>
      <c r="K92" s="3" t="str">
        <f>IF(ISNUMBER(SEARCH("-",V92)),IFERROR(IF($H$2="Lower", LOWER(ComputeResourceName(Z92,#REF!,#REF!,G92,N92,O92,P92,Q92,S92,T92,V92,A92)), UPPER(ComputeResourceName(Z92,#REF!,#REF!,G92,N92,O92,P92,Q92,S92,T92,V92,A92))),""),SUBSTITUTE(IFERROR(IF($H$2="Lower", LOWER(ComputeResourceName(#REF!,#REF!,#REF!,G92,N92,O92,P92,Q92,S92,T92,V92,A92)), UPPER(ComputeResourceName(#REF!,#REF!,#REF!,G92,N92,O92,P92,Q92,S92,T92,V92,A92))),""), "-",""))</f>
        <v/>
      </c>
      <c r="L92" s="3" t="str">
        <f xml:space="preserve"> IF(K92="","",  IFERROR(VLOOKUP(I92,Resources!$B$1:$H$1503,5,FALSE)-LEN(K92),0))</f>
        <v/>
      </c>
      <c r="M92" s="3" t="str">
        <f>IF(K92="","",IFERROR(matches(K92,VLOOKUP(I92,Resources!$A$2:$AA$1503,16,FALSE)),FALSE))</f>
        <v/>
      </c>
      <c r="N92" s="3" t="e">
        <f>VLOOKUP(E92,Enviroments!$A$3:$D$59,1,FALSE)</f>
        <v>#N/A</v>
      </c>
      <c r="O92" s="3" t="e">
        <f>VLOOKUP(E92,Enviroments!$A$3:$D$59,2,FALSE)</f>
        <v>#N/A</v>
      </c>
      <c r="P92" s="3" t="e">
        <f>VLOOKUP(E92,Enviroments!$A$3:$D$59,3,FALSE)</f>
        <v>#N/A</v>
      </c>
      <c r="Q92" s="3" t="e">
        <f>VLOOKUP(E92,Enviroments!$A$3:$D$59,4,FALSE)</f>
        <v>#N/A</v>
      </c>
      <c r="R92" s="3" t="e">
        <f>VLOOKUP(H92,AzureRegions!$A$4:$B$1493,1,FALSE)</f>
        <v>#N/A</v>
      </c>
      <c r="S92" s="3" t="e">
        <f>VLOOKUP(H92,AzureRegions!$A$4:$B$1493,2,FALSE)</f>
        <v>#N/A</v>
      </c>
      <c r="T92" s="3" t="e">
        <f>VLOOKUP(H92,AzureRegions!$A$4:$C$1493,3,FALSE)</f>
        <v>#N/A</v>
      </c>
      <c r="U92" s="3" t="e">
        <f>VLOOKUP(I92,Resources!$A$2:$AA$1503,2,FALSE)</f>
        <v>#N/A</v>
      </c>
      <c r="V92" s="3" t="e">
        <f>VLOOKUP(I92,Resources!$A$2:$H$1503,6,FALSE)</f>
        <v>#N/A</v>
      </c>
      <c r="W92" s="3" t="str">
        <f>VLOOKUP($H$2,Casing!$A$4:$A$60,1,FALSE)</f>
        <v>Lower</v>
      </c>
      <c r="X92" s="14" t="str">
        <f t="shared" si="3"/>
        <v>001</v>
      </c>
      <c r="Y92" s="3" t="str">
        <f>IFERROR(VLOOKUP(F92,Func!$A$4:$G$1500,2,FALSE),"none")</f>
        <v>none</v>
      </c>
      <c r="Z92" s="3" t="e">
        <f>VLOOKUP(I92,Resources!$A$2:$AA$1503,18,FALSE)</f>
        <v>#N/A</v>
      </c>
      <c r="AA92" s="3" t="str">
        <f>IFERROR(VLOOKUP(B92,Orgs!$A$4:$G$1500,2,FALSE),"none")</f>
        <v>none</v>
      </c>
      <c r="AB92" s="3" t="str">
        <f>IFERROR(VLOOKUP(C92,UnitsDepts!$A$4:$G$1500,2,FALSE),"none")</f>
        <v>none</v>
      </c>
      <c r="AC92" s="3" t="str">
        <f>IFERROR(VLOOKUP(D92,ProjAppSvc!$A$4:$G$1500,2,FALSE),"none")</f>
        <v>none</v>
      </c>
    </row>
    <row r="93" spans="1:29" x14ac:dyDescent="0.45">
      <c r="A93" s="14" t="s">
        <v>23</v>
      </c>
      <c r="B93" s="14"/>
      <c r="C93" s="14"/>
      <c r="D93" s="14"/>
      <c r="H93" s="8"/>
      <c r="I93" s="3"/>
      <c r="J93" s="3" t="str">
        <f t="shared" si="4"/>
        <v/>
      </c>
      <c r="K93" s="3" t="str">
        <f>IF(ISNUMBER(SEARCH("-",V93)),IFERROR(IF($H$2="Lower", LOWER(ComputeResourceName(Z93,#REF!,#REF!,G93,N93,O93,P93,Q93,S93,T93,V93,A93)), UPPER(ComputeResourceName(Z93,#REF!,#REF!,G93,N93,O93,P93,Q93,S93,T93,V93,A93))),""),SUBSTITUTE(IFERROR(IF($H$2="Lower", LOWER(ComputeResourceName(#REF!,#REF!,#REF!,G93,N93,O93,P93,Q93,S93,T93,V93,A93)), UPPER(ComputeResourceName(#REF!,#REF!,#REF!,G93,N93,O93,P93,Q93,S93,T93,V93,A93))),""), "-",""))</f>
        <v/>
      </c>
      <c r="L93" s="3" t="str">
        <f xml:space="preserve"> IF(K93="","",  IFERROR(VLOOKUP(I93,Resources!$B$1:$H$1503,5,FALSE)-LEN(K93),0))</f>
        <v/>
      </c>
      <c r="M93" s="3" t="str">
        <f>IF(K93="","",IFERROR(matches(K93,VLOOKUP(I93,Resources!$A$2:$AA$1503,16,FALSE)),FALSE))</f>
        <v/>
      </c>
      <c r="N93" s="3" t="e">
        <f>VLOOKUP(E93,Enviroments!$A$3:$D$59,1,FALSE)</f>
        <v>#N/A</v>
      </c>
      <c r="O93" s="3" t="e">
        <f>VLOOKUP(E93,Enviroments!$A$3:$D$59,2,FALSE)</f>
        <v>#N/A</v>
      </c>
      <c r="P93" s="3" t="e">
        <f>VLOOKUP(E93,Enviroments!$A$3:$D$59,3,FALSE)</f>
        <v>#N/A</v>
      </c>
      <c r="Q93" s="3" t="e">
        <f>VLOOKUP(E93,Enviroments!$A$3:$D$59,4,FALSE)</f>
        <v>#N/A</v>
      </c>
      <c r="R93" s="3" t="e">
        <f>VLOOKUP(H93,AzureRegions!$A$4:$B$1493,1,FALSE)</f>
        <v>#N/A</v>
      </c>
      <c r="S93" s="3" t="e">
        <f>VLOOKUP(H93,AzureRegions!$A$4:$B$1493,2,FALSE)</f>
        <v>#N/A</v>
      </c>
      <c r="T93" s="3" t="e">
        <f>VLOOKUP(H93,AzureRegions!$A$4:$C$1493,3,FALSE)</f>
        <v>#N/A</v>
      </c>
      <c r="U93" s="3" t="e">
        <f>VLOOKUP(I93,Resources!$A$2:$AA$1503,2,FALSE)</f>
        <v>#N/A</v>
      </c>
      <c r="V93" s="3" t="e">
        <f>VLOOKUP(I93,Resources!$A$2:$H$1503,6,FALSE)</f>
        <v>#N/A</v>
      </c>
      <c r="W93" s="3" t="str">
        <f>VLOOKUP($H$2,Casing!$A$4:$A$60,1,FALSE)</f>
        <v>Lower</v>
      </c>
      <c r="X93" s="14" t="str">
        <f t="shared" si="3"/>
        <v>001</v>
      </c>
      <c r="Y93" s="3" t="str">
        <f>IFERROR(VLOOKUP(F93,Func!$A$4:$G$1500,2,FALSE),"none")</f>
        <v>none</v>
      </c>
      <c r="Z93" s="3" t="e">
        <f>VLOOKUP(I93,Resources!$A$2:$AA$1503,18,FALSE)</f>
        <v>#N/A</v>
      </c>
      <c r="AA93" s="3" t="str">
        <f>IFERROR(VLOOKUP(B93,Orgs!$A$4:$G$1500,2,FALSE),"none")</f>
        <v>none</v>
      </c>
      <c r="AB93" s="3" t="str">
        <f>IFERROR(VLOOKUP(C93,UnitsDepts!$A$4:$G$1500,2,FALSE),"none")</f>
        <v>none</v>
      </c>
      <c r="AC93" s="3" t="str">
        <f>IFERROR(VLOOKUP(D93,ProjAppSvc!$A$4:$G$1500,2,FALSE),"none")</f>
        <v>none</v>
      </c>
    </row>
    <row r="94" spans="1:29" x14ac:dyDescent="0.45">
      <c r="A94" s="14" t="s">
        <v>23</v>
      </c>
      <c r="B94" s="14"/>
      <c r="C94" s="14"/>
      <c r="D94" s="14"/>
      <c r="H94" s="8"/>
      <c r="I94" s="3"/>
      <c r="J94" s="3" t="str">
        <f t="shared" si="4"/>
        <v/>
      </c>
      <c r="K94" s="3" t="str">
        <f>IF(ISNUMBER(SEARCH("-",V94)),IFERROR(IF($H$2="Lower", LOWER(ComputeResourceName(Z94,#REF!,#REF!,G94,N94,O94,P94,Q94,S94,T94,V94,A94)), UPPER(ComputeResourceName(Z94,#REF!,#REF!,G94,N94,O94,P94,Q94,S94,T94,V94,A94))),""),SUBSTITUTE(IFERROR(IF($H$2="Lower", LOWER(ComputeResourceName(#REF!,#REF!,#REF!,G94,N94,O94,P94,Q94,S94,T94,V94,A94)), UPPER(ComputeResourceName(#REF!,#REF!,#REF!,G94,N94,O94,P94,Q94,S94,T94,V94,A94))),""), "-",""))</f>
        <v/>
      </c>
      <c r="L94" s="3" t="str">
        <f xml:space="preserve"> IF(K94="","",  IFERROR(VLOOKUP(I94,Resources!$B$1:$H$1503,5,FALSE)-LEN(K94),0))</f>
        <v/>
      </c>
      <c r="M94" s="3" t="str">
        <f>IF(K94="","",IFERROR(matches(K94,VLOOKUP(I94,Resources!$A$2:$AA$1503,16,FALSE)),FALSE))</f>
        <v/>
      </c>
      <c r="N94" s="3" t="e">
        <f>VLOOKUP(E94,Enviroments!$A$3:$D$59,1,FALSE)</f>
        <v>#N/A</v>
      </c>
      <c r="O94" s="3" t="e">
        <f>VLOOKUP(E94,Enviroments!$A$3:$D$59,2,FALSE)</f>
        <v>#N/A</v>
      </c>
      <c r="P94" s="3" t="e">
        <f>VLOOKUP(E94,Enviroments!$A$3:$D$59,3,FALSE)</f>
        <v>#N/A</v>
      </c>
      <c r="Q94" s="3" t="e">
        <f>VLOOKUP(E94,Enviroments!$A$3:$D$59,4,FALSE)</f>
        <v>#N/A</v>
      </c>
      <c r="R94" s="3" t="e">
        <f>VLOOKUP(H94,AzureRegions!$A$4:$B$1493,1,FALSE)</f>
        <v>#N/A</v>
      </c>
      <c r="S94" s="3" t="e">
        <f>VLOOKUP(H94,AzureRegions!$A$4:$B$1493,2,FALSE)</f>
        <v>#N/A</v>
      </c>
      <c r="T94" s="3" t="e">
        <f>VLOOKUP(H94,AzureRegions!$A$4:$C$1493,3,FALSE)</f>
        <v>#N/A</v>
      </c>
      <c r="U94" s="3" t="e">
        <f>VLOOKUP(I94,Resources!$A$2:$AA$1503,2,FALSE)</f>
        <v>#N/A</v>
      </c>
      <c r="V94" s="3" t="e">
        <f>VLOOKUP(I94,Resources!$A$2:$H$1503,6,FALSE)</f>
        <v>#N/A</v>
      </c>
      <c r="W94" s="3" t="str">
        <f>VLOOKUP($H$2,Casing!$A$4:$A$60,1,FALSE)</f>
        <v>Lower</v>
      </c>
      <c r="X94" s="14" t="str">
        <f t="shared" si="3"/>
        <v>001</v>
      </c>
      <c r="Y94" s="3" t="str">
        <f>IFERROR(VLOOKUP(F94,Func!$A$4:$G$1500,2,FALSE),"none")</f>
        <v>none</v>
      </c>
      <c r="Z94" s="3" t="e">
        <f>VLOOKUP(I94,Resources!$A$2:$AA$1503,18,FALSE)</f>
        <v>#N/A</v>
      </c>
      <c r="AA94" s="3" t="str">
        <f>IFERROR(VLOOKUP(B94,Orgs!$A$4:$G$1500,2,FALSE),"none")</f>
        <v>none</v>
      </c>
      <c r="AB94" s="3" t="str">
        <f>IFERROR(VLOOKUP(C94,UnitsDepts!$A$4:$G$1500,2,FALSE),"none")</f>
        <v>none</v>
      </c>
      <c r="AC94" s="3" t="str">
        <f>IFERROR(VLOOKUP(D94,ProjAppSvc!$A$4:$G$1500,2,FALSE),"none")</f>
        <v>none</v>
      </c>
    </row>
    <row r="95" spans="1:29" x14ac:dyDescent="0.45">
      <c r="A95" s="14" t="s">
        <v>23</v>
      </c>
      <c r="B95" s="14"/>
      <c r="C95" s="14"/>
      <c r="D95" s="14"/>
      <c r="H95" s="8"/>
      <c r="I95" s="3"/>
      <c r="J95" s="3" t="str">
        <f t="shared" si="4"/>
        <v/>
      </c>
      <c r="K95" s="3" t="str">
        <f>IF(ISNUMBER(SEARCH("-",V95)),IFERROR(IF($H$2="Lower", LOWER(ComputeResourceName(Z95,#REF!,#REF!,G95,N95,O95,P95,Q95,S95,T95,V95,A95)), UPPER(ComputeResourceName(Z95,#REF!,#REF!,G95,N95,O95,P95,Q95,S95,T95,V95,A95))),""),SUBSTITUTE(IFERROR(IF($H$2="Lower", LOWER(ComputeResourceName(#REF!,#REF!,#REF!,G95,N95,O95,P95,Q95,S95,T95,V95,A95)), UPPER(ComputeResourceName(#REF!,#REF!,#REF!,G95,N95,O95,P95,Q95,S95,T95,V95,A95))),""), "-",""))</f>
        <v/>
      </c>
      <c r="L95" s="3" t="str">
        <f xml:space="preserve"> IF(K95="","",  IFERROR(VLOOKUP(I95,Resources!$B$1:$H$1503,5,FALSE)-LEN(K95),0))</f>
        <v/>
      </c>
      <c r="M95" s="3" t="str">
        <f>IF(K95="","",IFERROR(matches(K95,VLOOKUP(I95,Resources!$A$2:$AA$1503,16,FALSE)),FALSE))</f>
        <v/>
      </c>
      <c r="N95" s="3" t="e">
        <f>VLOOKUP(E95,Enviroments!$A$3:$D$59,1,FALSE)</f>
        <v>#N/A</v>
      </c>
      <c r="O95" s="3" t="e">
        <f>VLOOKUP(E95,Enviroments!$A$3:$D$59,2,FALSE)</f>
        <v>#N/A</v>
      </c>
      <c r="P95" s="3" t="e">
        <f>VLOOKUP(E95,Enviroments!$A$3:$D$59,3,FALSE)</f>
        <v>#N/A</v>
      </c>
      <c r="Q95" s="3" t="e">
        <f>VLOOKUP(E95,Enviroments!$A$3:$D$59,4,FALSE)</f>
        <v>#N/A</v>
      </c>
      <c r="R95" s="3" t="e">
        <f>VLOOKUP(H95,AzureRegions!$A$4:$B$1493,1,FALSE)</f>
        <v>#N/A</v>
      </c>
      <c r="S95" s="3" t="e">
        <f>VLOOKUP(H95,AzureRegions!$A$4:$B$1493,2,FALSE)</f>
        <v>#N/A</v>
      </c>
      <c r="T95" s="3" t="e">
        <f>VLOOKUP(H95,AzureRegions!$A$4:$C$1493,3,FALSE)</f>
        <v>#N/A</v>
      </c>
      <c r="U95" s="3" t="e">
        <f>VLOOKUP(I95,Resources!$A$2:$AA$1503,2,FALSE)</f>
        <v>#N/A</v>
      </c>
      <c r="V95" s="3" t="e">
        <f>VLOOKUP(I95,Resources!$A$2:$H$1503,6,FALSE)</f>
        <v>#N/A</v>
      </c>
      <c r="W95" s="3" t="str">
        <f>VLOOKUP($H$2,Casing!$A$4:$A$60,1,FALSE)</f>
        <v>Lower</v>
      </c>
      <c r="X95" s="14" t="str">
        <f t="shared" si="3"/>
        <v>001</v>
      </c>
      <c r="Y95" s="3" t="str">
        <f>IFERROR(VLOOKUP(F95,Func!$A$4:$G$1500,2,FALSE),"none")</f>
        <v>none</v>
      </c>
      <c r="Z95" s="3" t="e">
        <f>VLOOKUP(I95,Resources!$A$2:$AA$1503,18,FALSE)</f>
        <v>#N/A</v>
      </c>
      <c r="AA95" s="3" t="str">
        <f>IFERROR(VLOOKUP(B95,Orgs!$A$4:$G$1500,2,FALSE),"none")</f>
        <v>none</v>
      </c>
      <c r="AB95" s="3" t="str">
        <f>IFERROR(VLOOKUP(C95,UnitsDepts!$A$4:$G$1500,2,FALSE),"none")</f>
        <v>none</v>
      </c>
      <c r="AC95" s="3" t="str">
        <f>IFERROR(VLOOKUP(D95,ProjAppSvc!$A$4:$G$1500,2,FALSE),"none")</f>
        <v>none</v>
      </c>
    </row>
    <row r="96" spans="1:29" x14ac:dyDescent="0.45">
      <c r="A96" s="14" t="s">
        <v>23</v>
      </c>
      <c r="B96" s="14"/>
      <c r="C96" s="14"/>
      <c r="D96" s="14"/>
      <c r="H96" s="8"/>
      <c r="I96" s="3"/>
      <c r="J96" s="3" t="str">
        <f t="shared" si="4"/>
        <v/>
      </c>
      <c r="K96" s="3" t="str">
        <f>IF(ISNUMBER(SEARCH("-",V96)),IFERROR(IF($H$2="Lower", LOWER(ComputeResourceName(Z96,#REF!,#REF!,G96,N96,O96,P96,Q96,S96,T96,V96,A96)), UPPER(ComputeResourceName(Z96,#REF!,#REF!,G96,N96,O96,P96,Q96,S96,T96,V96,A96))),""),SUBSTITUTE(IFERROR(IF($H$2="Lower", LOWER(ComputeResourceName(#REF!,#REF!,#REF!,G96,N96,O96,P96,Q96,S96,T96,V96,A96)), UPPER(ComputeResourceName(#REF!,#REF!,#REF!,G96,N96,O96,P96,Q96,S96,T96,V96,A96))),""), "-",""))</f>
        <v/>
      </c>
      <c r="L96" s="3" t="str">
        <f xml:space="preserve"> IF(K96="","",  IFERROR(VLOOKUP(I96,Resources!$B$1:$H$1503,5,FALSE)-LEN(K96),0))</f>
        <v/>
      </c>
      <c r="M96" s="3" t="str">
        <f>IF(K96="","",IFERROR(matches(K96,VLOOKUP(I96,Resources!$A$2:$AA$1503,16,FALSE)),FALSE))</f>
        <v/>
      </c>
      <c r="N96" s="3" t="e">
        <f>VLOOKUP(E96,Enviroments!$A$3:$D$59,1,FALSE)</f>
        <v>#N/A</v>
      </c>
      <c r="O96" s="3" t="e">
        <f>VLOOKUP(E96,Enviroments!$A$3:$D$59,2,FALSE)</f>
        <v>#N/A</v>
      </c>
      <c r="P96" s="3" t="e">
        <f>VLOOKUP(E96,Enviroments!$A$3:$D$59,3,FALSE)</f>
        <v>#N/A</v>
      </c>
      <c r="Q96" s="3" t="e">
        <f>VLOOKUP(E96,Enviroments!$A$3:$D$59,4,FALSE)</f>
        <v>#N/A</v>
      </c>
      <c r="R96" s="3" t="e">
        <f>VLOOKUP(H96,AzureRegions!$A$4:$B$1493,1,FALSE)</f>
        <v>#N/A</v>
      </c>
      <c r="S96" s="3" t="e">
        <f>VLOOKUP(H96,AzureRegions!$A$4:$B$1493,2,FALSE)</f>
        <v>#N/A</v>
      </c>
      <c r="T96" s="3" t="e">
        <f>VLOOKUP(H96,AzureRegions!$A$4:$C$1493,3,FALSE)</f>
        <v>#N/A</v>
      </c>
      <c r="U96" s="3" t="e">
        <f>VLOOKUP(I96,Resources!$A$2:$AA$1503,2,FALSE)</f>
        <v>#N/A</v>
      </c>
      <c r="V96" s="3" t="e">
        <f>VLOOKUP(I96,Resources!$A$2:$H$1503,6,FALSE)</f>
        <v>#N/A</v>
      </c>
      <c r="W96" s="3" t="str">
        <f>VLOOKUP($H$2,Casing!$A$4:$A$60,1,FALSE)</f>
        <v>Lower</v>
      </c>
      <c r="X96" s="14" t="str">
        <f t="shared" si="3"/>
        <v>001</v>
      </c>
      <c r="Y96" s="3" t="str">
        <f>IFERROR(VLOOKUP(F96,Func!$A$4:$G$1500,2,FALSE),"none")</f>
        <v>none</v>
      </c>
      <c r="Z96" s="3" t="e">
        <f>VLOOKUP(I96,Resources!$A$2:$AA$1503,18,FALSE)</f>
        <v>#N/A</v>
      </c>
      <c r="AA96" s="3" t="str">
        <f>IFERROR(VLOOKUP(B96,Orgs!$A$4:$G$1500,2,FALSE),"none")</f>
        <v>none</v>
      </c>
      <c r="AB96" s="3" t="str">
        <f>IFERROR(VLOOKUP(C96,UnitsDepts!$A$4:$G$1500,2,FALSE),"none")</f>
        <v>none</v>
      </c>
      <c r="AC96" s="3" t="str">
        <f>IFERROR(VLOOKUP(D96,ProjAppSvc!$A$4:$G$1500,2,FALSE),"none")</f>
        <v>none</v>
      </c>
    </row>
    <row r="97" spans="1:29" x14ac:dyDescent="0.45">
      <c r="A97" s="14" t="s">
        <v>23</v>
      </c>
      <c r="B97" s="14"/>
      <c r="C97" s="14"/>
      <c r="D97" s="14"/>
      <c r="H97" s="8"/>
      <c r="I97" s="3"/>
      <c r="J97" s="3" t="str">
        <f t="shared" si="4"/>
        <v/>
      </c>
      <c r="K97" s="3" t="str">
        <f>IF(ISNUMBER(SEARCH("-",V97)),IFERROR(IF($H$2="Lower", LOWER(ComputeResourceName(Z97,#REF!,#REF!,G97,N97,O97,P97,Q97,S97,T97,V97,A97)), UPPER(ComputeResourceName(Z97,#REF!,#REF!,G97,N97,O97,P97,Q97,S97,T97,V97,A97))),""),SUBSTITUTE(IFERROR(IF($H$2="Lower", LOWER(ComputeResourceName(#REF!,#REF!,#REF!,G97,N97,O97,P97,Q97,S97,T97,V97,A97)), UPPER(ComputeResourceName(#REF!,#REF!,#REF!,G97,N97,O97,P97,Q97,S97,T97,V97,A97))),""), "-",""))</f>
        <v/>
      </c>
      <c r="L97" s="3" t="str">
        <f xml:space="preserve"> IF(K97="","",  IFERROR(VLOOKUP(I97,Resources!$B$1:$H$1503,5,FALSE)-LEN(K97),0))</f>
        <v/>
      </c>
      <c r="M97" s="3" t="str">
        <f>IF(K97="","",IFERROR(matches(K97,VLOOKUP(I97,Resources!$A$2:$AA$1503,16,FALSE)),FALSE))</f>
        <v/>
      </c>
      <c r="N97" s="3" t="e">
        <f>VLOOKUP(E97,Enviroments!$A$3:$D$59,1,FALSE)</f>
        <v>#N/A</v>
      </c>
      <c r="O97" s="3" t="e">
        <f>VLOOKUP(E97,Enviroments!$A$3:$D$59,2,FALSE)</f>
        <v>#N/A</v>
      </c>
      <c r="P97" s="3" t="e">
        <f>VLOOKUP(E97,Enviroments!$A$3:$D$59,3,FALSE)</f>
        <v>#N/A</v>
      </c>
      <c r="Q97" s="3" t="e">
        <f>VLOOKUP(E97,Enviroments!$A$3:$D$59,4,FALSE)</f>
        <v>#N/A</v>
      </c>
      <c r="R97" s="3" t="e">
        <f>VLOOKUP(H97,AzureRegions!$A$4:$B$1493,1,FALSE)</f>
        <v>#N/A</v>
      </c>
      <c r="S97" s="3" t="e">
        <f>VLOOKUP(H97,AzureRegions!$A$4:$B$1493,2,FALSE)</f>
        <v>#N/A</v>
      </c>
      <c r="T97" s="3" t="e">
        <f>VLOOKUP(H97,AzureRegions!$A$4:$C$1493,3,FALSE)</f>
        <v>#N/A</v>
      </c>
      <c r="U97" s="3" t="e">
        <f>VLOOKUP(I97,Resources!$A$2:$AA$1503,2,FALSE)</f>
        <v>#N/A</v>
      </c>
      <c r="V97" s="3" t="e">
        <f>VLOOKUP(I97,Resources!$A$2:$H$1503,6,FALSE)</f>
        <v>#N/A</v>
      </c>
      <c r="W97" s="3" t="str">
        <f>VLOOKUP($H$2,Casing!$A$4:$A$60,1,FALSE)</f>
        <v>Lower</v>
      </c>
      <c r="X97" s="14" t="str">
        <f t="shared" si="3"/>
        <v>001</v>
      </c>
      <c r="Y97" s="3" t="str">
        <f>IFERROR(VLOOKUP(F97,Func!$A$4:$G$1500,2,FALSE),"none")</f>
        <v>none</v>
      </c>
      <c r="Z97" s="3" t="e">
        <f>VLOOKUP(I97,Resources!$A$2:$AA$1503,18,FALSE)</f>
        <v>#N/A</v>
      </c>
      <c r="AA97" s="3" t="str">
        <f>IFERROR(VLOOKUP(B97,Orgs!$A$4:$G$1500,2,FALSE),"none")</f>
        <v>none</v>
      </c>
      <c r="AB97" s="3" t="str">
        <f>IFERROR(VLOOKUP(C97,UnitsDepts!$A$4:$G$1500,2,FALSE),"none")</f>
        <v>none</v>
      </c>
      <c r="AC97" s="3" t="str">
        <f>IFERROR(VLOOKUP(D97,ProjAppSvc!$A$4:$G$1500,2,FALSE),"none")</f>
        <v>none</v>
      </c>
    </row>
    <row r="98" spans="1:29" x14ac:dyDescent="0.45">
      <c r="A98" s="14" t="s">
        <v>23</v>
      </c>
      <c r="B98" s="14"/>
      <c r="C98" s="14"/>
      <c r="D98" s="14"/>
      <c r="H98" s="8"/>
      <c r="I98" s="3"/>
      <c r="J98" s="3" t="str">
        <f t="shared" si="4"/>
        <v/>
      </c>
      <c r="K98" s="3" t="str">
        <f>IF(ISNUMBER(SEARCH("-",V98)),IFERROR(IF($H$2="Lower", LOWER(ComputeResourceName(Z98,#REF!,#REF!,G98,N98,O98,P98,Q98,S98,T98,V98,A98)), UPPER(ComputeResourceName(Z98,#REF!,#REF!,G98,N98,O98,P98,Q98,S98,T98,V98,A98))),""),SUBSTITUTE(IFERROR(IF($H$2="Lower", LOWER(ComputeResourceName(#REF!,#REF!,#REF!,G98,N98,O98,P98,Q98,S98,T98,V98,A98)), UPPER(ComputeResourceName(#REF!,#REF!,#REF!,G98,N98,O98,P98,Q98,S98,T98,V98,A98))),""), "-",""))</f>
        <v/>
      </c>
      <c r="L98" s="3" t="str">
        <f xml:space="preserve"> IF(K98="","",  IFERROR(VLOOKUP(I98,Resources!$B$1:$H$1503,5,FALSE)-LEN(K98),0))</f>
        <v/>
      </c>
      <c r="M98" s="3" t="str">
        <f>IF(K98="","",IFERROR(matches(K98,VLOOKUP(I98,Resources!$A$2:$AA$1503,16,FALSE)),FALSE))</f>
        <v/>
      </c>
      <c r="N98" s="3" t="e">
        <f>VLOOKUP(E98,Enviroments!$A$3:$D$59,1,FALSE)</f>
        <v>#N/A</v>
      </c>
      <c r="O98" s="3" t="e">
        <f>VLOOKUP(E98,Enviroments!$A$3:$D$59,2,FALSE)</f>
        <v>#N/A</v>
      </c>
      <c r="P98" s="3" t="e">
        <f>VLOOKUP(E98,Enviroments!$A$3:$D$59,3,FALSE)</f>
        <v>#N/A</v>
      </c>
      <c r="Q98" s="3" t="e">
        <f>VLOOKUP(E98,Enviroments!$A$3:$D$59,4,FALSE)</f>
        <v>#N/A</v>
      </c>
      <c r="R98" s="3" t="e">
        <f>VLOOKUP(H98,AzureRegions!$A$4:$B$1493,1,FALSE)</f>
        <v>#N/A</v>
      </c>
      <c r="S98" s="3" t="e">
        <f>VLOOKUP(H98,AzureRegions!$A$4:$B$1493,2,FALSE)</f>
        <v>#N/A</v>
      </c>
      <c r="T98" s="3" t="e">
        <f>VLOOKUP(H98,AzureRegions!$A$4:$C$1493,3,FALSE)</f>
        <v>#N/A</v>
      </c>
      <c r="U98" s="3" t="e">
        <f>VLOOKUP(I98,Resources!$A$2:$AA$1503,2,FALSE)</f>
        <v>#N/A</v>
      </c>
      <c r="V98" s="3" t="e">
        <f>VLOOKUP(I98,Resources!$A$2:$H$1503,6,FALSE)</f>
        <v>#N/A</v>
      </c>
      <c r="W98" s="3" t="str">
        <f>VLOOKUP($H$2,Casing!$A$4:$A$60,1,FALSE)</f>
        <v>Lower</v>
      </c>
      <c r="X98" s="14" t="str">
        <f t="shared" si="3"/>
        <v>001</v>
      </c>
      <c r="Y98" s="3" t="str">
        <f>IFERROR(VLOOKUP(F98,Func!$A$4:$G$1500,2,FALSE),"none")</f>
        <v>none</v>
      </c>
      <c r="Z98" s="3" t="e">
        <f>VLOOKUP(I98,Resources!$A$2:$AA$1503,18,FALSE)</f>
        <v>#N/A</v>
      </c>
      <c r="AA98" s="3" t="str">
        <f>IFERROR(VLOOKUP(B98,Orgs!$A$4:$G$1500,2,FALSE),"none")</f>
        <v>none</v>
      </c>
      <c r="AB98" s="3" t="str">
        <f>IFERROR(VLOOKUP(C98,UnitsDepts!$A$4:$G$1500,2,FALSE),"none")</f>
        <v>none</v>
      </c>
      <c r="AC98" s="3" t="str">
        <f>IFERROR(VLOOKUP(D98,ProjAppSvc!$A$4:$G$1500,2,FALSE),"none")</f>
        <v>none</v>
      </c>
    </row>
    <row r="99" spans="1:29" x14ac:dyDescent="0.45">
      <c r="A99" s="14" t="s">
        <v>23</v>
      </c>
      <c r="B99" s="14"/>
      <c r="C99" s="14"/>
      <c r="D99" s="14"/>
      <c r="H99" s="8"/>
      <c r="I99" s="3"/>
      <c r="J99" s="3" t="str">
        <f t="shared" si="4"/>
        <v/>
      </c>
      <c r="K99" s="3" t="str">
        <f>IF(ISNUMBER(SEARCH("-",V99)),IFERROR(IF($H$2="Lower", LOWER(ComputeResourceName(Z99,#REF!,#REF!,G99,N99,O99,P99,Q99,S99,T99,V99,A99)), UPPER(ComputeResourceName(Z99,#REF!,#REF!,G99,N99,O99,P99,Q99,S99,T99,V99,A99))),""),SUBSTITUTE(IFERROR(IF($H$2="Lower", LOWER(ComputeResourceName(#REF!,#REF!,#REF!,G99,N99,O99,P99,Q99,S99,T99,V99,A99)), UPPER(ComputeResourceName(#REF!,#REF!,#REF!,G99,N99,O99,P99,Q99,S99,T99,V99,A99))),""), "-",""))</f>
        <v/>
      </c>
      <c r="L99" s="3" t="str">
        <f xml:space="preserve"> IF(K99="","",  IFERROR(VLOOKUP(I99,Resources!$B$1:$H$1503,5,FALSE)-LEN(K99),0))</f>
        <v/>
      </c>
      <c r="M99" s="3" t="str">
        <f>IF(K99="","",IFERROR(matches(K99,VLOOKUP(I99,Resources!$A$2:$AA$1503,16,FALSE)),FALSE))</f>
        <v/>
      </c>
      <c r="N99" s="3" t="e">
        <f>VLOOKUP(E99,Enviroments!$A$3:$D$59,1,FALSE)</f>
        <v>#N/A</v>
      </c>
      <c r="O99" s="3" t="e">
        <f>VLOOKUP(E99,Enviroments!$A$3:$D$59,2,FALSE)</f>
        <v>#N/A</v>
      </c>
      <c r="P99" s="3" t="e">
        <f>VLOOKUP(E99,Enviroments!$A$3:$D$59,3,FALSE)</f>
        <v>#N/A</v>
      </c>
      <c r="Q99" s="3" t="e">
        <f>VLOOKUP(E99,Enviroments!$A$3:$D$59,4,FALSE)</f>
        <v>#N/A</v>
      </c>
      <c r="R99" s="3" t="e">
        <f>VLOOKUP(H99,AzureRegions!$A$4:$B$1493,1,FALSE)</f>
        <v>#N/A</v>
      </c>
      <c r="S99" s="3" t="e">
        <f>VLOOKUP(H99,AzureRegions!$A$4:$B$1493,2,FALSE)</f>
        <v>#N/A</v>
      </c>
      <c r="T99" s="3" t="e">
        <f>VLOOKUP(H99,AzureRegions!$A$4:$C$1493,3,FALSE)</f>
        <v>#N/A</v>
      </c>
      <c r="U99" s="3" t="e">
        <f>VLOOKUP(I99,Resources!$A$2:$AA$1503,2,FALSE)</f>
        <v>#N/A</v>
      </c>
      <c r="V99" s="3" t="e">
        <f>VLOOKUP(I99,Resources!$A$2:$H$1503,6,FALSE)</f>
        <v>#N/A</v>
      </c>
      <c r="W99" s="3" t="str">
        <f>VLOOKUP($H$2,Casing!$A$4:$A$60,1,FALSE)</f>
        <v>Lower</v>
      </c>
      <c r="X99" s="14" t="str">
        <f t="shared" si="3"/>
        <v>001</v>
      </c>
      <c r="Y99" s="3" t="str">
        <f>IFERROR(VLOOKUP(F99,Func!$A$4:$G$1500,2,FALSE),"none")</f>
        <v>none</v>
      </c>
      <c r="Z99" s="3" t="e">
        <f>VLOOKUP(I99,Resources!$A$2:$AA$1503,18,FALSE)</f>
        <v>#N/A</v>
      </c>
      <c r="AA99" s="3" t="str">
        <f>IFERROR(VLOOKUP(B99,Orgs!$A$4:$G$1500,2,FALSE),"none")</f>
        <v>none</v>
      </c>
      <c r="AB99" s="3" t="str">
        <f>IFERROR(VLOOKUP(C99,UnitsDepts!$A$4:$G$1500,2,FALSE),"none")</f>
        <v>none</v>
      </c>
      <c r="AC99" s="3" t="str">
        <f>IFERROR(VLOOKUP(D99,ProjAppSvc!$A$4:$G$1500,2,FALSE),"none")</f>
        <v>none</v>
      </c>
    </row>
    <row r="100" spans="1:29" x14ac:dyDescent="0.45">
      <c r="A100" s="14" t="s">
        <v>23</v>
      </c>
      <c r="B100" s="14"/>
      <c r="C100" s="14"/>
      <c r="D100" s="14"/>
      <c r="H100" s="8"/>
      <c r="I100" s="3"/>
      <c r="J100" s="3" t="str">
        <f t="shared" si="4"/>
        <v/>
      </c>
      <c r="K100" s="3" t="str">
        <f>IF(ISNUMBER(SEARCH("-",V100)),IFERROR(IF($H$2="Lower", LOWER(ComputeResourceName(Z100,#REF!,#REF!,G100,N100,O100,P100,Q100,S100,T100,V100,A100)), UPPER(ComputeResourceName(Z100,#REF!,#REF!,G100,N100,O100,P100,Q100,S100,T100,V100,A100))),""),SUBSTITUTE(IFERROR(IF($H$2="Lower", LOWER(ComputeResourceName(#REF!,#REF!,#REF!,G100,N100,O100,P100,Q100,S100,T100,V100,A100)), UPPER(ComputeResourceName(#REF!,#REF!,#REF!,G100,N100,O100,P100,Q100,S100,T100,V100,A100))),""), "-",""))</f>
        <v/>
      </c>
      <c r="L100" s="3" t="str">
        <f xml:space="preserve"> IF(K100="","",  IFERROR(VLOOKUP(I100,Resources!$B$1:$H$1503,5,FALSE)-LEN(K100),0))</f>
        <v/>
      </c>
      <c r="M100" s="3" t="str">
        <f>IF(K100="","",IFERROR(matches(K100,VLOOKUP(I100,Resources!$A$2:$AA$1503,16,FALSE)),FALSE))</f>
        <v/>
      </c>
      <c r="N100" s="3" t="e">
        <f>VLOOKUP(E100,Enviroments!$A$3:$D$59,1,FALSE)</f>
        <v>#N/A</v>
      </c>
      <c r="O100" s="3" t="e">
        <f>VLOOKUP(E100,Enviroments!$A$3:$D$59,2,FALSE)</f>
        <v>#N/A</v>
      </c>
      <c r="P100" s="3" t="e">
        <f>VLOOKUP(E100,Enviroments!$A$3:$D$59,3,FALSE)</f>
        <v>#N/A</v>
      </c>
      <c r="Q100" s="3" t="e">
        <f>VLOOKUP(E100,Enviroments!$A$3:$D$59,4,FALSE)</f>
        <v>#N/A</v>
      </c>
      <c r="R100" s="3" t="e">
        <f>VLOOKUP(H100,AzureRegions!$A$4:$B$1493,1,FALSE)</f>
        <v>#N/A</v>
      </c>
      <c r="S100" s="3" t="e">
        <f>VLOOKUP(H100,AzureRegions!$A$4:$B$1493,2,FALSE)</f>
        <v>#N/A</v>
      </c>
      <c r="T100" s="3" t="e">
        <f>VLOOKUP(H100,AzureRegions!$A$4:$C$1493,3,FALSE)</f>
        <v>#N/A</v>
      </c>
      <c r="U100" s="3" t="e">
        <f>VLOOKUP(I100,Resources!$A$2:$AA$1503,2,FALSE)</f>
        <v>#N/A</v>
      </c>
      <c r="V100" s="3" t="e">
        <f>VLOOKUP(I100,Resources!$A$2:$H$1503,6,FALSE)</f>
        <v>#N/A</v>
      </c>
      <c r="W100" s="3" t="str">
        <f>VLOOKUP($H$2,Casing!$A$4:$A$60,1,FALSE)</f>
        <v>Lower</v>
      </c>
      <c r="X100" s="14" t="str">
        <f t="shared" si="3"/>
        <v>001</v>
      </c>
      <c r="Y100" s="3" t="str">
        <f>IFERROR(VLOOKUP(F100,Func!$A$4:$G$1500,2,FALSE),"none")</f>
        <v>none</v>
      </c>
      <c r="Z100" s="3" t="e">
        <f>VLOOKUP(I100,Resources!$A$2:$AA$1503,18,FALSE)</f>
        <v>#N/A</v>
      </c>
      <c r="AA100" s="3" t="str">
        <f>IFERROR(VLOOKUP(B100,Orgs!$A$4:$G$1500,2,FALSE),"none")</f>
        <v>none</v>
      </c>
      <c r="AB100" s="3" t="str">
        <f>IFERROR(VLOOKUP(C100,UnitsDepts!$A$4:$G$1500,2,FALSE),"none")</f>
        <v>none</v>
      </c>
      <c r="AC100" s="3" t="str">
        <f>IFERROR(VLOOKUP(D100,ProjAppSvc!$A$4:$G$1500,2,FALSE),"none")</f>
        <v>none</v>
      </c>
    </row>
    <row r="101" spans="1:29" x14ac:dyDescent="0.45">
      <c r="A101" s="14" t="s">
        <v>23</v>
      </c>
      <c r="B101" s="14"/>
      <c r="C101" s="14"/>
      <c r="D101" s="14"/>
      <c r="H101" s="8"/>
      <c r="I101" s="3"/>
      <c r="J101" s="3" t="str">
        <f t="shared" si="4"/>
        <v/>
      </c>
      <c r="K101" s="3" t="str">
        <f>IF(ISNUMBER(SEARCH("-",V101)),IFERROR(IF($H$2="Lower", LOWER(ComputeResourceName(Z101,#REF!,#REF!,G101,N101,O101,P101,Q101,S101,T101,V101,A101)), UPPER(ComputeResourceName(Z101,#REF!,#REF!,G101,N101,O101,P101,Q101,S101,T101,V101,A101))),""),SUBSTITUTE(IFERROR(IF($H$2="Lower", LOWER(ComputeResourceName(#REF!,#REF!,#REF!,G101,N101,O101,P101,Q101,S101,T101,V101,A101)), UPPER(ComputeResourceName(#REF!,#REF!,#REF!,G101,N101,O101,P101,Q101,S101,T101,V101,A101))),""), "-",""))</f>
        <v/>
      </c>
      <c r="L101" s="3" t="str">
        <f xml:space="preserve"> IF(K101="","",  IFERROR(VLOOKUP(I101,Resources!$B$1:$H$1503,5,FALSE)-LEN(K101),0))</f>
        <v/>
      </c>
      <c r="M101" s="3" t="str">
        <f>IF(K101="","",IFERROR(matches(K101,VLOOKUP(I101,Resources!$A$2:$AA$1503,16,FALSE)),FALSE))</f>
        <v/>
      </c>
      <c r="N101" s="3" t="e">
        <f>VLOOKUP(E101,Enviroments!$A$3:$D$59,1,FALSE)</f>
        <v>#N/A</v>
      </c>
      <c r="O101" s="3" t="e">
        <f>VLOOKUP(E101,Enviroments!$A$3:$D$59,2,FALSE)</f>
        <v>#N/A</v>
      </c>
      <c r="P101" s="3" t="e">
        <f>VLOOKUP(E101,Enviroments!$A$3:$D$59,3,FALSE)</f>
        <v>#N/A</v>
      </c>
      <c r="Q101" s="3" t="e">
        <f>VLOOKUP(E101,Enviroments!$A$3:$D$59,4,FALSE)</f>
        <v>#N/A</v>
      </c>
      <c r="R101" s="3" t="e">
        <f>VLOOKUP(H101,AzureRegions!$A$4:$B$1493,1,FALSE)</f>
        <v>#N/A</v>
      </c>
      <c r="S101" s="3" t="e">
        <f>VLOOKUP(H101,AzureRegions!$A$4:$B$1493,2,FALSE)</f>
        <v>#N/A</v>
      </c>
      <c r="T101" s="3" t="e">
        <f>VLOOKUP(H101,AzureRegions!$A$4:$C$1493,3,FALSE)</f>
        <v>#N/A</v>
      </c>
      <c r="U101" s="3" t="e">
        <f>VLOOKUP(I101,Resources!$A$2:$AA$1503,2,FALSE)</f>
        <v>#N/A</v>
      </c>
      <c r="V101" s="3" t="e">
        <f>VLOOKUP(I101,Resources!$A$2:$H$1503,6,FALSE)</f>
        <v>#N/A</v>
      </c>
      <c r="W101" s="3" t="str">
        <f>VLOOKUP($H$2,Casing!$A$4:$A$60,1,FALSE)</f>
        <v>Lower</v>
      </c>
      <c r="X101" s="14" t="str">
        <f t="shared" si="3"/>
        <v>001</v>
      </c>
      <c r="Y101" s="3" t="str">
        <f>IFERROR(VLOOKUP(F101,Func!$A$4:$G$1500,2,FALSE),"none")</f>
        <v>none</v>
      </c>
      <c r="Z101" s="3" t="e">
        <f>VLOOKUP(I101,Resources!$A$2:$AA$1503,18,FALSE)</f>
        <v>#N/A</v>
      </c>
      <c r="AA101" s="3" t="str">
        <f>IFERROR(VLOOKUP(B101,Orgs!$A$4:$G$1500,2,FALSE),"none")</f>
        <v>none</v>
      </c>
      <c r="AB101" s="3" t="str">
        <f>IFERROR(VLOOKUP(C101,UnitsDepts!$A$4:$G$1500,2,FALSE),"none")</f>
        <v>none</v>
      </c>
      <c r="AC101" s="3" t="str">
        <f>IFERROR(VLOOKUP(D101,ProjAppSvc!$A$4:$G$1500,2,FALSE),"none")</f>
        <v>none</v>
      </c>
    </row>
    <row r="102" spans="1:29" x14ac:dyDescent="0.45">
      <c r="A102" s="14" t="s">
        <v>23</v>
      </c>
      <c r="B102" s="14"/>
      <c r="C102" s="14"/>
      <c r="D102" s="14"/>
      <c r="H102" s="8"/>
      <c r="I102" s="3"/>
      <c r="J102" s="3" t="str">
        <f t="shared" si="4"/>
        <v/>
      </c>
      <c r="K102" s="3" t="str">
        <f>IF(ISNUMBER(SEARCH("-",V102)),IFERROR(IF($H$2="Lower", LOWER(ComputeResourceName(Z102,#REF!,#REF!,G102,N102,O102,P102,Q102,S102,T102,V102,A102)), UPPER(ComputeResourceName(Z102,#REF!,#REF!,G102,N102,O102,P102,Q102,S102,T102,V102,A102))),""),SUBSTITUTE(IFERROR(IF($H$2="Lower", LOWER(ComputeResourceName(#REF!,#REF!,#REF!,G102,N102,O102,P102,Q102,S102,T102,V102,A102)), UPPER(ComputeResourceName(#REF!,#REF!,#REF!,G102,N102,O102,P102,Q102,S102,T102,V102,A102))),""), "-",""))</f>
        <v/>
      </c>
      <c r="L102" s="3" t="str">
        <f xml:space="preserve"> IF(K102="","",  IFERROR(VLOOKUP(I102,Resources!$B$1:$H$1503,5,FALSE)-LEN(K102),0))</f>
        <v/>
      </c>
      <c r="M102" s="3" t="str">
        <f>IF(K102="","",IFERROR(matches(K102,VLOOKUP(I102,Resources!$A$2:$AA$1503,16,FALSE)),FALSE))</f>
        <v/>
      </c>
      <c r="N102" s="3" t="e">
        <f>VLOOKUP(E102,Enviroments!$A$3:$D$59,1,FALSE)</f>
        <v>#N/A</v>
      </c>
      <c r="O102" s="3" t="e">
        <f>VLOOKUP(E102,Enviroments!$A$3:$D$59,2,FALSE)</f>
        <v>#N/A</v>
      </c>
      <c r="P102" s="3" t="e">
        <f>VLOOKUP(E102,Enviroments!$A$3:$D$59,3,FALSE)</f>
        <v>#N/A</v>
      </c>
      <c r="Q102" s="3" t="e">
        <f>VLOOKUP(E102,Enviroments!$A$3:$D$59,4,FALSE)</f>
        <v>#N/A</v>
      </c>
      <c r="R102" s="3" t="e">
        <f>VLOOKUP(H102,AzureRegions!$A$4:$B$1493,1,FALSE)</f>
        <v>#N/A</v>
      </c>
      <c r="S102" s="3" t="e">
        <f>VLOOKUP(H102,AzureRegions!$A$4:$B$1493,2,FALSE)</f>
        <v>#N/A</v>
      </c>
      <c r="T102" s="3" t="e">
        <f>VLOOKUP(H102,AzureRegions!$A$4:$C$1493,3,FALSE)</f>
        <v>#N/A</v>
      </c>
      <c r="U102" s="3" t="e">
        <f>VLOOKUP(I102,Resources!$A$2:$AA$1503,2,FALSE)</f>
        <v>#N/A</v>
      </c>
      <c r="V102" s="3" t="e">
        <f>VLOOKUP(I102,Resources!$A$2:$H$1503,6,FALSE)</f>
        <v>#N/A</v>
      </c>
      <c r="W102" s="3" t="str">
        <f>VLOOKUP($H$2,Casing!$A$4:$A$60,1,FALSE)</f>
        <v>Lower</v>
      </c>
      <c r="X102" s="14" t="str">
        <f t="shared" si="3"/>
        <v>001</v>
      </c>
      <c r="Y102" s="3" t="str">
        <f>IFERROR(VLOOKUP(F102,Func!$A$4:$G$1500,2,FALSE),"none")</f>
        <v>none</v>
      </c>
      <c r="Z102" s="3" t="e">
        <f>VLOOKUP(I102,Resources!$A$2:$AA$1503,18,FALSE)</f>
        <v>#N/A</v>
      </c>
      <c r="AA102" s="3" t="str">
        <f>IFERROR(VLOOKUP(B102,Orgs!$A$4:$G$1500,2,FALSE),"none")</f>
        <v>none</v>
      </c>
      <c r="AB102" s="3" t="str">
        <f>IFERROR(VLOOKUP(C102,UnitsDepts!$A$4:$G$1500,2,FALSE),"none")</f>
        <v>none</v>
      </c>
      <c r="AC102" s="3" t="str">
        <f>IFERROR(VLOOKUP(D102,ProjAppSvc!$A$4:$G$1500,2,FALSE),"none")</f>
        <v>none</v>
      </c>
    </row>
    <row r="103" spans="1:29" x14ac:dyDescent="0.45">
      <c r="A103" s="14" t="s">
        <v>23</v>
      </c>
      <c r="B103" s="14"/>
      <c r="C103" s="14"/>
      <c r="D103" s="14"/>
      <c r="H103" s="8"/>
      <c r="I103" s="3"/>
      <c r="J103" s="3" t="str">
        <f t="shared" si="4"/>
        <v/>
      </c>
      <c r="K103" s="3" t="str">
        <f>IF(ISNUMBER(SEARCH("-",V103)),IFERROR(IF($H$2="Lower", LOWER(ComputeResourceName(Z103,#REF!,#REF!,G103,N103,O103,P103,Q103,S103,T103,V103,A103)), UPPER(ComputeResourceName(Z103,#REF!,#REF!,G103,N103,O103,P103,Q103,S103,T103,V103,A103))),""),SUBSTITUTE(IFERROR(IF($H$2="Lower", LOWER(ComputeResourceName(#REF!,#REF!,#REF!,G103,N103,O103,P103,Q103,S103,T103,V103,A103)), UPPER(ComputeResourceName(#REF!,#REF!,#REF!,G103,N103,O103,P103,Q103,S103,T103,V103,A103))),""), "-",""))</f>
        <v/>
      </c>
      <c r="L103" s="3" t="str">
        <f xml:space="preserve"> IF(K103="","",  IFERROR(VLOOKUP(I103,Resources!$B$1:$H$1503,5,FALSE)-LEN(K103),0))</f>
        <v/>
      </c>
      <c r="M103" s="3" t="str">
        <f>IF(K103="","",IFERROR(matches(K103,VLOOKUP(I103,Resources!$A$2:$AA$1503,16,FALSE)),FALSE))</f>
        <v/>
      </c>
      <c r="N103" s="3" t="e">
        <f>VLOOKUP(E103,Enviroments!$A$3:$D$59,1,FALSE)</f>
        <v>#N/A</v>
      </c>
      <c r="O103" s="3" t="e">
        <f>VLOOKUP(E103,Enviroments!$A$3:$D$59,2,FALSE)</f>
        <v>#N/A</v>
      </c>
      <c r="P103" s="3" t="e">
        <f>VLOOKUP(E103,Enviroments!$A$3:$D$59,3,FALSE)</f>
        <v>#N/A</v>
      </c>
      <c r="Q103" s="3" t="e">
        <f>VLOOKUP(E103,Enviroments!$A$3:$D$59,4,FALSE)</f>
        <v>#N/A</v>
      </c>
      <c r="R103" s="3" t="e">
        <f>VLOOKUP(H103,AzureRegions!$A$4:$B$1493,1,FALSE)</f>
        <v>#N/A</v>
      </c>
      <c r="S103" s="3" t="e">
        <f>VLOOKUP(H103,AzureRegions!$A$4:$B$1493,2,FALSE)</f>
        <v>#N/A</v>
      </c>
      <c r="T103" s="3" t="e">
        <f>VLOOKUP(H103,AzureRegions!$A$4:$C$1493,3,FALSE)</f>
        <v>#N/A</v>
      </c>
      <c r="U103" s="3" t="e">
        <f>VLOOKUP(I103,Resources!$A$2:$AA$1503,2,FALSE)</f>
        <v>#N/A</v>
      </c>
      <c r="V103" s="3" t="e">
        <f>VLOOKUP(I103,Resources!$A$2:$H$1503,6,FALSE)</f>
        <v>#N/A</v>
      </c>
      <c r="W103" s="3" t="str">
        <f>VLOOKUP($H$2,Casing!$A$4:$A$60,1,FALSE)</f>
        <v>Lower</v>
      </c>
      <c r="X103" s="14" t="str">
        <f t="shared" si="3"/>
        <v>001</v>
      </c>
      <c r="Y103" s="3" t="str">
        <f>IFERROR(VLOOKUP(F103,Func!$A$4:$G$1500,2,FALSE),"none")</f>
        <v>none</v>
      </c>
      <c r="Z103" s="3" t="e">
        <f>VLOOKUP(I103,Resources!$A$2:$AA$1503,18,FALSE)</f>
        <v>#N/A</v>
      </c>
      <c r="AA103" s="3" t="str">
        <f>IFERROR(VLOOKUP(B103,Orgs!$A$4:$G$1500,2,FALSE),"none")</f>
        <v>none</v>
      </c>
      <c r="AB103" s="3" t="str">
        <f>IFERROR(VLOOKUP(C103,UnitsDepts!$A$4:$G$1500,2,FALSE),"none")</f>
        <v>none</v>
      </c>
      <c r="AC103" s="3" t="str">
        <f>IFERROR(VLOOKUP(D103,ProjAppSvc!$A$4:$G$1500,2,FALSE),"none")</f>
        <v>none</v>
      </c>
    </row>
    <row r="104" spans="1:29" x14ac:dyDescent="0.45">
      <c r="A104" s="14" t="s">
        <v>23</v>
      </c>
      <c r="B104" s="14"/>
      <c r="C104" s="14"/>
      <c r="D104" s="14"/>
      <c r="H104" s="8"/>
      <c r="I104" s="3"/>
      <c r="J104" s="3" t="str">
        <f t="shared" si="4"/>
        <v/>
      </c>
      <c r="K104" s="3" t="str">
        <f>IF(ISNUMBER(SEARCH("-",V104)),IFERROR(IF($H$2="Lower", LOWER(ComputeResourceName(Z104,#REF!,#REF!,G104,N104,O104,P104,Q104,S104,T104,V104,A104)), UPPER(ComputeResourceName(Z104,#REF!,#REF!,G104,N104,O104,P104,Q104,S104,T104,V104,A104))),""),SUBSTITUTE(IFERROR(IF($H$2="Lower", LOWER(ComputeResourceName(#REF!,#REF!,#REF!,G104,N104,O104,P104,Q104,S104,T104,V104,A104)), UPPER(ComputeResourceName(#REF!,#REF!,#REF!,G104,N104,O104,P104,Q104,S104,T104,V104,A104))),""), "-",""))</f>
        <v/>
      </c>
      <c r="L104" s="3" t="str">
        <f xml:space="preserve"> IF(K104="","",  IFERROR(VLOOKUP(I104,Resources!$B$1:$H$1503,5,FALSE)-LEN(K104),0))</f>
        <v/>
      </c>
      <c r="M104" s="3" t="str">
        <f>IF(K104="","",IFERROR(matches(K104,VLOOKUP(I104,Resources!$A$2:$AA$1503,16,FALSE)),FALSE))</f>
        <v/>
      </c>
      <c r="N104" s="3" t="e">
        <f>VLOOKUP(E104,Enviroments!$A$3:$D$59,1,FALSE)</f>
        <v>#N/A</v>
      </c>
      <c r="O104" s="3" t="e">
        <f>VLOOKUP(E104,Enviroments!$A$3:$D$59,2,FALSE)</f>
        <v>#N/A</v>
      </c>
      <c r="P104" s="3" t="e">
        <f>VLOOKUP(E104,Enviroments!$A$3:$D$59,3,FALSE)</f>
        <v>#N/A</v>
      </c>
      <c r="Q104" s="3" t="e">
        <f>VLOOKUP(E104,Enviroments!$A$3:$D$59,4,FALSE)</f>
        <v>#N/A</v>
      </c>
      <c r="R104" s="3" t="e">
        <f>VLOOKUP(H104,AzureRegions!$A$4:$B$1493,1,FALSE)</f>
        <v>#N/A</v>
      </c>
      <c r="S104" s="3" t="e">
        <f>VLOOKUP(H104,AzureRegions!$A$4:$B$1493,2,FALSE)</f>
        <v>#N/A</v>
      </c>
      <c r="T104" s="3" t="e">
        <f>VLOOKUP(H104,AzureRegions!$A$4:$C$1493,3,FALSE)</f>
        <v>#N/A</v>
      </c>
      <c r="U104" s="3" t="e">
        <f>VLOOKUP(I104,Resources!$A$2:$AA$1503,2,FALSE)</f>
        <v>#N/A</v>
      </c>
      <c r="V104" s="3" t="e">
        <f>VLOOKUP(I104,Resources!$A$2:$H$1503,6,FALSE)</f>
        <v>#N/A</v>
      </c>
      <c r="W104" s="3" t="str">
        <f>VLOOKUP($H$2,Casing!$A$4:$A$60,1,FALSE)</f>
        <v>Lower</v>
      </c>
      <c r="X104" s="14" t="str">
        <f t="shared" si="3"/>
        <v>001</v>
      </c>
      <c r="Y104" s="3" t="str">
        <f>IFERROR(VLOOKUP(F104,Func!$A$4:$G$1500,2,FALSE),"none")</f>
        <v>none</v>
      </c>
      <c r="Z104" s="3" t="e">
        <f>VLOOKUP(I104,Resources!$A$2:$AA$1503,18,FALSE)</f>
        <v>#N/A</v>
      </c>
      <c r="AA104" s="3" t="str">
        <f>IFERROR(VLOOKUP(B104,Orgs!$A$4:$G$1500,2,FALSE),"none")</f>
        <v>none</v>
      </c>
      <c r="AB104" s="3" t="str">
        <f>IFERROR(VLOOKUP(C104,UnitsDepts!$A$4:$G$1500,2,FALSE),"none")</f>
        <v>none</v>
      </c>
      <c r="AC104" s="3" t="str">
        <f>IFERROR(VLOOKUP(D104,ProjAppSvc!$A$4:$G$1500,2,FALSE),"none")</f>
        <v>none</v>
      </c>
    </row>
    <row r="105" spans="1:29" x14ac:dyDescent="0.45">
      <c r="A105" s="14" t="s">
        <v>23</v>
      </c>
      <c r="B105" s="14"/>
      <c r="C105" s="14"/>
      <c r="D105" s="14"/>
      <c r="H105" s="8"/>
      <c r="I105" s="3"/>
      <c r="J105" s="3" t="str">
        <f t="shared" si="4"/>
        <v/>
      </c>
      <c r="K105" s="3" t="str">
        <f>IF(ISNUMBER(SEARCH("-",V105)),IFERROR(IF($H$2="Lower", LOWER(ComputeResourceName(Z105,#REF!,#REF!,G105,N105,O105,P105,Q105,S105,T105,V105,A105)), UPPER(ComputeResourceName(Z105,#REF!,#REF!,G105,N105,O105,P105,Q105,S105,T105,V105,A105))),""),SUBSTITUTE(IFERROR(IF($H$2="Lower", LOWER(ComputeResourceName(#REF!,#REF!,#REF!,G105,N105,O105,P105,Q105,S105,T105,V105,A105)), UPPER(ComputeResourceName(#REF!,#REF!,#REF!,G105,N105,O105,P105,Q105,S105,T105,V105,A105))),""), "-",""))</f>
        <v/>
      </c>
      <c r="L105" s="3" t="str">
        <f xml:space="preserve"> IF(K105="","",  IFERROR(VLOOKUP(I105,Resources!$B$1:$H$1503,5,FALSE)-LEN(K105),0))</f>
        <v/>
      </c>
      <c r="M105" s="3" t="str">
        <f>IF(K105="","",IFERROR(matches(K105,VLOOKUP(I105,Resources!$A$2:$AA$1503,16,FALSE)),FALSE))</f>
        <v/>
      </c>
      <c r="N105" s="3" t="e">
        <f>VLOOKUP(E105,Enviroments!$A$3:$D$59,1,FALSE)</f>
        <v>#N/A</v>
      </c>
      <c r="O105" s="3" t="e">
        <f>VLOOKUP(E105,Enviroments!$A$3:$D$59,2,FALSE)</f>
        <v>#N/A</v>
      </c>
      <c r="P105" s="3" t="e">
        <f>VLOOKUP(E105,Enviroments!$A$3:$D$59,3,FALSE)</f>
        <v>#N/A</v>
      </c>
      <c r="Q105" s="3" t="e">
        <f>VLOOKUP(E105,Enviroments!$A$3:$D$59,4,FALSE)</f>
        <v>#N/A</v>
      </c>
      <c r="R105" s="3" t="e">
        <f>VLOOKUP(H105,AzureRegions!$A$4:$B$1493,1,FALSE)</f>
        <v>#N/A</v>
      </c>
      <c r="S105" s="3" t="e">
        <f>VLOOKUP(H105,AzureRegions!$A$4:$B$1493,2,FALSE)</f>
        <v>#N/A</v>
      </c>
      <c r="T105" s="3" t="e">
        <f>VLOOKUP(H105,AzureRegions!$A$4:$C$1493,3,FALSE)</f>
        <v>#N/A</v>
      </c>
      <c r="U105" s="3" t="e">
        <f>VLOOKUP(I105,Resources!$A$2:$AA$1503,2,FALSE)</f>
        <v>#N/A</v>
      </c>
      <c r="V105" s="3" t="e">
        <f>VLOOKUP(I105,Resources!$A$2:$H$1503,6,FALSE)</f>
        <v>#N/A</v>
      </c>
      <c r="W105" s="3" t="str">
        <f>VLOOKUP($H$2,Casing!$A$4:$A$60,1,FALSE)</f>
        <v>Lower</v>
      </c>
      <c r="X105" s="14" t="str">
        <f t="shared" si="3"/>
        <v>001</v>
      </c>
      <c r="Y105" s="3" t="str">
        <f>IFERROR(VLOOKUP(F105,Func!$A$4:$G$1500,2,FALSE),"none")</f>
        <v>none</v>
      </c>
      <c r="Z105" s="3" t="e">
        <f>VLOOKUP(I105,Resources!$A$2:$AA$1503,18,FALSE)</f>
        <v>#N/A</v>
      </c>
      <c r="AA105" s="3" t="str">
        <f>IFERROR(VLOOKUP(B105,Orgs!$A$4:$G$1500,2,FALSE),"none")</f>
        <v>none</v>
      </c>
      <c r="AB105" s="3" t="str">
        <f>IFERROR(VLOOKUP(C105,UnitsDepts!$A$4:$G$1500,2,FALSE),"none")</f>
        <v>none</v>
      </c>
      <c r="AC105" s="3" t="str">
        <f>IFERROR(VLOOKUP(D105,ProjAppSvc!$A$4:$G$1500,2,FALSE),"none")</f>
        <v>none</v>
      </c>
    </row>
    <row r="106" spans="1:29" x14ac:dyDescent="0.45">
      <c r="A106" s="14" t="s">
        <v>23</v>
      </c>
      <c r="B106" s="14"/>
      <c r="C106" s="14"/>
      <c r="D106" s="14"/>
      <c r="H106" s="8"/>
      <c r="I106" s="3"/>
      <c r="J106" s="3" t="str">
        <f t="shared" si="4"/>
        <v/>
      </c>
      <c r="K106" s="3" t="str">
        <f>IF(ISNUMBER(SEARCH("-",V106)),IFERROR(IF($H$2="Lower", LOWER(ComputeResourceName(Z106,#REF!,#REF!,G106,N106,O106,P106,Q106,S106,T106,V106,A106)), UPPER(ComputeResourceName(Z106,#REF!,#REF!,G106,N106,O106,P106,Q106,S106,T106,V106,A106))),""),SUBSTITUTE(IFERROR(IF($H$2="Lower", LOWER(ComputeResourceName(#REF!,#REF!,#REF!,G106,N106,O106,P106,Q106,S106,T106,V106,A106)), UPPER(ComputeResourceName(#REF!,#REF!,#REF!,G106,N106,O106,P106,Q106,S106,T106,V106,A106))),""), "-",""))</f>
        <v/>
      </c>
      <c r="L106" s="3" t="str">
        <f xml:space="preserve"> IF(K106="","",  IFERROR(VLOOKUP(I106,Resources!$B$1:$H$1503,5,FALSE)-LEN(K106),0))</f>
        <v/>
      </c>
      <c r="M106" s="3" t="str">
        <f>IF(K106="","",IFERROR(matches(K106,VLOOKUP(I106,Resources!$A$2:$AA$1503,16,FALSE)),FALSE))</f>
        <v/>
      </c>
      <c r="N106" s="3" t="e">
        <f>VLOOKUP(E106,Enviroments!$A$3:$D$59,1,FALSE)</f>
        <v>#N/A</v>
      </c>
      <c r="O106" s="3" t="e">
        <f>VLOOKUP(E106,Enviroments!$A$3:$D$59,2,FALSE)</f>
        <v>#N/A</v>
      </c>
      <c r="P106" s="3" t="e">
        <f>VLOOKUP(E106,Enviroments!$A$3:$D$59,3,FALSE)</f>
        <v>#N/A</v>
      </c>
      <c r="Q106" s="3" t="e">
        <f>VLOOKUP(E106,Enviroments!$A$3:$D$59,4,FALSE)</f>
        <v>#N/A</v>
      </c>
      <c r="R106" s="3" t="e">
        <f>VLOOKUP(H106,AzureRegions!$A$4:$B$1493,1,FALSE)</f>
        <v>#N/A</v>
      </c>
      <c r="S106" s="3" t="e">
        <f>VLOOKUP(H106,AzureRegions!$A$4:$B$1493,2,FALSE)</f>
        <v>#N/A</v>
      </c>
      <c r="T106" s="3" t="e">
        <f>VLOOKUP(H106,AzureRegions!$A$4:$C$1493,3,FALSE)</f>
        <v>#N/A</v>
      </c>
      <c r="U106" s="3" t="e">
        <f>VLOOKUP(I106,Resources!$A$2:$AA$1503,2,FALSE)</f>
        <v>#N/A</v>
      </c>
      <c r="V106" s="3" t="e">
        <f>VLOOKUP(I106,Resources!$A$2:$H$1503,6,FALSE)</f>
        <v>#N/A</v>
      </c>
      <c r="W106" s="3" t="str">
        <f>VLOOKUP($H$2,Casing!$A$4:$A$60,1,FALSE)</f>
        <v>Lower</v>
      </c>
      <c r="X106" s="14" t="str">
        <f t="shared" si="3"/>
        <v>001</v>
      </c>
      <c r="Y106" s="3" t="str">
        <f>IFERROR(VLOOKUP(F106,Func!$A$4:$G$1500,2,FALSE),"none")</f>
        <v>none</v>
      </c>
      <c r="Z106" s="3" t="e">
        <f>VLOOKUP(I106,Resources!$A$2:$AA$1503,18,FALSE)</f>
        <v>#N/A</v>
      </c>
      <c r="AA106" s="3" t="str">
        <f>IFERROR(VLOOKUP(B106,Orgs!$A$4:$G$1500,2,FALSE),"none")</f>
        <v>none</v>
      </c>
      <c r="AB106" s="3" t="str">
        <f>IFERROR(VLOOKUP(C106,UnitsDepts!$A$4:$G$1500,2,FALSE),"none")</f>
        <v>none</v>
      </c>
      <c r="AC106" s="3" t="str">
        <f>IFERROR(VLOOKUP(D106,ProjAppSvc!$A$4:$G$1500,2,FALSE),"none")</f>
        <v>none</v>
      </c>
    </row>
    <row r="107" spans="1:29" x14ac:dyDescent="0.45">
      <c r="A107" s="14" t="s">
        <v>23</v>
      </c>
      <c r="B107" s="14"/>
      <c r="C107" s="14"/>
      <c r="D107" s="14"/>
      <c r="H107" s="8"/>
      <c r="I107" s="3"/>
      <c r="J107" s="3" t="str">
        <f t="shared" si="4"/>
        <v/>
      </c>
      <c r="K107" s="3" t="str">
        <f>IF(ISNUMBER(SEARCH("-",V107)),IFERROR(IF($H$2="Lower", LOWER(ComputeResourceName(Z107,#REF!,#REF!,G107,N107,O107,P107,Q107,S107,T107,V107,A107)), UPPER(ComputeResourceName(Z107,#REF!,#REF!,G107,N107,O107,P107,Q107,S107,T107,V107,A107))),""),SUBSTITUTE(IFERROR(IF($H$2="Lower", LOWER(ComputeResourceName(#REF!,#REF!,#REF!,G107,N107,O107,P107,Q107,S107,T107,V107,A107)), UPPER(ComputeResourceName(#REF!,#REF!,#REF!,G107,N107,O107,P107,Q107,S107,T107,V107,A107))),""), "-",""))</f>
        <v/>
      </c>
      <c r="L107" s="3" t="str">
        <f xml:space="preserve"> IF(K107="","",  IFERROR(VLOOKUP(I107,Resources!$B$1:$H$1503,5,FALSE)-LEN(K107),0))</f>
        <v/>
      </c>
      <c r="M107" s="3" t="str">
        <f>IF(K107="","",IFERROR(matches(K107,VLOOKUP(I107,Resources!$A$2:$AA$1503,16,FALSE)),FALSE))</f>
        <v/>
      </c>
      <c r="N107" s="3" t="e">
        <f>VLOOKUP(E107,Enviroments!$A$3:$D$59,1,FALSE)</f>
        <v>#N/A</v>
      </c>
      <c r="O107" s="3" t="e">
        <f>VLOOKUP(E107,Enviroments!$A$3:$D$59,2,FALSE)</f>
        <v>#N/A</v>
      </c>
      <c r="P107" s="3" t="e">
        <f>VLOOKUP(E107,Enviroments!$A$3:$D$59,3,FALSE)</f>
        <v>#N/A</v>
      </c>
      <c r="Q107" s="3" t="e">
        <f>VLOOKUP(E107,Enviroments!$A$3:$D$59,4,FALSE)</f>
        <v>#N/A</v>
      </c>
      <c r="R107" s="3" t="e">
        <f>VLOOKUP(H107,AzureRegions!$A$4:$B$1493,1,FALSE)</f>
        <v>#N/A</v>
      </c>
      <c r="S107" s="3" t="e">
        <f>VLOOKUP(H107,AzureRegions!$A$4:$B$1493,2,FALSE)</f>
        <v>#N/A</v>
      </c>
      <c r="T107" s="3" t="e">
        <f>VLOOKUP(H107,AzureRegions!$A$4:$C$1493,3,FALSE)</f>
        <v>#N/A</v>
      </c>
      <c r="U107" s="3" t="e">
        <f>VLOOKUP(I107,Resources!$A$2:$AA$1503,2,FALSE)</f>
        <v>#N/A</v>
      </c>
      <c r="V107" s="3" t="e">
        <f>VLOOKUP(I107,Resources!$A$2:$H$1503,6,FALSE)</f>
        <v>#N/A</v>
      </c>
      <c r="W107" s="3" t="str">
        <f>VLOOKUP($H$2,Casing!$A$4:$A$60,1,FALSE)</f>
        <v>Lower</v>
      </c>
      <c r="X107" s="14" t="str">
        <f t="shared" si="3"/>
        <v>001</v>
      </c>
      <c r="Y107" s="3" t="str">
        <f>IFERROR(VLOOKUP(F107,Func!$A$4:$G$1500,2,FALSE),"none")</f>
        <v>none</v>
      </c>
      <c r="Z107" s="3" t="e">
        <f>VLOOKUP(I107,Resources!$A$2:$AA$1503,18,FALSE)</f>
        <v>#N/A</v>
      </c>
      <c r="AA107" s="3" t="str">
        <f>IFERROR(VLOOKUP(B107,Orgs!$A$4:$G$1500,2,FALSE),"none")</f>
        <v>none</v>
      </c>
      <c r="AB107" s="3" t="str">
        <f>IFERROR(VLOOKUP(C107,UnitsDepts!$A$4:$G$1500,2,FALSE),"none")</f>
        <v>none</v>
      </c>
      <c r="AC107" s="3" t="str">
        <f>IFERROR(VLOOKUP(D107,ProjAppSvc!$A$4:$G$1500,2,FALSE),"none")</f>
        <v>none</v>
      </c>
    </row>
    <row r="108" spans="1:29" x14ac:dyDescent="0.45">
      <c r="A108" s="14" t="s">
        <v>23</v>
      </c>
      <c r="B108" s="14"/>
      <c r="C108" s="14"/>
      <c r="D108" s="14"/>
      <c r="H108" s="8"/>
      <c r="I108" s="3"/>
      <c r="J108" s="3" t="str">
        <f t="shared" si="4"/>
        <v/>
      </c>
      <c r="K108" s="3" t="str">
        <f>IF(ISNUMBER(SEARCH("-",V108)),IFERROR(IF($H$2="Lower", LOWER(ComputeResourceName(Z108,#REF!,#REF!,G108,N108,O108,P108,Q108,S108,T108,V108,A108)), UPPER(ComputeResourceName(Z108,#REF!,#REF!,G108,N108,O108,P108,Q108,S108,T108,V108,A108))),""),SUBSTITUTE(IFERROR(IF($H$2="Lower", LOWER(ComputeResourceName(#REF!,#REF!,#REF!,G108,N108,O108,P108,Q108,S108,T108,V108,A108)), UPPER(ComputeResourceName(#REF!,#REF!,#REF!,G108,N108,O108,P108,Q108,S108,T108,V108,A108))),""), "-",""))</f>
        <v/>
      </c>
      <c r="L108" s="3" t="str">
        <f xml:space="preserve"> IF(K108="","",  IFERROR(VLOOKUP(I108,Resources!$B$1:$H$1503,5,FALSE)-LEN(K108),0))</f>
        <v/>
      </c>
      <c r="M108" s="3" t="str">
        <f>IF(K108="","",IFERROR(matches(K108,VLOOKUP(I108,Resources!$A$2:$AA$1503,16,FALSE)),FALSE))</f>
        <v/>
      </c>
      <c r="N108" s="3" t="e">
        <f>VLOOKUP(E108,Enviroments!$A$3:$D$59,1,FALSE)</f>
        <v>#N/A</v>
      </c>
      <c r="O108" s="3" t="e">
        <f>VLOOKUP(E108,Enviroments!$A$3:$D$59,2,FALSE)</f>
        <v>#N/A</v>
      </c>
      <c r="P108" s="3" t="e">
        <f>VLOOKUP(E108,Enviroments!$A$3:$D$59,3,FALSE)</f>
        <v>#N/A</v>
      </c>
      <c r="Q108" s="3" t="e">
        <f>VLOOKUP(E108,Enviroments!$A$3:$D$59,4,FALSE)</f>
        <v>#N/A</v>
      </c>
      <c r="R108" s="3" t="e">
        <f>VLOOKUP(H108,AzureRegions!$A$4:$B$1493,1,FALSE)</f>
        <v>#N/A</v>
      </c>
      <c r="S108" s="3" t="e">
        <f>VLOOKUP(H108,AzureRegions!$A$4:$B$1493,2,FALSE)</f>
        <v>#N/A</v>
      </c>
      <c r="T108" s="3" t="e">
        <f>VLOOKUP(H108,AzureRegions!$A$4:$C$1493,3,FALSE)</f>
        <v>#N/A</v>
      </c>
      <c r="U108" s="3" t="e">
        <f>VLOOKUP(I108,Resources!$A$2:$AA$1503,2,FALSE)</f>
        <v>#N/A</v>
      </c>
      <c r="V108" s="3" t="e">
        <f>VLOOKUP(I108,Resources!$A$2:$H$1503,6,FALSE)</f>
        <v>#N/A</v>
      </c>
      <c r="W108" s="3" t="str">
        <f>VLOOKUP($H$2,Casing!$A$4:$A$60,1,FALSE)</f>
        <v>Lower</v>
      </c>
      <c r="X108" s="14" t="str">
        <f t="shared" si="3"/>
        <v>001</v>
      </c>
      <c r="Y108" s="3" t="str">
        <f>IFERROR(VLOOKUP(F108,Func!$A$4:$G$1500,2,FALSE),"none")</f>
        <v>none</v>
      </c>
      <c r="Z108" s="3" t="e">
        <f>VLOOKUP(I108,Resources!$A$2:$AA$1503,18,FALSE)</f>
        <v>#N/A</v>
      </c>
      <c r="AA108" s="3" t="str">
        <f>IFERROR(VLOOKUP(B108,Orgs!$A$4:$G$1500,2,FALSE),"none")</f>
        <v>none</v>
      </c>
      <c r="AB108" s="3" t="str">
        <f>IFERROR(VLOOKUP(C108,UnitsDepts!$A$4:$G$1500,2,FALSE),"none")</f>
        <v>none</v>
      </c>
      <c r="AC108" s="3" t="str">
        <f>IFERROR(VLOOKUP(D108,ProjAppSvc!$A$4:$G$1500,2,FALSE),"none")</f>
        <v>none</v>
      </c>
    </row>
    <row r="109" spans="1:29" x14ac:dyDescent="0.45">
      <c r="A109" s="14" t="s">
        <v>23</v>
      </c>
      <c r="B109" s="14"/>
      <c r="C109" s="14"/>
      <c r="D109" s="14"/>
      <c r="H109" s="8"/>
      <c r="I109" s="3"/>
      <c r="J109" s="3" t="str">
        <f t="shared" si="4"/>
        <v/>
      </c>
      <c r="K109" s="3" t="str">
        <f>IF(ISNUMBER(SEARCH("-",V109)),IFERROR(IF($H$2="Lower", LOWER(ComputeResourceName(Z109,#REF!,#REF!,G109,N109,O109,P109,Q109,S109,T109,V109,A109)), UPPER(ComputeResourceName(Z109,#REF!,#REF!,G109,N109,O109,P109,Q109,S109,T109,V109,A109))),""),SUBSTITUTE(IFERROR(IF($H$2="Lower", LOWER(ComputeResourceName(#REF!,#REF!,#REF!,G109,N109,O109,P109,Q109,S109,T109,V109,A109)), UPPER(ComputeResourceName(#REF!,#REF!,#REF!,G109,N109,O109,P109,Q109,S109,T109,V109,A109))),""), "-",""))</f>
        <v/>
      </c>
      <c r="L109" s="3" t="str">
        <f xml:space="preserve"> IF(K109="","",  IFERROR(VLOOKUP(I109,Resources!$B$1:$H$1503,5,FALSE)-LEN(K109),0))</f>
        <v/>
      </c>
      <c r="M109" s="3" t="str">
        <f>IF(K109="","",IFERROR(matches(K109,VLOOKUP(I109,Resources!$A$2:$AA$1503,16,FALSE)),FALSE))</f>
        <v/>
      </c>
      <c r="N109" s="3" t="e">
        <f>VLOOKUP(E109,Enviroments!$A$3:$D$59,1,FALSE)</f>
        <v>#N/A</v>
      </c>
      <c r="O109" s="3" t="e">
        <f>VLOOKUP(E109,Enviroments!$A$3:$D$59,2,FALSE)</f>
        <v>#N/A</v>
      </c>
      <c r="P109" s="3" t="e">
        <f>VLOOKUP(E109,Enviroments!$A$3:$D$59,3,FALSE)</f>
        <v>#N/A</v>
      </c>
      <c r="Q109" s="3" t="e">
        <f>VLOOKUP(E109,Enviroments!$A$3:$D$59,4,FALSE)</f>
        <v>#N/A</v>
      </c>
      <c r="R109" s="3" t="e">
        <f>VLOOKUP(H109,AzureRegions!$A$4:$B$1493,1,FALSE)</f>
        <v>#N/A</v>
      </c>
      <c r="S109" s="3" t="e">
        <f>VLOOKUP(H109,AzureRegions!$A$4:$B$1493,2,FALSE)</f>
        <v>#N/A</v>
      </c>
      <c r="T109" s="3" t="e">
        <f>VLOOKUP(H109,AzureRegions!$A$4:$C$1493,3,FALSE)</f>
        <v>#N/A</v>
      </c>
      <c r="U109" s="3" t="e">
        <f>VLOOKUP(I109,Resources!$A$2:$AA$1503,2,FALSE)</f>
        <v>#N/A</v>
      </c>
      <c r="V109" s="3" t="e">
        <f>VLOOKUP(I109,Resources!$A$2:$H$1503,6,FALSE)</f>
        <v>#N/A</v>
      </c>
      <c r="W109" s="3" t="str">
        <f>VLOOKUP($H$2,Casing!$A$4:$A$60,1,FALSE)</f>
        <v>Lower</v>
      </c>
      <c r="X109" s="14" t="str">
        <f t="shared" si="3"/>
        <v>001</v>
      </c>
      <c r="Y109" s="3" t="str">
        <f>IFERROR(VLOOKUP(F109,Func!$A$4:$G$1500,2,FALSE),"none")</f>
        <v>none</v>
      </c>
      <c r="Z109" s="3" t="e">
        <f>VLOOKUP(I109,Resources!$A$2:$AA$1503,18,FALSE)</f>
        <v>#N/A</v>
      </c>
      <c r="AA109" s="3" t="str">
        <f>IFERROR(VLOOKUP(B109,Orgs!$A$4:$G$1500,2,FALSE),"none")</f>
        <v>none</v>
      </c>
      <c r="AB109" s="3" t="str">
        <f>IFERROR(VLOOKUP(C109,UnitsDepts!$A$4:$G$1500,2,FALSE),"none")</f>
        <v>none</v>
      </c>
      <c r="AC109" s="3" t="str">
        <f>IFERROR(VLOOKUP(D109,ProjAppSvc!$A$4:$G$1500,2,FALSE),"none")</f>
        <v>none</v>
      </c>
    </row>
    <row r="110" spans="1:29" x14ac:dyDescent="0.45">
      <c r="A110" s="14" t="s">
        <v>23</v>
      </c>
      <c r="B110" s="14"/>
      <c r="C110" s="14"/>
      <c r="D110" s="14"/>
      <c r="H110" s="8"/>
      <c r="I110" s="3"/>
      <c r="J110" s="3" t="str">
        <f t="shared" si="4"/>
        <v/>
      </c>
      <c r="K110" s="3" t="str">
        <f>IF(ISNUMBER(SEARCH("-",V110)),IFERROR(IF($H$2="Lower", LOWER(ComputeResourceName(Z110,#REF!,#REF!,G110,N110,O110,P110,Q110,S110,T110,V110,A110)), UPPER(ComputeResourceName(Z110,#REF!,#REF!,G110,N110,O110,P110,Q110,S110,T110,V110,A110))),""),SUBSTITUTE(IFERROR(IF($H$2="Lower", LOWER(ComputeResourceName(#REF!,#REF!,#REF!,G110,N110,O110,P110,Q110,S110,T110,V110,A110)), UPPER(ComputeResourceName(#REF!,#REF!,#REF!,G110,N110,O110,P110,Q110,S110,T110,V110,A110))),""), "-",""))</f>
        <v/>
      </c>
      <c r="L110" s="3" t="str">
        <f xml:space="preserve"> IF(K110="","",  IFERROR(VLOOKUP(I110,Resources!$B$1:$H$1503,5,FALSE)-LEN(K110),0))</f>
        <v/>
      </c>
      <c r="M110" s="3" t="str">
        <f>IF(K110="","",IFERROR(matches(K110,VLOOKUP(I110,Resources!$A$2:$AA$1503,16,FALSE)),FALSE))</f>
        <v/>
      </c>
      <c r="N110" s="3" t="e">
        <f>VLOOKUP(E110,Enviroments!$A$3:$D$59,1,FALSE)</f>
        <v>#N/A</v>
      </c>
      <c r="O110" s="3" t="e">
        <f>VLOOKUP(E110,Enviroments!$A$3:$D$59,2,FALSE)</f>
        <v>#N/A</v>
      </c>
      <c r="P110" s="3" t="e">
        <f>VLOOKUP(E110,Enviroments!$A$3:$D$59,3,FALSE)</f>
        <v>#N/A</v>
      </c>
      <c r="Q110" s="3" t="e">
        <f>VLOOKUP(E110,Enviroments!$A$3:$D$59,4,FALSE)</f>
        <v>#N/A</v>
      </c>
      <c r="R110" s="3" t="e">
        <f>VLOOKUP(H110,AzureRegions!$A$4:$B$1493,1,FALSE)</f>
        <v>#N/A</v>
      </c>
      <c r="S110" s="3" t="e">
        <f>VLOOKUP(H110,AzureRegions!$A$4:$B$1493,2,FALSE)</f>
        <v>#N/A</v>
      </c>
      <c r="T110" s="3" t="e">
        <f>VLOOKUP(H110,AzureRegions!$A$4:$C$1493,3,FALSE)</f>
        <v>#N/A</v>
      </c>
      <c r="U110" s="3" t="e">
        <f>VLOOKUP(I110,Resources!$A$2:$AA$1503,2,FALSE)</f>
        <v>#N/A</v>
      </c>
      <c r="V110" s="3" t="e">
        <f>VLOOKUP(I110,Resources!$A$2:$H$1503,6,FALSE)</f>
        <v>#N/A</v>
      </c>
      <c r="W110" s="3" t="str">
        <f>VLOOKUP($H$2,Casing!$A$4:$A$60,1,FALSE)</f>
        <v>Lower</v>
      </c>
      <c r="X110" s="14" t="str">
        <f t="shared" si="3"/>
        <v>001</v>
      </c>
      <c r="Y110" s="3" t="str">
        <f>IFERROR(VLOOKUP(F110,Func!$A$4:$G$1500,2,FALSE),"none")</f>
        <v>none</v>
      </c>
      <c r="Z110" s="3" t="e">
        <f>VLOOKUP(I110,Resources!$A$2:$AA$1503,18,FALSE)</f>
        <v>#N/A</v>
      </c>
      <c r="AA110" s="3" t="str">
        <f>IFERROR(VLOOKUP(B110,Orgs!$A$4:$G$1500,2,FALSE),"none")</f>
        <v>none</v>
      </c>
      <c r="AB110" s="3" t="str">
        <f>IFERROR(VLOOKUP(C110,UnitsDepts!$A$4:$G$1500,2,FALSE),"none")</f>
        <v>none</v>
      </c>
      <c r="AC110" s="3" t="str">
        <f>IFERROR(VLOOKUP(D110,ProjAppSvc!$A$4:$G$1500,2,FALSE),"none")</f>
        <v>none</v>
      </c>
    </row>
    <row r="111" spans="1:29" x14ac:dyDescent="0.45">
      <c r="A111" s="14" t="s">
        <v>23</v>
      </c>
      <c r="B111" s="14"/>
      <c r="C111" s="14"/>
      <c r="D111" s="14"/>
      <c r="H111" s="8"/>
      <c r="I111" s="3"/>
      <c r="J111" s="3" t="str">
        <f t="shared" si="4"/>
        <v/>
      </c>
      <c r="K111" s="3" t="str">
        <f>IF(ISNUMBER(SEARCH("-",V111)),IFERROR(IF($H$2="Lower", LOWER(ComputeResourceName(Z111,#REF!,#REF!,G111,N111,O111,P111,Q111,S111,T111,V111,A111)), UPPER(ComputeResourceName(Z111,#REF!,#REF!,G111,N111,O111,P111,Q111,S111,T111,V111,A111))),""),SUBSTITUTE(IFERROR(IF($H$2="Lower", LOWER(ComputeResourceName(#REF!,#REF!,#REF!,G111,N111,O111,P111,Q111,S111,T111,V111,A111)), UPPER(ComputeResourceName(#REF!,#REF!,#REF!,G111,N111,O111,P111,Q111,S111,T111,V111,A111))),""), "-",""))</f>
        <v/>
      </c>
      <c r="L111" s="3" t="str">
        <f xml:space="preserve"> IF(K111="","",  IFERROR(VLOOKUP(I111,Resources!$B$1:$H$1503,5,FALSE)-LEN(K111),0))</f>
        <v/>
      </c>
      <c r="M111" s="3" t="str">
        <f>IF(K111="","",IFERROR(matches(K111,VLOOKUP(I111,Resources!$A$2:$AA$1503,16,FALSE)),FALSE))</f>
        <v/>
      </c>
      <c r="N111" s="3" t="e">
        <f>VLOOKUP(E111,Enviroments!$A$3:$D$59,1,FALSE)</f>
        <v>#N/A</v>
      </c>
      <c r="O111" s="3" t="e">
        <f>VLOOKUP(E111,Enviroments!$A$3:$D$59,2,FALSE)</f>
        <v>#N/A</v>
      </c>
      <c r="P111" s="3" t="e">
        <f>VLOOKUP(E111,Enviroments!$A$3:$D$59,3,FALSE)</f>
        <v>#N/A</v>
      </c>
      <c r="Q111" s="3" t="e">
        <f>VLOOKUP(E111,Enviroments!$A$3:$D$59,4,FALSE)</f>
        <v>#N/A</v>
      </c>
      <c r="R111" s="3" t="e">
        <f>VLOOKUP(H111,AzureRegions!$A$4:$B$1493,1,FALSE)</f>
        <v>#N/A</v>
      </c>
      <c r="S111" s="3" t="e">
        <f>VLOOKUP(H111,AzureRegions!$A$4:$B$1493,2,FALSE)</f>
        <v>#N/A</v>
      </c>
      <c r="T111" s="3" t="e">
        <f>VLOOKUP(H111,AzureRegions!$A$4:$C$1493,3,FALSE)</f>
        <v>#N/A</v>
      </c>
      <c r="U111" s="3" t="e">
        <f>VLOOKUP(I111,Resources!$A$2:$AA$1503,2,FALSE)</f>
        <v>#N/A</v>
      </c>
      <c r="V111" s="3" t="e">
        <f>VLOOKUP(I111,Resources!$A$2:$H$1503,6,FALSE)</f>
        <v>#N/A</v>
      </c>
      <c r="W111" s="3" t="str">
        <f>VLOOKUP($H$2,Casing!$A$4:$A$60,1,FALSE)</f>
        <v>Lower</v>
      </c>
      <c r="X111" s="14" t="str">
        <f t="shared" si="3"/>
        <v>001</v>
      </c>
      <c r="Y111" s="3" t="str">
        <f>IFERROR(VLOOKUP(F111,Func!$A$4:$G$1500,2,FALSE),"none")</f>
        <v>none</v>
      </c>
      <c r="Z111" s="3" t="e">
        <f>VLOOKUP(I111,Resources!$A$2:$AA$1503,18,FALSE)</f>
        <v>#N/A</v>
      </c>
      <c r="AA111" s="3" t="str">
        <f>IFERROR(VLOOKUP(B111,Orgs!$A$4:$G$1500,2,FALSE),"none")</f>
        <v>none</v>
      </c>
      <c r="AB111" s="3" t="str">
        <f>IFERROR(VLOOKUP(C111,UnitsDepts!$A$4:$G$1500,2,FALSE),"none")</f>
        <v>none</v>
      </c>
      <c r="AC111" s="3" t="str">
        <f>IFERROR(VLOOKUP(D111,ProjAppSvc!$A$4:$G$1500,2,FALSE),"none")</f>
        <v>none</v>
      </c>
    </row>
    <row r="112" spans="1:29" x14ac:dyDescent="0.45">
      <c r="A112" s="14" t="s">
        <v>23</v>
      </c>
      <c r="B112" s="14"/>
      <c r="C112" s="14"/>
      <c r="D112" s="14"/>
      <c r="H112" s="8"/>
      <c r="I112" s="3"/>
      <c r="J112" s="3" t="str">
        <f t="shared" si="4"/>
        <v/>
      </c>
      <c r="K112" s="3" t="str">
        <f>IF(ISNUMBER(SEARCH("-",V112)),IFERROR(IF($H$2="Lower", LOWER(ComputeResourceName(Z112,#REF!,#REF!,G112,N112,O112,P112,Q112,S112,T112,V112,A112)), UPPER(ComputeResourceName(Z112,#REF!,#REF!,G112,N112,O112,P112,Q112,S112,T112,V112,A112))),""),SUBSTITUTE(IFERROR(IF($H$2="Lower", LOWER(ComputeResourceName(#REF!,#REF!,#REF!,G112,N112,O112,P112,Q112,S112,T112,V112,A112)), UPPER(ComputeResourceName(#REF!,#REF!,#REF!,G112,N112,O112,P112,Q112,S112,T112,V112,A112))),""), "-",""))</f>
        <v/>
      </c>
      <c r="L112" s="3" t="str">
        <f xml:space="preserve"> IF(K112="","",  IFERROR(VLOOKUP(I112,Resources!$B$1:$H$1503,5,FALSE)-LEN(K112),0))</f>
        <v/>
      </c>
      <c r="M112" s="3" t="str">
        <f>IF(K112="","",IFERROR(matches(K112,VLOOKUP(I112,Resources!$A$2:$AA$1503,16,FALSE)),FALSE))</f>
        <v/>
      </c>
      <c r="N112" s="3" t="e">
        <f>VLOOKUP(E112,Enviroments!$A$3:$D$59,1,FALSE)</f>
        <v>#N/A</v>
      </c>
      <c r="O112" s="3" t="e">
        <f>VLOOKUP(E112,Enviroments!$A$3:$D$59,2,FALSE)</f>
        <v>#N/A</v>
      </c>
      <c r="P112" s="3" t="e">
        <f>VLOOKUP(E112,Enviroments!$A$3:$D$59,3,FALSE)</f>
        <v>#N/A</v>
      </c>
      <c r="Q112" s="3" t="e">
        <f>VLOOKUP(E112,Enviroments!$A$3:$D$59,4,FALSE)</f>
        <v>#N/A</v>
      </c>
      <c r="R112" s="3" t="e">
        <f>VLOOKUP(H112,AzureRegions!$A$4:$B$1493,1,FALSE)</f>
        <v>#N/A</v>
      </c>
      <c r="S112" s="3" t="e">
        <f>VLOOKUP(H112,AzureRegions!$A$4:$B$1493,2,FALSE)</f>
        <v>#N/A</v>
      </c>
      <c r="T112" s="3" t="e">
        <f>VLOOKUP(H112,AzureRegions!$A$4:$C$1493,3,FALSE)</f>
        <v>#N/A</v>
      </c>
      <c r="U112" s="3" t="e">
        <f>VLOOKUP(I112,Resources!$A$2:$AA$1503,2,FALSE)</f>
        <v>#N/A</v>
      </c>
      <c r="V112" s="3" t="e">
        <f>VLOOKUP(I112,Resources!$A$2:$H$1503,6,FALSE)</f>
        <v>#N/A</v>
      </c>
      <c r="W112" s="3" t="str">
        <f>VLOOKUP($H$2,Casing!$A$4:$A$60,1,FALSE)</f>
        <v>Lower</v>
      </c>
      <c r="X112" s="14" t="str">
        <f t="shared" si="3"/>
        <v>001</v>
      </c>
      <c r="Y112" s="3" t="str">
        <f>IFERROR(VLOOKUP(F112,Func!$A$4:$G$1500,2,FALSE),"none")</f>
        <v>none</v>
      </c>
      <c r="Z112" s="3" t="e">
        <f>VLOOKUP(I112,Resources!$A$2:$AA$1503,18,FALSE)</f>
        <v>#N/A</v>
      </c>
      <c r="AA112" s="3" t="str">
        <f>IFERROR(VLOOKUP(B112,Orgs!$A$4:$G$1500,2,FALSE),"none")</f>
        <v>none</v>
      </c>
      <c r="AB112" s="3" t="str">
        <f>IFERROR(VLOOKUP(C112,UnitsDepts!$A$4:$G$1500,2,FALSE),"none")</f>
        <v>none</v>
      </c>
      <c r="AC112" s="3" t="str">
        <f>IFERROR(VLOOKUP(D112,ProjAppSvc!$A$4:$G$1500,2,FALSE),"none")</f>
        <v>none</v>
      </c>
    </row>
    <row r="113" spans="1:29" x14ac:dyDescent="0.45">
      <c r="A113" s="14" t="s">
        <v>23</v>
      </c>
      <c r="B113" s="14"/>
      <c r="C113" s="14"/>
      <c r="D113" s="14"/>
      <c r="H113" s="8"/>
      <c r="I113" s="3"/>
      <c r="J113" s="3" t="str">
        <f t="shared" si="4"/>
        <v/>
      </c>
      <c r="K113" s="3" t="str">
        <f>IF(ISNUMBER(SEARCH("-",V113)),IFERROR(IF($H$2="Lower", LOWER(ComputeResourceName(Z113,#REF!,#REF!,G113,N113,O113,P113,Q113,S113,T113,V113,A113)), UPPER(ComputeResourceName(Z113,#REF!,#REF!,G113,N113,O113,P113,Q113,S113,T113,V113,A113))),""),SUBSTITUTE(IFERROR(IF($H$2="Lower", LOWER(ComputeResourceName(#REF!,#REF!,#REF!,G113,N113,O113,P113,Q113,S113,T113,V113,A113)), UPPER(ComputeResourceName(#REF!,#REF!,#REF!,G113,N113,O113,P113,Q113,S113,T113,V113,A113))),""), "-",""))</f>
        <v/>
      </c>
      <c r="L113" s="3" t="str">
        <f xml:space="preserve"> IF(K113="","",  IFERROR(VLOOKUP(I113,Resources!$B$1:$H$1503,5,FALSE)-LEN(K113),0))</f>
        <v/>
      </c>
      <c r="M113" s="3" t="str">
        <f>IF(K113="","",IFERROR(matches(K113,VLOOKUP(I113,Resources!$A$2:$AA$1503,16,FALSE)),FALSE))</f>
        <v/>
      </c>
      <c r="N113" s="3" t="e">
        <f>VLOOKUP(E113,Enviroments!$A$3:$D$59,1,FALSE)</f>
        <v>#N/A</v>
      </c>
      <c r="O113" s="3" t="e">
        <f>VLOOKUP(E113,Enviroments!$A$3:$D$59,2,FALSE)</f>
        <v>#N/A</v>
      </c>
      <c r="P113" s="3" t="e">
        <f>VLOOKUP(E113,Enviroments!$A$3:$D$59,3,FALSE)</f>
        <v>#N/A</v>
      </c>
      <c r="Q113" s="3" t="e">
        <f>VLOOKUP(E113,Enviroments!$A$3:$D$59,4,FALSE)</f>
        <v>#N/A</v>
      </c>
      <c r="R113" s="3" t="e">
        <f>VLOOKUP(H113,AzureRegions!$A$4:$B$1493,1,FALSE)</f>
        <v>#N/A</v>
      </c>
      <c r="S113" s="3" t="e">
        <f>VLOOKUP(H113,AzureRegions!$A$4:$B$1493,2,FALSE)</f>
        <v>#N/A</v>
      </c>
      <c r="T113" s="3" t="e">
        <f>VLOOKUP(H113,AzureRegions!$A$4:$C$1493,3,FALSE)</f>
        <v>#N/A</v>
      </c>
      <c r="U113" s="3" t="e">
        <f>VLOOKUP(I113,Resources!$A$2:$AA$1503,2,FALSE)</f>
        <v>#N/A</v>
      </c>
      <c r="V113" s="3" t="e">
        <f>VLOOKUP(I113,Resources!$A$2:$H$1503,6,FALSE)</f>
        <v>#N/A</v>
      </c>
      <c r="W113" s="3" t="str">
        <f>VLOOKUP($H$2,Casing!$A$4:$A$60,1,FALSE)</f>
        <v>Lower</v>
      </c>
      <c r="X113" s="14" t="str">
        <f t="shared" si="3"/>
        <v>001</v>
      </c>
      <c r="Y113" s="3" t="str">
        <f>IFERROR(VLOOKUP(F113,Func!$A$4:$G$1500,2,FALSE),"none")</f>
        <v>none</v>
      </c>
      <c r="Z113" s="3" t="e">
        <f>VLOOKUP(I113,Resources!$A$2:$AA$1503,18,FALSE)</f>
        <v>#N/A</v>
      </c>
      <c r="AA113" s="3" t="str">
        <f>IFERROR(VLOOKUP(B113,Orgs!$A$4:$G$1500,2,FALSE),"none")</f>
        <v>none</v>
      </c>
      <c r="AB113" s="3" t="str">
        <f>IFERROR(VLOOKUP(C113,UnitsDepts!$A$4:$G$1500,2,FALSE),"none")</f>
        <v>none</v>
      </c>
      <c r="AC113" s="3" t="str">
        <f>IFERROR(VLOOKUP(D113,ProjAppSvc!$A$4:$G$1500,2,FALSE),"none")</f>
        <v>none</v>
      </c>
    </row>
    <row r="114" spans="1:29" x14ac:dyDescent="0.45">
      <c r="A114" s="14" t="s">
        <v>23</v>
      </c>
      <c r="B114" s="14"/>
      <c r="C114" s="14"/>
      <c r="D114" s="14"/>
      <c r="H114" s="8"/>
      <c r="I114" s="3"/>
      <c r="J114" s="3" t="str">
        <f t="shared" si="4"/>
        <v/>
      </c>
      <c r="K114" s="3" t="str">
        <f>IF(ISNUMBER(SEARCH("-",V114)),IFERROR(IF($H$2="Lower", LOWER(ComputeResourceName(Z114,#REF!,#REF!,G114,N114,O114,P114,Q114,S114,T114,V114,A114)), UPPER(ComputeResourceName(Z114,#REF!,#REF!,G114,N114,O114,P114,Q114,S114,T114,V114,A114))),""),SUBSTITUTE(IFERROR(IF($H$2="Lower", LOWER(ComputeResourceName(#REF!,#REF!,#REF!,G114,N114,O114,P114,Q114,S114,T114,V114,A114)), UPPER(ComputeResourceName(#REF!,#REF!,#REF!,G114,N114,O114,P114,Q114,S114,T114,V114,A114))),""), "-",""))</f>
        <v/>
      </c>
      <c r="L114" s="3" t="str">
        <f xml:space="preserve"> IF(K114="","",  IFERROR(VLOOKUP(I114,Resources!$B$1:$H$1503,5,FALSE)-LEN(K114),0))</f>
        <v/>
      </c>
      <c r="M114" s="3" t="str">
        <f>IF(K114="","",IFERROR(matches(K114,VLOOKUP(I114,Resources!$A$2:$AA$1503,16,FALSE)),FALSE))</f>
        <v/>
      </c>
      <c r="N114" s="3" t="e">
        <f>VLOOKUP(E114,Enviroments!$A$3:$D$59,1,FALSE)</f>
        <v>#N/A</v>
      </c>
      <c r="O114" s="3" t="e">
        <f>VLOOKUP(E114,Enviroments!$A$3:$D$59,2,FALSE)</f>
        <v>#N/A</v>
      </c>
      <c r="P114" s="3" t="e">
        <f>VLOOKUP(E114,Enviroments!$A$3:$D$59,3,FALSE)</f>
        <v>#N/A</v>
      </c>
      <c r="Q114" s="3" t="e">
        <f>VLOOKUP(E114,Enviroments!$A$3:$D$59,4,FALSE)</f>
        <v>#N/A</v>
      </c>
      <c r="R114" s="3" t="e">
        <f>VLOOKUP(H114,AzureRegions!$A$4:$B$1493,1,FALSE)</f>
        <v>#N/A</v>
      </c>
      <c r="S114" s="3" t="e">
        <f>VLOOKUP(H114,AzureRegions!$A$4:$B$1493,2,FALSE)</f>
        <v>#N/A</v>
      </c>
      <c r="T114" s="3" t="e">
        <f>VLOOKUP(H114,AzureRegions!$A$4:$C$1493,3,FALSE)</f>
        <v>#N/A</v>
      </c>
      <c r="U114" s="3" t="e">
        <f>VLOOKUP(I114,Resources!$A$2:$AA$1503,2,FALSE)</f>
        <v>#N/A</v>
      </c>
      <c r="V114" s="3" t="e">
        <f>VLOOKUP(I114,Resources!$A$2:$H$1503,6,FALSE)</f>
        <v>#N/A</v>
      </c>
      <c r="W114" s="3" t="str">
        <f>VLOOKUP($H$2,Casing!$A$4:$A$60,1,FALSE)</f>
        <v>Lower</v>
      </c>
      <c r="X114" s="14" t="str">
        <f t="shared" si="3"/>
        <v>001</v>
      </c>
      <c r="Y114" s="3" t="str">
        <f>IFERROR(VLOOKUP(F114,Func!$A$4:$G$1500,2,FALSE),"none")</f>
        <v>none</v>
      </c>
      <c r="Z114" s="3" t="e">
        <f>VLOOKUP(I114,Resources!$A$2:$AA$1503,18,FALSE)</f>
        <v>#N/A</v>
      </c>
      <c r="AA114" s="3" t="str">
        <f>IFERROR(VLOOKUP(B114,Orgs!$A$4:$G$1500,2,FALSE),"none")</f>
        <v>none</v>
      </c>
      <c r="AB114" s="3" t="str">
        <f>IFERROR(VLOOKUP(C114,UnitsDepts!$A$4:$G$1500,2,FALSE),"none")</f>
        <v>none</v>
      </c>
      <c r="AC114" s="3" t="str">
        <f>IFERROR(VLOOKUP(D114,ProjAppSvc!$A$4:$G$1500,2,FALSE),"none")</f>
        <v>none</v>
      </c>
    </row>
    <row r="115" spans="1:29" x14ac:dyDescent="0.45">
      <c r="A115" s="14" t="s">
        <v>23</v>
      </c>
      <c r="B115" s="14"/>
      <c r="C115" s="14"/>
      <c r="D115" s="14"/>
      <c r="H115" s="8"/>
      <c r="I115" s="3"/>
      <c r="J115" s="3" t="str">
        <f t="shared" si="4"/>
        <v/>
      </c>
      <c r="K115" s="3" t="str">
        <f>IF(ISNUMBER(SEARCH("-",V115)),IFERROR(IF($H$2="Lower", LOWER(ComputeResourceName(Z115,#REF!,#REF!,G115,N115,O115,P115,Q115,S115,T115,V115,A115)), UPPER(ComputeResourceName(Z115,#REF!,#REF!,G115,N115,O115,P115,Q115,S115,T115,V115,A115))),""),SUBSTITUTE(IFERROR(IF($H$2="Lower", LOWER(ComputeResourceName(#REF!,#REF!,#REF!,G115,N115,O115,P115,Q115,S115,T115,V115,A115)), UPPER(ComputeResourceName(#REF!,#REF!,#REF!,G115,N115,O115,P115,Q115,S115,T115,V115,A115))),""), "-",""))</f>
        <v/>
      </c>
      <c r="L115" s="3" t="str">
        <f xml:space="preserve"> IF(K115="","",  IFERROR(VLOOKUP(I115,Resources!$B$1:$H$1503,5,FALSE)-LEN(K115),0))</f>
        <v/>
      </c>
      <c r="M115" s="3" t="str">
        <f>IF(K115="","",IFERROR(matches(K115,VLOOKUP(I115,Resources!$A$2:$AA$1503,16,FALSE)),FALSE))</f>
        <v/>
      </c>
      <c r="N115" s="3" t="e">
        <f>VLOOKUP(E115,Enviroments!$A$3:$D$59,1,FALSE)</f>
        <v>#N/A</v>
      </c>
      <c r="O115" s="3" t="e">
        <f>VLOOKUP(E115,Enviroments!$A$3:$D$59,2,FALSE)</f>
        <v>#N/A</v>
      </c>
      <c r="P115" s="3" t="e">
        <f>VLOOKUP(E115,Enviroments!$A$3:$D$59,3,FALSE)</f>
        <v>#N/A</v>
      </c>
      <c r="Q115" s="3" t="e">
        <f>VLOOKUP(E115,Enviroments!$A$3:$D$59,4,FALSE)</f>
        <v>#N/A</v>
      </c>
      <c r="R115" s="3" t="e">
        <f>VLOOKUP(H115,AzureRegions!$A$4:$B$1493,1,FALSE)</f>
        <v>#N/A</v>
      </c>
      <c r="S115" s="3" t="e">
        <f>VLOOKUP(H115,AzureRegions!$A$4:$B$1493,2,FALSE)</f>
        <v>#N/A</v>
      </c>
      <c r="T115" s="3" t="e">
        <f>VLOOKUP(H115,AzureRegions!$A$4:$C$1493,3,FALSE)</f>
        <v>#N/A</v>
      </c>
      <c r="U115" s="3" t="e">
        <f>VLOOKUP(I115,Resources!$A$2:$AA$1503,2,FALSE)</f>
        <v>#N/A</v>
      </c>
      <c r="V115" s="3" t="e">
        <f>VLOOKUP(I115,Resources!$A$2:$H$1503,6,FALSE)</f>
        <v>#N/A</v>
      </c>
      <c r="W115" s="3" t="str">
        <f>VLOOKUP($H$2,Casing!$A$4:$A$60,1,FALSE)</f>
        <v>Lower</v>
      </c>
      <c r="X115" s="14" t="str">
        <f t="shared" si="3"/>
        <v>001</v>
      </c>
      <c r="Y115" s="3" t="str">
        <f>IFERROR(VLOOKUP(F115,Func!$A$4:$G$1500,2,FALSE),"none")</f>
        <v>none</v>
      </c>
      <c r="Z115" s="3" t="e">
        <f>VLOOKUP(I115,Resources!$A$2:$AA$1503,18,FALSE)</f>
        <v>#N/A</v>
      </c>
      <c r="AA115" s="3" t="str">
        <f>IFERROR(VLOOKUP(B115,Orgs!$A$4:$G$1500,2,FALSE),"none")</f>
        <v>none</v>
      </c>
      <c r="AB115" s="3" t="str">
        <f>IFERROR(VLOOKUP(C115,UnitsDepts!$A$4:$G$1500,2,FALSE),"none")</f>
        <v>none</v>
      </c>
      <c r="AC115" s="3" t="str">
        <f>IFERROR(VLOOKUP(D115,ProjAppSvc!$A$4:$G$1500,2,FALSE),"none")</f>
        <v>none</v>
      </c>
    </row>
    <row r="116" spans="1:29" x14ac:dyDescent="0.45">
      <c r="A116" s="14" t="s">
        <v>23</v>
      </c>
      <c r="B116" s="14"/>
      <c r="C116" s="14"/>
      <c r="D116" s="14"/>
      <c r="H116" s="8"/>
      <c r="I116" s="3"/>
      <c r="J116" s="3" t="str">
        <f t="shared" si="4"/>
        <v/>
      </c>
      <c r="K116" s="3" t="str">
        <f>IF(ISNUMBER(SEARCH("-",V116)),IFERROR(IF($H$2="Lower", LOWER(ComputeResourceName(Z116,#REF!,#REF!,G116,N116,O116,P116,Q116,S116,T116,V116,A116)), UPPER(ComputeResourceName(Z116,#REF!,#REF!,G116,N116,O116,P116,Q116,S116,T116,V116,A116))),""),SUBSTITUTE(IFERROR(IF($H$2="Lower", LOWER(ComputeResourceName(#REF!,#REF!,#REF!,G116,N116,O116,P116,Q116,S116,T116,V116,A116)), UPPER(ComputeResourceName(#REF!,#REF!,#REF!,G116,N116,O116,P116,Q116,S116,T116,V116,A116))),""), "-",""))</f>
        <v/>
      </c>
      <c r="L116" s="3" t="str">
        <f xml:space="preserve"> IF(K116="","",  IFERROR(VLOOKUP(I116,Resources!$B$1:$H$1503,5,FALSE)-LEN(K116),0))</f>
        <v/>
      </c>
      <c r="M116" s="3" t="str">
        <f>IF(K116="","",IFERROR(matches(K116,VLOOKUP(I116,Resources!$A$2:$AA$1503,16,FALSE)),FALSE))</f>
        <v/>
      </c>
      <c r="N116" s="3" t="e">
        <f>VLOOKUP(E116,Enviroments!$A$3:$D$59,1,FALSE)</f>
        <v>#N/A</v>
      </c>
      <c r="O116" s="3" t="e">
        <f>VLOOKUP(E116,Enviroments!$A$3:$D$59,2,FALSE)</f>
        <v>#N/A</v>
      </c>
      <c r="P116" s="3" t="e">
        <f>VLOOKUP(E116,Enviroments!$A$3:$D$59,3,FALSE)</f>
        <v>#N/A</v>
      </c>
      <c r="Q116" s="3" t="e">
        <f>VLOOKUP(E116,Enviroments!$A$3:$D$59,4,FALSE)</f>
        <v>#N/A</v>
      </c>
      <c r="R116" s="3" t="e">
        <f>VLOOKUP(H116,AzureRegions!$A$4:$B$1493,1,FALSE)</f>
        <v>#N/A</v>
      </c>
      <c r="S116" s="3" t="e">
        <f>VLOOKUP(H116,AzureRegions!$A$4:$B$1493,2,FALSE)</f>
        <v>#N/A</v>
      </c>
      <c r="T116" s="3" t="e">
        <f>VLOOKUP(H116,AzureRegions!$A$4:$C$1493,3,FALSE)</f>
        <v>#N/A</v>
      </c>
      <c r="U116" s="3" t="e">
        <f>VLOOKUP(I116,Resources!$A$2:$AA$1503,2,FALSE)</f>
        <v>#N/A</v>
      </c>
      <c r="V116" s="3" t="e">
        <f>VLOOKUP(I116,Resources!$A$2:$H$1503,6,FALSE)</f>
        <v>#N/A</v>
      </c>
      <c r="W116" s="3" t="str">
        <f>VLOOKUP($H$2,Casing!$A$4:$A$60,1,FALSE)</f>
        <v>Lower</v>
      </c>
      <c r="X116" s="14" t="str">
        <f t="shared" si="3"/>
        <v>001</v>
      </c>
      <c r="Y116" s="3" t="str">
        <f>IFERROR(VLOOKUP(F116,Func!$A$4:$G$1500,2,FALSE),"none")</f>
        <v>none</v>
      </c>
      <c r="Z116" s="3" t="e">
        <f>VLOOKUP(I116,Resources!$A$2:$AA$1503,18,FALSE)</f>
        <v>#N/A</v>
      </c>
      <c r="AA116" s="3" t="str">
        <f>IFERROR(VLOOKUP(B116,Orgs!$A$4:$G$1500,2,FALSE),"none")</f>
        <v>none</v>
      </c>
      <c r="AB116" s="3" t="str">
        <f>IFERROR(VLOOKUP(C116,UnitsDepts!$A$4:$G$1500,2,FALSE),"none")</f>
        <v>none</v>
      </c>
      <c r="AC116" s="3" t="str">
        <f>IFERROR(VLOOKUP(D116,ProjAppSvc!$A$4:$G$1500,2,FALSE),"none")</f>
        <v>none</v>
      </c>
    </row>
    <row r="117" spans="1:29" x14ac:dyDescent="0.45">
      <c r="A117" s="14" t="s">
        <v>23</v>
      </c>
      <c r="B117" s="14"/>
      <c r="C117" s="14"/>
      <c r="D117" s="14"/>
      <c r="H117" s="8"/>
      <c r="I117" s="3"/>
      <c r="J117" s="3" t="str">
        <f t="shared" si="4"/>
        <v/>
      </c>
      <c r="K117" s="3" t="str">
        <f>IF(ISNUMBER(SEARCH("-",V117)),IFERROR(IF($H$2="Lower", LOWER(ComputeResourceName(Z117,#REF!,#REF!,G117,N117,O117,P117,Q117,S117,T117,V117,A117)), UPPER(ComputeResourceName(Z117,#REF!,#REF!,G117,N117,O117,P117,Q117,S117,T117,V117,A117))),""),SUBSTITUTE(IFERROR(IF($H$2="Lower", LOWER(ComputeResourceName(#REF!,#REF!,#REF!,G117,N117,O117,P117,Q117,S117,T117,V117,A117)), UPPER(ComputeResourceName(#REF!,#REF!,#REF!,G117,N117,O117,P117,Q117,S117,T117,V117,A117))),""), "-",""))</f>
        <v/>
      </c>
      <c r="L117" s="3" t="str">
        <f xml:space="preserve"> IF(K117="","",  IFERROR(VLOOKUP(I117,Resources!$B$1:$H$1503,5,FALSE)-LEN(K117),0))</f>
        <v/>
      </c>
      <c r="M117" s="3" t="str">
        <f>IF(K117="","",IFERROR(matches(K117,VLOOKUP(I117,Resources!$A$2:$AA$1503,16,FALSE)),FALSE))</f>
        <v/>
      </c>
      <c r="N117" s="3" t="e">
        <f>VLOOKUP(E117,Enviroments!$A$3:$D$59,1,FALSE)</f>
        <v>#N/A</v>
      </c>
      <c r="O117" s="3" t="e">
        <f>VLOOKUP(E117,Enviroments!$A$3:$D$59,2,FALSE)</f>
        <v>#N/A</v>
      </c>
      <c r="P117" s="3" t="e">
        <f>VLOOKUP(E117,Enviroments!$A$3:$D$59,3,FALSE)</f>
        <v>#N/A</v>
      </c>
      <c r="Q117" s="3" t="e">
        <f>VLOOKUP(E117,Enviroments!$A$3:$D$59,4,FALSE)</f>
        <v>#N/A</v>
      </c>
      <c r="R117" s="3" t="e">
        <f>VLOOKUP(H117,AzureRegions!$A$4:$B$1493,1,FALSE)</f>
        <v>#N/A</v>
      </c>
      <c r="S117" s="3" t="e">
        <f>VLOOKUP(H117,AzureRegions!$A$4:$B$1493,2,FALSE)</f>
        <v>#N/A</v>
      </c>
      <c r="T117" s="3" t="e">
        <f>VLOOKUP(H117,AzureRegions!$A$4:$C$1493,3,FALSE)</f>
        <v>#N/A</v>
      </c>
      <c r="U117" s="3" t="e">
        <f>VLOOKUP(I117,Resources!$A$2:$AA$1503,2,FALSE)</f>
        <v>#N/A</v>
      </c>
      <c r="V117" s="3" t="e">
        <f>VLOOKUP(I117,Resources!$A$2:$H$1503,6,FALSE)</f>
        <v>#N/A</v>
      </c>
      <c r="W117" s="3" t="str">
        <f>VLOOKUP($H$2,Casing!$A$4:$A$60,1,FALSE)</f>
        <v>Lower</v>
      </c>
      <c r="X117" s="14" t="str">
        <f t="shared" si="3"/>
        <v>001</v>
      </c>
      <c r="Y117" s="3" t="str">
        <f>IFERROR(VLOOKUP(F117,Func!$A$4:$G$1500,2,FALSE),"none")</f>
        <v>none</v>
      </c>
      <c r="Z117" s="3" t="e">
        <f>VLOOKUP(I117,Resources!$A$2:$AA$1503,18,FALSE)</f>
        <v>#N/A</v>
      </c>
      <c r="AA117" s="3" t="str">
        <f>IFERROR(VLOOKUP(B117,Orgs!$A$4:$G$1500,2,FALSE),"none")</f>
        <v>none</v>
      </c>
      <c r="AB117" s="3" t="str">
        <f>IFERROR(VLOOKUP(C117,UnitsDepts!$A$4:$G$1500,2,FALSE),"none")</f>
        <v>none</v>
      </c>
      <c r="AC117" s="3" t="str">
        <f>IFERROR(VLOOKUP(D117,ProjAppSvc!$A$4:$G$1500,2,FALSE),"none")</f>
        <v>none</v>
      </c>
    </row>
    <row r="118" spans="1:29" x14ac:dyDescent="0.45">
      <c r="A118" s="14" t="s">
        <v>23</v>
      </c>
      <c r="B118" s="14"/>
      <c r="C118" s="14"/>
      <c r="D118" s="14"/>
      <c r="H118" s="8"/>
      <c r="I118" s="3"/>
      <c r="J118" s="3" t="str">
        <f t="shared" si="4"/>
        <v/>
      </c>
      <c r="K118" s="3" t="str">
        <f>IF(ISNUMBER(SEARCH("-",V118)),IFERROR(IF($H$2="Lower", LOWER(ComputeResourceName(Z118,#REF!,#REF!,G118,N118,O118,P118,Q118,S118,T118,V118,A118)), UPPER(ComputeResourceName(Z118,#REF!,#REF!,G118,N118,O118,P118,Q118,S118,T118,V118,A118))),""),SUBSTITUTE(IFERROR(IF($H$2="Lower", LOWER(ComputeResourceName(#REF!,#REF!,#REF!,G118,N118,O118,P118,Q118,S118,T118,V118,A118)), UPPER(ComputeResourceName(#REF!,#REF!,#REF!,G118,N118,O118,P118,Q118,S118,T118,V118,A118))),""), "-",""))</f>
        <v/>
      </c>
      <c r="L118" s="3" t="str">
        <f xml:space="preserve"> IF(K118="","",  IFERROR(VLOOKUP(I118,Resources!$B$1:$H$1503,5,FALSE)-LEN(K118),0))</f>
        <v/>
      </c>
      <c r="M118" s="3" t="str">
        <f>IF(K118="","",IFERROR(matches(K118,VLOOKUP(I118,Resources!$A$2:$AA$1503,16,FALSE)),FALSE))</f>
        <v/>
      </c>
      <c r="N118" s="3" t="e">
        <f>VLOOKUP(E118,Enviroments!$A$3:$D$59,1,FALSE)</f>
        <v>#N/A</v>
      </c>
      <c r="O118" s="3" t="e">
        <f>VLOOKUP(E118,Enviroments!$A$3:$D$59,2,FALSE)</f>
        <v>#N/A</v>
      </c>
      <c r="P118" s="3" t="e">
        <f>VLOOKUP(E118,Enviroments!$A$3:$D$59,3,FALSE)</f>
        <v>#N/A</v>
      </c>
      <c r="Q118" s="3" t="e">
        <f>VLOOKUP(E118,Enviroments!$A$3:$D$59,4,FALSE)</f>
        <v>#N/A</v>
      </c>
      <c r="R118" s="3" t="e">
        <f>VLOOKUP(H118,AzureRegions!$A$4:$B$1493,1,FALSE)</f>
        <v>#N/A</v>
      </c>
      <c r="S118" s="3" t="e">
        <f>VLOOKUP(H118,AzureRegions!$A$4:$B$1493,2,FALSE)</f>
        <v>#N/A</v>
      </c>
      <c r="T118" s="3" t="e">
        <f>VLOOKUP(H118,AzureRegions!$A$4:$C$1493,3,FALSE)</f>
        <v>#N/A</v>
      </c>
      <c r="U118" s="3" t="e">
        <f>VLOOKUP(I118,Resources!$A$2:$AA$1503,2,FALSE)</f>
        <v>#N/A</v>
      </c>
      <c r="V118" s="3" t="e">
        <f>VLOOKUP(I118,Resources!$A$2:$H$1503,6,FALSE)</f>
        <v>#N/A</v>
      </c>
      <c r="W118" s="3" t="str">
        <f>VLOOKUP($H$2,Casing!$A$4:$A$60,1,FALSE)</f>
        <v>Lower</v>
      </c>
      <c r="X118" s="14" t="str">
        <f t="shared" si="3"/>
        <v>001</v>
      </c>
      <c r="Y118" s="3" t="str">
        <f>IFERROR(VLOOKUP(F118,Func!$A$4:$G$1500,2,FALSE),"none")</f>
        <v>none</v>
      </c>
      <c r="Z118" s="3" t="e">
        <f>VLOOKUP(I118,Resources!$A$2:$AA$1503,18,FALSE)</f>
        <v>#N/A</v>
      </c>
      <c r="AA118" s="3" t="str">
        <f>IFERROR(VLOOKUP(B118,Orgs!$A$4:$G$1500,2,FALSE),"none")</f>
        <v>none</v>
      </c>
      <c r="AB118" s="3" t="str">
        <f>IFERROR(VLOOKUP(C118,UnitsDepts!$A$4:$G$1500,2,FALSE),"none")</f>
        <v>none</v>
      </c>
      <c r="AC118" s="3" t="str">
        <f>IFERROR(VLOOKUP(D118,ProjAppSvc!$A$4:$G$1500,2,FALSE),"none")</f>
        <v>none</v>
      </c>
    </row>
    <row r="119" spans="1:29" x14ac:dyDescent="0.45">
      <c r="A119" s="14" t="s">
        <v>23</v>
      </c>
      <c r="B119" s="14"/>
      <c r="C119" s="14"/>
      <c r="D119" s="14"/>
      <c r="H119" s="8"/>
      <c r="I119" s="3"/>
      <c r="J119" s="3" t="str">
        <f t="shared" si="4"/>
        <v/>
      </c>
      <c r="K119" s="3" t="str">
        <f>IF(ISNUMBER(SEARCH("-",V119)),IFERROR(IF($H$2="Lower", LOWER(ComputeResourceName(Z119,#REF!,#REF!,G119,N119,O119,P119,Q119,S119,T119,V119,A119)), UPPER(ComputeResourceName(Z119,#REF!,#REF!,G119,N119,O119,P119,Q119,S119,T119,V119,A119))),""),SUBSTITUTE(IFERROR(IF($H$2="Lower", LOWER(ComputeResourceName(#REF!,#REF!,#REF!,G119,N119,O119,P119,Q119,S119,T119,V119,A119)), UPPER(ComputeResourceName(#REF!,#REF!,#REF!,G119,N119,O119,P119,Q119,S119,T119,V119,A119))),""), "-",""))</f>
        <v/>
      </c>
      <c r="L119" s="3" t="str">
        <f xml:space="preserve"> IF(K119="","",  IFERROR(VLOOKUP(I119,Resources!$B$1:$H$1503,5,FALSE)-LEN(K119),0))</f>
        <v/>
      </c>
      <c r="M119" s="3" t="str">
        <f>IF(K119="","",IFERROR(matches(K119,VLOOKUP(I119,Resources!$A$2:$AA$1503,16,FALSE)),FALSE))</f>
        <v/>
      </c>
      <c r="N119" s="3" t="e">
        <f>VLOOKUP(E119,Enviroments!$A$3:$D$59,1,FALSE)</f>
        <v>#N/A</v>
      </c>
      <c r="O119" s="3" t="e">
        <f>VLOOKUP(E119,Enviroments!$A$3:$D$59,2,FALSE)</f>
        <v>#N/A</v>
      </c>
      <c r="P119" s="3" t="e">
        <f>VLOOKUP(E119,Enviroments!$A$3:$D$59,3,FALSE)</f>
        <v>#N/A</v>
      </c>
      <c r="Q119" s="3" t="e">
        <f>VLOOKUP(E119,Enviroments!$A$3:$D$59,4,FALSE)</f>
        <v>#N/A</v>
      </c>
      <c r="R119" s="3" t="e">
        <f>VLOOKUP(H119,AzureRegions!$A$4:$B$1493,1,FALSE)</f>
        <v>#N/A</v>
      </c>
      <c r="S119" s="3" t="e">
        <f>VLOOKUP(H119,AzureRegions!$A$4:$B$1493,2,FALSE)</f>
        <v>#N/A</v>
      </c>
      <c r="T119" s="3" t="e">
        <f>VLOOKUP(H119,AzureRegions!$A$4:$C$1493,3,FALSE)</f>
        <v>#N/A</v>
      </c>
      <c r="U119" s="3" t="e">
        <f>VLOOKUP(I119,Resources!$A$2:$AA$1503,2,FALSE)</f>
        <v>#N/A</v>
      </c>
      <c r="V119" s="3" t="e">
        <f>VLOOKUP(I119,Resources!$A$2:$H$1503,6,FALSE)</f>
        <v>#N/A</v>
      </c>
      <c r="W119" s="3" t="str">
        <f>VLOOKUP($H$2,Casing!$A$4:$A$60,1,FALSE)</f>
        <v>Lower</v>
      </c>
      <c r="X119" s="14" t="str">
        <f t="shared" si="3"/>
        <v>001</v>
      </c>
      <c r="Y119" s="3" t="str">
        <f>IFERROR(VLOOKUP(F119,Func!$A$4:$G$1500,2,FALSE),"none")</f>
        <v>none</v>
      </c>
      <c r="Z119" s="3" t="e">
        <f>VLOOKUP(I119,Resources!$A$2:$AA$1503,18,FALSE)</f>
        <v>#N/A</v>
      </c>
      <c r="AA119" s="3" t="str">
        <f>IFERROR(VLOOKUP(B119,Orgs!$A$4:$G$1500,2,FALSE),"none")</f>
        <v>none</v>
      </c>
      <c r="AB119" s="3" t="str">
        <f>IFERROR(VLOOKUP(C119,UnitsDepts!$A$4:$G$1500,2,FALSE),"none")</f>
        <v>none</v>
      </c>
      <c r="AC119" s="3" t="str">
        <f>IFERROR(VLOOKUP(D119,ProjAppSvc!$A$4:$G$1500,2,FALSE),"none")</f>
        <v>none</v>
      </c>
    </row>
    <row r="120" spans="1:29" x14ac:dyDescent="0.45">
      <c r="A120" s="14" t="s">
        <v>23</v>
      </c>
      <c r="B120" s="14"/>
      <c r="C120" s="14"/>
      <c r="D120" s="14"/>
      <c r="H120" s="8"/>
      <c r="I120" s="3"/>
      <c r="J120" s="3" t="str">
        <f t="shared" si="4"/>
        <v/>
      </c>
      <c r="K120" s="3" t="str">
        <f>IF(ISNUMBER(SEARCH("-",V120)),IFERROR(IF($H$2="Lower", LOWER(ComputeResourceName(Z120,#REF!,#REF!,G120,N120,O120,P120,Q120,S120,T120,V120,A120)), UPPER(ComputeResourceName(Z120,#REF!,#REF!,G120,N120,O120,P120,Q120,S120,T120,V120,A120))),""),SUBSTITUTE(IFERROR(IF($H$2="Lower", LOWER(ComputeResourceName(#REF!,#REF!,#REF!,G120,N120,O120,P120,Q120,S120,T120,V120,A120)), UPPER(ComputeResourceName(#REF!,#REF!,#REF!,G120,N120,O120,P120,Q120,S120,T120,V120,A120))),""), "-",""))</f>
        <v/>
      </c>
      <c r="L120" s="3" t="str">
        <f xml:space="preserve"> IF(K120="","",  IFERROR(VLOOKUP(I120,Resources!$B$1:$H$1503,5,FALSE)-LEN(K120),0))</f>
        <v/>
      </c>
      <c r="M120" s="3" t="str">
        <f>IF(K120="","",IFERROR(matches(K120,VLOOKUP(I120,Resources!$A$2:$AA$1503,16,FALSE)),FALSE))</f>
        <v/>
      </c>
      <c r="N120" s="3" t="e">
        <f>VLOOKUP(E120,Enviroments!$A$3:$D$59,1,FALSE)</f>
        <v>#N/A</v>
      </c>
      <c r="O120" s="3" t="e">
        <f>VLOOKUP(E120,Enviroments!$A$3:$D$59,2,FALSE)</f>
        <v>#N/A</v>
      </c>
      <c r="P120" s="3" t="e">
        <f>VLOOKUP(E120,Enviroments!$A$3:$D$59,3,FALSE)</f>
        <v>#N/A</v>
      </c>
      <c r="Q120" s="3" t="e">
        <f>VLOOKUP(E120,Enviroments!$A$3:$D$59,4,FALSE)</f>
        <v>#N/A</v>
      </c>
      <c r="R120" s="3" t="e">
        <f>VLOOKUP(H120,AzureRegions!$A$4:$B$1493,1,FALSE)</f>
        <v>#N/A</v>
      </c>
      <c r="S120" s="3" t="e">
        <f>VLOOKUP(H120,AzureRegions!$A$4:$B$1493,2,FALSE)</f>
        <v>#N/A</v>
      </c>
      <c r="T120" s="3" t="e">
        <f>VLOOKUP(H120,AzureRegions!$A$4:$C$1493,3,FALSE)</f>
        <v>#N/A</v>
      </c>
      <c r="U120" s="3" t="e">
        <f>VLOOKUP(I120,Resources!$A$2:$AA$1503,2,FALSE)</f>
        <v>#N/A</v>
      </c>
      <c r="V120" s="3" t="e">
        <f>VLOOKUP(I120,Resources!$A$2:$H$1503,6,FALSE)</f>
        <v>#N/A</v>
      </c>
      <c r="W120" s="3" t="str">
        <f>VLOOKUP($H$2,Casing!$A$4:$A$60,1,FALSE)</f>
        <v>Lower</v>
      </c>
      <c r="X120" s="14" t="str">
        <f t="shared" si="3"/>
        <v>001</v>
      </c>
      <c r="Y120" s="3" t="str">
        <f>IFERROR(VLOOKUP(F120,Func!$A$4:$G$1500,2,FALSE),"none")</f>
        <v>none</v>
      </c>
      <c r="Z120" s="3" t="e">
        <f>VLOOKUP(I120,Resources!$A$2:$AA$1503,18,FALSE)</f>
        <v>#N/A</v>
      </c>
      <c r="AA120" s="3" t="str">
        <f>IFERROR(VLOOKUP(B120,Orgs!$A$4:$G$1500,2,FALSE),"none")</f>
        <v>none</v>
      </c>
      <c r="AB120" s="3" t="str">
        <f>IFERROR(VLOOKUP(C120,UnitsDepts!$A$4:$G$1500,2,FALSE),"none")</f>
        <v>none</v>
      </c>
      <c r="AC120" s="3" t="str">
        <f>IFERROR(VLOOKUP(D120,ProjAppSvc!$A$4:$G$1500,2,FALSE),"none")</f>
        <v>none</v>
      </c>
    </row>
    <row r="121" spans="1:29" x14ac:dyDescent="0.45">
      <c r="A121" s="14" t="s">
        <v>23</v>
      </c>
      <c r="B121" s="14"/>
      <c r="C121" s="14"/>
      <c r="D121" s="14"/>
      <c r="H121" s="8"/>
      <c r="I121" s="3"/>
      <c r="J121" s="3" t="str">
        <f t="shared" si="4"/>
        <v/>
      </c>
      <c r="K121" s="3" t="str">
        <f>IF(ISNUMBER(SEARCH("-",V121)),IFERROR(IF($H$2="Lower", LOWER(ComputeResourceName(Z121,#REF!,#REF!,G121,N121,O121,P121,Q121,S121,T121,V121,A121)), UPPER(ComputeResourceName(Z121,#REF!,#REF!,G121,N121,O121,P121,Q121,S121,T121,V121,A121))),""),SUBSTITUTE(IFERROR(IF($H$2="Lower", LOWER(ComputeResourceName(#REF!,#REF!,#REF!,G121,N121,O121,P121,Q121,S121,T121,V121,A121)), UPPER(ComputeResourceName(#REF!,#REF!,#REF!,G121,N121,O121,P121,Q121,S121,T121,V121,A121))),""), "-",""))</f>
        <v/>
      </c>
      <c r="L121" s="3" t="str">
        <f xml:space="preserve"> IF(K121="","",  IFERROR(VLOOKUP(I121,Resources!$B$1:$H$1503,5,FALSE)-LEN(K121),0))</f>
        <v/>
      </c>
      <c r="M121" s="3" t="str">
        <f>IF(K121="","",IFERROR(matches(K121,VLOOKUP(I121,Resources!$A$2:$AA$1503,16,FALSE)),FALSE))</f>
        <v/>
      </c>
      <c r="N121" s="3" t="e">
        <f>VLOOKUP(E121,Enviroments!$A$3:$D$59,1,FALSE)</f>
        <v>#N/A</v>
      </c>
      <c r="O121" s="3" t="e">
        <f>VLOOKUP(E121,Enviroments!$A$3:$D$59,2,FALSE)</f>
        <v>#N/A</v>
      </c>
      <c r="P121" s="3" t="e">
        <f>VLOOKUP(E121,Enviroments!$A$3:$D$59,3,FALSE)</f>
        <v>#N/A</v>
      </c>
      <c r="Q121" s="3" t="e">
        <f>VLOOKUP(E121,Enviroments!$A$3:$D$59,4,FALSE)</f>
        <v>#N/A</v>
      </c>
      <c r="R121" s="3" t="e">
        <f>VLOOKUP(H121,AzureRegions!$A$4:$B$1493,1,FALSE)</f>
        <v>#N/A</v>
      </c>
      <c r="S121" s="3" t="e">
        <f>VLOOKUP(H121,AzureRegions!$A$4:$B$1493,2,FALSE)</f>
        <v>#N/A</v>
      </c>
      <c r="T121" s="3" t="e">
        <f>VLOOKUP(H121,AzureRegions!$A$4:$C$1493,3,FALSE)</f>
        <v>#N/A</v>
      </c>
      <c r="U121" s="3" t="e">
        <f>VLOOKUP(I121,Resources!$A$2:$AA$1503,2,FALSE)</f>
        <v>#N/A</v>
      </c>
      <c r="V121" s="3" t="e">
        <f>VLOOKUP(I121,Resources!$A$2:$H$1503,6,FALSE)</f>
        <v>#N/A</v>
      </c>
      <c r="W121" s="3" t="str">
        <f>VLOOKUP($H$2,Casing!$A$4:$A$60,1,FALSE)</f>
        <v>Lower</v>
      </c>
      <c r="X121" s="14" t="str">
        <f t="shared" si="3"/>
        <v>001</v>
      </c>
      <c r="Y121" s="3" t="str">
        <f>IFERROR(VLOOKUP(F121,Func!$A$4:$G$1500,2,FALSE),"none")</f>
        <v>none</v>
      </c>
      <c r="Z121" s="3" t="e">
        <f>VLOOKUP(I121,Resources!$A$2:$AA$1503,18,FALSE)</f>
        <v>#N/A</v>
      </c>
      <c r="AA121" s="3" t="str">
        <f>IFERROR(VLOOKUP(B121,Orgs!$A$4:$G$1500,2,FALSE),"none")</f>
        <v>none</v>
      </c>
      <c r="AB121" s="3" t="str">
        <f>IFERROR(VLOOKUP(C121,UnitsDepts!$A$4:$G$1500,2,FALSE),"none")</f>
        <v>none</v>
      </c>
      <c r="AC121" s="3" t="str">
        <f>IFERROR(VLOOKUP(D121,ProjAppSvc!$A$4:$G$1500,2,FALSE),"none")</f>
        <v>none</v>
      </c>
    </row>
    <row r="122" spans="1:29" x14ac:dyDescent="0.45">
      <c r="A122" s="14" t="s">
        <v>23</v>
      </c>
      <c r="B122" s="14"/>
      <c r="C122" s="14"/>
      <c r="D122" s="14"/>
      <c r="H122" s="8"/>
      <c r="I122" s="3"/>
      <c r="J122" s="3" t="str">
        <f t="shared" si="4"/>
        <v/>
      </c>
      <c r="K122" s="3" t="str">
        <f>IF(ISNUMBER(SEARCH("-",V122)),IFERROR(IF($H$2="Lower", LOWER(ComputeResourceName(Z122,#REF!,#REF!,G122,N122,O122,P122,Q122,S122,T122,V122,A122)), UPPER(ComputeResourceName(Z122,#REF!,#REF!,G122,N122,O122,P122,Q122,S122,T122,V122,A122))),""),SUBSTITUTE(IFERROR(IF($H$2="Lower", LOWER(ComputeResourceName(#REF!,#REF!,#REF!,G122,N122,O122,P122,Q122,S122,T122,V122,A122)), UPPER(ComputeResourceName(#REF!,#REF!,#REF!,G122,N122,O122,P122,Q122,S122,T122,V122,A122))),""), "-",""))</f>
        <v/>
      </c>
      <c r="L122" s="3" t="str">
        <f xml:space="preserve"> IF(K122="","",  IFERROR(VLOOKUP(I122,Resources!$B$1:$H$1503,5,FALSE)-LEN(K122),0))</f>
        <v/>
      </c>
      <c r="M122" s="3" t="str">
        <f>IF(K122="","",IFERROR(matches(K122,VLOOKUP(I122,Resources!$A$2:$AA$1503,16,FALSE)),FALSE))</f>
        <v/>
      </c>
      <c r="N122" s="3" t="e">
        <f>VLOOKUP(E122,Enviroments!$A$3:$D$59,1,FALSE)</f>
        <v>#N/A</v>
      </c>
      <c r="O122" s="3" t="e">
        <f>VLOOKUP(E122,Enviroments!$A$3:$D$59,2,FALSE)</f>
        <v>#N/A</v>
      </c>
      <c r="P122" s="3" t="e">
        <f>VLOOKUP(E122,Enviroments!$A$3:$D$59,3,FALSE)</f>
        <v>#N/A</v>
      </c>
      <c r="Q122" s="3" t="e">
        <f>VLOOKUP(E122,Enviroments!$A$3:$D$59,4,FALSE)</f>
        <v>#N/A</v>
      </c>
      <c r="R122" s="3" t="e">
        <f>VLOOKUP(H122,AzureRegions!$A$4:$B$1493,1,FALSE)</f>
        <v>#N/A</v>
      </c>
      <c r="S122" s="3" t="e">
        <f>VLOOKUP(H122,AzureRegions!$A$4:$B$1493,2,FALSE)</f>
        <v>#N/A</v>
      </c>
      <c r="T122" s="3" t="e">
        <f>VLOOKUP(H122,AzureRegions!$A$4:$C$1493,3,FALSE)</f>
        <v>#N/A</v>
      </c>
      <c r="U122" s="3" t="e">
        <f>VLOOKUP(I122,Resources!$A$2:$AA$1503,2,FALSE)</f>
        <v>#N/A</v>
      </c>
      <c r="V122" s="3" t="e">
        <f>VLOOKUP(I122,Resources!$A$2:$H$1503,6,FALSE)</f>
        <v>#N/A</v>
      </c>
      <c r="W122" s="3" t="str">
        <f>VLOOKUP($H$2,Casing!$A$4:$A$60,1,FALSE)</f>
        <v>Lower</v>
      </c>
      <c r="X122" s="14" t="str">
        <f t="shared" si="3"/>
        <v>001</v>
      </c>
      <c r="Y122" s="3" t="str">
        <f>IFERROR(VLOOKUP(F122,Func!$A$4:$G$1500,2,FALSE),"none")</f>
        <v>none</v>
      </c>
      <c r="Z122" s="3" t="e">
        <f>VLOOKUP(I122,Resources!$A$2:$AA$1503,18,FALSE)</f>
        <v>#N/A</v>
      </c>
      <c r="AA122" s="3" t="str">
        <f>IFERROR(VLOOKUP(B122,Orgs!$A$4:$G$1500,2,FALSE),"none")</f>
        <v>none</v>
      </c>
      <c r="AB122" s="3" t="str">
        <f>IFERROR(VLOOKUP(C122,UnitsDepts!$A$4:$G$1500,2,FALSE),"none")</f>
        <v>none</v>
      </c>
      <c r="AC122" s="3" t="str">
        <f>IFERROR(VLOOKUP(D122,ProjAppSvc!$A$4:$G$1500,2,FALSE),"none")</f>
        <v>none</v>
      </c>
    </row>
    <row r="123" spans="1:29" x14ac:dyDescent="0.45">
      <c r="A123" s="14" t="s">
        <v>23</v>
      </c>
      <c r="B123" s="14"/>
      <c r="C123" s="14"/>
      <c r="D123" s="14"/>
      <c r="H123" s="8"/>
      <c r="I123" s="3"/>
      <c r="J123" s="3" t="str">
        <f t="shared" si="4"/>
        <v/>
      </c>
      <c r="K123" s="3" t="str">
        <f>IF(ISNUMBER(SEARCH("-",V123)),IFERROR(IF($H$2="Lower", LOWER(ComputeResourceName(Z123,#REF!,#REF!,G123,N123,O123,P123,Q123,S123,T123,V123,A123)), UPPER(ComputeResourceName(Z123,#REF!,#REF!,G123,N123,O123,P123,Q123,S123,T123,V123,A123))),""),SUBSTITUTE(IFERROR(IF($H$2="Lower", LOWER(ComputeResourceName(#REF!,#REF!,#REF!,G123,N123,O123,P123,Q123,S123,T123,V123,A123)), UPPER(ComputeResourceName(#REF!,#REF!,#REF!,G123,N123,O123,P123,Q123,S123,T123,V123,A123))),""), "-",""))</f>
        <v/>
      </c>
      <c r="L123" s="3" t="str">
        <f xml:space="preserve"> IF(K123="","",  IFERROR(VLOOKUP(I123,Resources!$B$1:$H$1503,5,FALSE)-LEN(K123),0))</f>
        <v/>
      </c>
      <c r="M123" s="3" t="str">
        <f>IF(K123="","",IFERROR(matches(K123,VLOOKUP(I123,Resources!$A$2:$AA$1503,16,FALSE)),FALSE))</f>
        <v/>
      </c>
      <c r="N123" s="3" t="e">
        <f>VLOOKUP(E123,Enviroments!$A$3:$D$59,1,FALSE)</f>
        <v>#N/A</v>
      </c>
      <c r="O123" s="3" t="e">
        <f>VLOOKUP(E123,Enviroments!$A$3:$D$59,2,FALSE)</f>
        <v>#N/A</v>
      </c>
      <c r="P123" s="3" t="e">
        <f>VLOOKUP(E123,Enviroments!$A$3:$D$59,3,FALSE)</f>
        <v>#N/A</v>
      </c>
      <c r="Q123" s="3" t="e">
        <f>VLOOKUP(E123,Enviroments!$A$3:$D$59,4,FALSE)</f>
        <v>#N/A</v>
      </c>
      <c r="R123" s="3" t="e">
        <f>VLOOKUP(H123,AzureRegions!$A$4:$B$1493,1,FALSE)</f>
        <v>#N/A</v>
      </c>
      <c r="S123" s="3" t="e">
        <f>VLOOKUP(H123,AzureRegions!$A$4:$B$1493,2,FALSE)</f>
        <v>#N/A</v>
      </c>
      <c r="T123" s="3" t="e">
        <f>VLOOKUP(H123,AzureRegions!$A$4:$C$1493,3,FALSE)</f>
        <v>#N/A</v>
      </c>
      <c r="U123" s="3" t="e">
        <f>VLOOKUP(I123,Resources!$A$2:$AA$1503,2,FALSE)</f>
        <v>#N/A</v>
      </c>
      <c r="V123" s="3" t="e">
        <f>VLOOKUP(I123,Resources!$A$2:$H$1503,6,FALSE)</f>
        <v>#N/A</v>
      </c>
      <c r="W123" s="3" t="str">
        <f>VLOOKUP($H$2,Casing!$A$4:$A$60,1,FALSE)</f>
        <v>Lower</v>
      </c>
      <c r="X123" s="14" t="str">
        <f t="shared" si="3"/>
        <v>001</v>
      </c>
      <c r="Y123" s="3" t="str">
        <f>IFERROR(VLOOKUP(F123,Func!$A$4:$G$1500,2,FALSE),"none")</f>
        <v>none</v>
      </c>
      <c r="Z123" s="3" t="e">
        <f>VLOOKUP(I123,Resources!$A$2:$AA$1503,18,FALSE)</f>
        <v>#N/A</v>
      </c>
      <c r="AA123" s="3" t="str">
        <f>IFERROR(VLOOKUP(B123,Orgs!$A$4:$G$1500,2,FALSE),"none")</f>
        <v>none</v>
      </c>
      <c r="AB123" s="3" t="str">
        <f>IFERROR(VLOOKUP(C123,UnitsDepts!$A$4:$G$1500,2,FALSE),"none")</f>
        <v>none</v>
      </c>
      <c r="AC123" s="3" t="str">
        <f>IFERROR(VLOOKUP(D123,ProjAppSvc!$A$4:$G$1500,2,FALSE),"none")</f>
        <v>none</v>
      </c>
    </row>
    <row r="124" spans="1:29" x14ac:dyDescent="0.45">
      <c r="A124" s="14" t="s">
        <v>23</v>
      </c>
      <c r="B124" s="14"/>
      <c r="C124" s="14"/>
      <c r="D124" s="14"/>
      <c r="H124" s="8"/>
      <c r="I124" s="3"/>
      <c r="J124" s="3" t="str">
        <f t="shared" si="4"/>
        <v/>
      </c>
      <c r="K124" s="3" t="str">
        <f>IF(ISNUMBER(SEARCH("-",V124)),IFERROR(IF($H$2="Lower", LOWER(ComputeResourceName(Z124,#REF!,#REF!,G124,N124,O124,P124,Q124,S124,T124,V124,A124)), UPPER(ComputeResourceName(Z124,#REF!,#REF!,G124,N124,O124,P124,Q124,S124,T124,V124,A124))),""),SUBSTITUTE(IFERROR(IF($H$2="Lower", LOWER(ComputeResourceName(#REF!,#REF!,#REF!,G124,N124,O124,P124,Q124,S124,T124,V124,A124)), UPPER(ComputeResourceName(#REF!,#REF!,#REF!,G124,N124,O124,P124,Q124,S124,T124,V124,A124))),""), "-",""))</f>
        <v/>
      </c>
      <c r="L124" s="3" t="str">
        <f xml:space="preserve"> IF(K124="","",  IFERROR(VLOOKUP(I124,Resources!$B$1:$H$1503,5,FALSE)-LEN(K124),0))</f>
        <v/>
      </c>
      <c r="M124" s="3" t="str">
        <f>IF(K124="","",IFERROR(matches(K124,VLOOKUP(I124,Resources!$A$2:$AA$1503,16,FALSE)),FALSE))</f>
        <v/>
      </c>
      <c r="N124" s="3" t="e">
        <f>VLOOKUP(E124,Enviroments!$A$3:$D$59,1,FALSE)</f>
        <v>#N/A</v>
      </c>
      <c r="O124" s="3" t="e">
        <f>VLOOKUP(E124,Enviroments!$A$3:$D$59,2,FALSE)</f>
        <v>#N/A</v>
      </c>
      <c r="P124" s="3" t="e">
        <f>VLOOKUP(E124,Enviroments!$A$3:$D$59,3,FALSE)</f>
        <v>#N/A</v>
      </c>
      <c r="Q124" s="3" t="e">
        <f>VLOOKUP(E124,Enviroments!$A$3:$D$59,4,FALSE)</f>
        <v>#N/A</v>
      </c>
      <c r="R124" s="3" t="e">
        <f>VLOOKUP(H124,AzureRegions!$A$4:$B$1493,1,FALSE)</f>
        <v>#N/A</v>
      </c>
      <c r="S124" s="3" t="e">
        <f>VLOOKUP(H124,AzureRegions!$A$4:$B$1493,2,FALSE)</f>
        <v>#N/A</v>
      </c>
      <c r="T124" s="3" t="e">
        <f>VLOOKUP(H124,AzureRegions!$A$4:$C$1493,3,FALSE)</f>
        <v>#N/A</v>
      </c>
      <c r="U124" s="3" t="e">
        <f>VLOOKUP(I124,Resources!$A$2:$AA$1503,2,FALSE)</f>
        <v>#N/A</v>
      </c>
      <c r="V124" s="3" t="e">
        <f>VLOOKUP(I124,Resources!$A$2:$H$1503,6,FALSE)</f>
        <v>#N/A</v>
      </c>
      <c r="W124" s="3" t="str">
        <f>VLOOKUP($H$2,Casing!$A$4:$A$60,1,FALSE)</f>
        <v>Lower</v>
      </c>
      <c r="X124" s="14" t="str">
        <f t="shared" si="3"/>
        <v>001</v>
      </c>
      <c r="Y124" s="3" t="str">
        <f>IFERROR(VLOOKUP(F124,Func!$A$4:$G$1500,2,FALSE),"none")</f>
        <v>none</v>
      </c>
      <c r="Z124" s="3" t="e">
        <f>VLOOKUP(I124,Resources!$A$2:$AA$1503,18,FALSE)</f>
        <v>#N/A</v>
      </c>
      <c r="AA124" s="3" t="str">
        <f>IFERROR(VLOOKUP(B124,Orgs!$A$4:$G$1500,2,FALSE),"none")</f>
        <v>none</v>
      </c>
      <c r="AB124" s="3" t="str">
        <f>IFERROR(VLOOKUP(C124,UnitsDepts!$A$4:$G$1500,2,FALSE),"none")</f>
        <v>none</v>
      </c>
      <c r="AC124" s="3" t="str">
        <f>IFERROR(VLOOKUP(D124,ProjAppSvc!$A$4:$G$1500,2,FALSE),"none")</f>
        <v>none</v>
      </c>
    </row>
    <row r="125" spans="1:29" x14ac:dyDescent="0.45">
      <c r="A125" s="14" t="s">
        <v>23</v>
      </c>
      <c r="B125" s="14"/>
      <c r="C125" s="14"/>
      <c r="D125" s="14"/>
      <c r="H125" s="8"/>
      <c r="I125" s="3"/>
      <c r="J125" s="3" t="str">
        <f t="shared" si="4"/>
        <v/>
      </c>
      <c r="K125" s="3" t="str">
        <f>IF(ISNUMBER(SEARCH("-",V125)),IFERROR(IF($H$2="Lower", LOWER(ComputeResourceName(Z125,#REF!,#REF!,G125,N125,O125,P125,Q125,S125,T125,V125,A125)), UPPER(ComputeResourceName(Z125,#REF!,#REF!,G125,N125,O125,P125,Q125,S125,T125,V125,A125))),""),SUBSTITUTE(IFERROR(IF($H$2="Lower", LOWER(ComputeResourceName(#REF!,#REF!,#REF!,G125,N125,O125,P125,Q125,S125,T125,V125,A125)), UPPER(ComputeResourceName(#REF!,#REF!,#REF!,G125,N125,O125,P125,Q125,S125,T125,V125,A125))),""), "-",""))</f>
        <v/>
      </c>
      <c r="L125" s="3" t="str">
        <f xml:space="preserve"> IF(K125="","",  IFERROR(VLOOKUP(I125,Resources!$B$1:$H$1503,5,FALSE)-LEN(K125),0))</f>
        <v/>
      </c>
      <c r="M125" s="3" t="str">
        <f>IF(K125="","",IFERROR(matches(K125,VLOOKUP(I125,Resources!$A$2:$AA$1503,16,FALSE)),FALSE))</f>
        <v/>
      </c>
      <c r="N125" s="3" t="e">
        <f>VLOOKUP(E125,Enviroments!$A$3:$D$59,1,FALSE)</f>
        <v>#N/A</v>
      </c>
      <c r="O125" s="3" t="e">
        <f>VLOOKUP(E125,Enviroments!$A$3:$D$59,2,FALSE)</f>
        <v>#N/A</v>
      </c>
      <c r="P125" s="3" t="e">
        <f>VLOOKUP(E125,Enviroments!$A$3:$D$59,3,FALSE)</f>
        <v>#N/A</v>
      </c>
      <c r="Q125" s="3" t="e">
        <f>VLOOKUP(E125,Enviroments!$A$3:$D$59,4,FALSE)</f>
        <v>#N/A</v>
      </c>
      <c r="R125" s="3" t="e">
        <f>VLOOKUP(H125,AzureRegions!$A$4:$B$1493,1,FALSE)</f>
        <v>#N/A</v>
      </c>
      <c r="S125" s="3" t="e">
        <f>VLOOKUP(H125,AzureRegions!$A$4:$B$1493,2,FALSE)</f>
        <v>#N/A</v>
      </c>
      <c r="T125" s="3" t="e">
        <f>VLOOKUP(H125,AzureRegions!$A$4:$C$1493,3,FALSE)</f>
        <v>#N/A</v>
      </c>
      <c r="U125" s="3" t="e">
        <f>VLOOKUP(I125,Resources!$A$2:$AA$1503,2,FALSE)</f>
        <v>#N/A</v>
      </c>
      <c r="V125" s="3" t="e">
        <f>VLOOKUP(I125,Resources!$A$2:$H$1503,6,FALSE)</f>
        <v>#N/A</v>
      </c>
      <c r="W125" s="3" t="str">
        <f>VLOOKUP($H$2,Casing!$A$4:$A$60,1,FALSE)</f>
        <v>Lower</v>
      </c>
      <c r="X125" s="14" t="str">
        <f t="shared" si="3"/>
        <v>001</v>
      </c>
      <c r="Y125" s="3" t="str">
        <f>IFERROR(VLOOKUP(F125,Func!$A$4:$G$1500,2,FALSE),"none")</f>
        <v>none</v>
      </c>
      <c r="Z125" s="3" t="e">
        <f>VLOOKUP(I125,Resources!$A$2:$AA$1503,18,FALSE)</f>
        <v>#N/A</v>
      </c>
      <c r="AA125" s="3" t="str">
        <f>IFERROR(VLOOKUP(B125,Orgs!$A$4:$G$1500,2,FALSE),"none")</f>
        <v>none</v>
      </c>
      <c r="AB125" s="3" t="str">
        <f>IFERROR(VLOOKUP(C125,UnitsDepts!$A$4:$G$1500,2,FALSE),"none")</f>
        <v>none</v>
      </c>
      <c r="AC125" s="3" t="str">
        <f>IFERROR(VLOOKUP(D125,ProjAppSvc!$A$4:$G$1500,2,FALSE),"none")</f>
        <v>none</v>
      </c>
    </row>
    <row r="126" spans="1:29" x14ac:dyDescent="0.45">
      <c r="A126" s="14" t="s">
        <v>23</v>
      </c>
      <c r="B126" s="14"/>
      <c r="C126" s="14"/>
      <c r="D126" s="14"/>
      <c r="H126" s="8"/>
      <c r="I126" s="3"/>
      <c r="J126" s="3" t="str">
        <f t="shared" si="4"/>
        <v/>
      </c>
      <c r="K126" s="3" t="str">
        <f>IF(ISNUMBER(SEARCH("-",V126)),IFERROR(IF($H$2="Lower", LOWER(ComputeResourceName(Z126,#REF!,#REF!,G126,N126,O126,P126,Q126,S126,T126,V126,A126)), UPPER(ComputeResourceName(Z126,#REF!,#REF!,G126,N126,O126,P126,Q126,S126,T126,V126,A126))),""),SUBSTITUTE(IFERROR(IF($H$2="Lower", LOWER(ComputeResourceName(#REF!,#REF!,#REF!,G126,N126,O126,P126,Q126,S126,T126,V126,A126)), UPPER(ComputeResourceName(#REF!,#REF!,#REF!,G126,N126,O126,P126,Q126,S126,T126,V126,A126))),""), "-",""))</f>
        <v/>
      </c>
      <c r="L126" s="3" t="str">
        <f xml:space="preserve"> IF(K126="","",  IFERROR(VLOOKUP(I126,Resources!$B$1:$H$1503,5,FALSE)-LEN(K126),0))</f>
        <v/>
      </c>
      <c r="M126" s="3" t="str">
        <f>IF(K126="","",IFERROR(matches(K126,VLOOKUP(I126,Resources!$A$2:$AA$1503,16,FALSE)),FALSE))</f>
        <v/>
      </c>
      <c r="N126" s="3" t="e">
        <f>VLOOKUP(E126,Enviroments!$A$3:$D$59,1,FALSE)</f>
        <v>#N/A</v>
      </c>
      <c r="O126" s="3" t="e">
        <f>VLOOKUP(E126,Enviroments!$A$3:$D$59,2,FALSE)</f>
        <v>#N/A</v>
      </c>
      <c r="P126" s="3" t="e">
        <f>VLOOKUP(E126,Enviroments!$A$3:$D$59,3,FALSE)</f>
        <v>#N/A</v>
      </c>
      <c r="Q126" s="3" t="e">
        <f>VLOOKUP(E126,Enviroments!$A$3:$D$59,4,FALSE)</f>
        <v>#N/A</v>
      </c>
      <c r="R126" s="3" t="e">
        <f>VLOOKUP(H126,AzureRegions!$A$4:$B$1493,1,FALSE)</f>
        <v>#N/A</v>
      </c>
      <c r="S126" s="3" t="e">
        <f>VLOOKUP(H126,AzureRegions!$A$4:$B$1493,2,FALSE)</f>
        <v>#N/A</v>
      </c>
      <c r="T126" s="3" t="e">
        <f>VLOOKUP(H126,AzureRegions!$A$4:$C$1493,3,FALSE)</f>
        <v>#N/A</v>
      </c>
      <c r="U126" s="3" t="e">
        <f>VLOOKUP(I126,Resources!$A$2:$AA$1503,2,FALSE)</f>
        <v>#N/A</v>
      </c>
      <c r="V126" s="3" t="e">
        <f>VLOOKUP(I126,Resources!$A$2:$H$1503,6,FALSE)</f>
        <v>#N/A</v>
      </c>
      <c r="W126" s="3" t="str">
        <f>VLOOKUP($H$2,Casing!$A$4:$A$60,1,FALSE)</f>
        <v>Lower</v>
      </c>
      <c r="X126" s="14" t="str">
        <f t="shared" si="3"/>
        <v>001</v>
      </c>
      <c r="Y126" s="3" t="str">
        <f>IFERROR(VLOOKUP(F126,Func!$A$4:$G$1500,2,FALSE),"none")</f>
        <v>none</v>
      </c>
      <c r="Z126" s="3" t="e">
        <f>VLOOKUP(I126,Resources!$A$2:$AA$1503,18,FALSE)</f>
        <v>#N/A</v>
      </c>
      <c r="AA126" s="3" t="str">
        <f>IFERROR(VLOOKUP(B126,Orgs!$A$4:$G$1500,2,FALSE),"none")</f>
        <v>none</v>
      </c>
      <c r="AB126" s="3" t="str">
        <f>IFERROR(VLOOKUP(C126,UnitsDepts!$A$4:$G$1500,2,FALSE),"none")</f>
        <v>none</v>
      </c>
      <c r="AC126" s="3" t="str">
        <f>IFERROR(VLOOKUP(D126,ProjAppSvc!$A$4:$G$1500,2,FALSE),"none")</f>
        <v>none</v>
      </c>
    </row>
    <row r="127" spans="1:29" x14ac:dyDescent="0.45">
      <c r="A127" s="14" t="s">
        <v>23</v>
      </c>
      <c r="B127" s="14"/>
      <c r="C127" s="14"/>
      <c r="D127" s="14"/>
      <c r="H127" s="8"/>
      <c r="I127" s="3"/>
      <c r="J127" s="3" t="str">
        <f t="shared" si="4"/>
        <v/>
      </c>
      <c r="K127" s="3" t="str">
        <f>IF(ISNUMBER(SEARCH("-",V127)),IFERROR(IF($H$2="Lower", LOWER(ComputeResourceName(Z127,#REF!,#REF!,G127,N127,O127,P127,Q127,S127,T127,V127,A127)), UPPER(ComputeResourceName(Z127,#REF!,#REF!,G127,N127,O127,P127,Q127,S127,T127,V127,A127))),""),SUBSTITUTE(IFERROR(IF($H$2="Lower", LOWER(ComputeResourceName(#REF!,#REF!,#REF!,G127,N127,O127,P127,Q127,S127,T127,V127,A127)), UPPER(ComputeResourceName(#REF!,#REF!,#REF!,G127,N127,O127,P127,Q127,S127,T127,V127,A127))),""), "-",""))</f>
        <v/>
      </c>
      <c r="L127" s="3" t="str">
        <f xml:space="preserve"> IF(K127="","",  IFERROR(VLOOKUP(I127,Resources!$B$1:$H$1503,5,FALSE)-LEN(K127),0))</f>
        <v/>
      </c>
      <c r="M127" s="3" t="str">
        <f>IF(K127="","",IFERROR(matches(K127,VLOOKUP(I127,Resources!$A$2:$AA$1503,16,FALSE)),FALSE))</f>
        <v/>
      </c>
      <c r="N127" s="3" t="e">
        <f>VLOOKUP(E127,Enviroments!$A$3:$D$59,1,FALSE)</f>
        <v>#N/A</v>
      </c>
      <c r="O127" s="3" t="e">
        <f>VLOOKUP(E127,Enviroments!$A$3:$D$59,2,FALSE)</f>
        <v>#N/A</v>
      </c>
      <c r="P127" s="3" t="e">
        <f>VLOOKUP(E127,Enviroments!$A$3:$D$59,3,FALSE)</f>
        <v>#N/A</v>
      </c>
      <c r="Q127" s="3" t="e">
        <f>VLOOKUP(E127,Enviroments!$A$3:$D$59,4,FALSE)</f>
        <v>#N/A</v>
      </c>
      <c r="R127" s="3" t="e">
        <f>VLOOKUP(H127,AzureRegions!$A$4:$B$1493,1,FALSE)</f>
        <v>#N/A</v>
      </c>
      <c r="S127" s="3" t="e">
        <f>VLOOKUP(H127,AzureRegions!$A$4:$B$1493,2,FALSE)</f>
        <v>#N/A</v>
      </c>
      <c r="T127" s="3" t="e">
        <f>VLOOKUP(H127,AzureRegions!$A$4:$C$1493,3,FALSE)</f>
        <v>#N/A</v>
      </c>
      <c r="U127" s="3" t="e">
        <f>VLOOKUP(I127,Resources!$A$2:$AA$1503,2,FALSE)</f>
        <v>#N/A</v>
      </c>
      <c r="V127" s="3" t="e">
        <f>VLOOKUP(I127,Resources!$A$2:$H$1503,6,FALSE)</f>
        <v>#N/A</v>
      </c>
      <c r="W127" s="3" t="str">
        <f>VLOOKUP($H$2,Casing!$A$4:$A$60,1,FALSE)</f>
        <v>Lower</v>
      </c>
      <c r="X127" s="14" t="str">
        <f t="shared" si="3"/>
        <v>001</v>
      </c>
      <c r="Y127" s="3" t="str">
        <f>IFERROR(VLOOKUP(F127,Func!$A$4:$G$1500,2,FALSE),"none")</f>
        <v>none</v>
      </c>
      <c r="Z127" s="3" t="e">
        <f>VLOOKUP(I127,Resources!$A$2:$AA$1503,18,FALSE)</f>
        <v>#N/A</v>
      </c>
      <c r="AA127" s="3" t="str">
        <f>IFERROR(VLOOKUP(B127,Orgs!$A$4:$G$1500,2,FALSE),"none")</f>
        <v>none</v>
      </c>
      <c r="AB127" s="3" t="str">
        <f>IFERROR(VLOOKUP(C127,UnitsDepts!$A$4:$G$1500,2,FALSE),"none")</f>
        <v>none</v>
      </c>
      <c r="AC127" s="3" t="str">
        <f>IFERROR(VLOOKUP(D127,ProjAppSvc!$A$4:$G$1500,2,FALSE),"none")</f>
        <v>none</v>
      </c>
    </row>
    <row r="128" spans="1:29" x14ac:dyDescent="0.45">
      <c r="A128" s="14" t="s">
        <v>23</v>
      </c>
      <c r="B128" s="14"/>
      <c r="C128" s="14"/>
      <c r="D128" s="14"/>
      <c r="H128" s="8"/>
      <c r="I128" s="3"/>
      <c r="J128" s="3" t="str">
        <f t="shared" si="4"/>
        <v/>
      </c>
      <c r="K128" s="3" t="str">
        <f>IF(ISNUMBER(SEARCH("-",V128)),IFERROR(IF($H$2="Lower", LOWER(ComputeResourceName(Z128,#REF!,#REF!,G128,N128,O128,P128,Q128,S128,T128,V128,A128)), UPPER(ComputeResourceName(Z128,#REF!,#REF!,G128,N128,O128,P128,Q128,S128,T128,V128,A128))),""),SUBSTITUTE(IFERROR(IF($H$2="Lower", LOWER(ComputeResourceName(#REF!,#REF!,#REF!,G128,N128,O128,P128,Q128,S128,T128,V128,A128)), UPPER(ComputeResourceName(#REF!,#REF!,#REF!,G128,N128,O128,P128,Q128,S128,T128,V128,A128))),""), "-",""))</f>
        <v/>
      </c>
      <c r="L128" s="3" t="str">
        <f xml:space="preserve"> IF(K128="","",  IFERROR(VLOOKUP(I128,Resources!$B$1:$H$1503,5,FALSE)-LEN(K128),0))</f>
        <v/>
      </c>
      <c r="M128" s="3" t="str">
        <f>IF(K128="","",IFERROR(matches(K128,VLOOKUP(I128,Resources!$A$2:$AA$1503,16,FALSE)),FALSE))</f>
        <v/>
      </c>
      <c r="N128" s="3" t="e">
        <f>VLOOKUP(E128,Enviroments!$A$3:$D$59,1,FALSE)</f>
        <v>#N/A</v>
      </c>
      <c r="O128" s="3" t="e">
        <f>VLOOKUP(E128,Enviroments!$A$3:$D$59,2,FALSE)</f>
        <v>#N/A</v>
      </c>
      <c r="P128" s="3" t="e">
        <f>VLOOKUP(E128,Enviroments!$A$3:$D$59,3,FALSE)</f>
        <v>#N/A</v>
      </c>
      <c r="Q128" s="3" t="e">
        <f>VLOOKUP(E128,Enviroments!$A$3:$D$59,4,FALSE)</f>
        <v>#N/A</v>
      </c>
      <c r="R128" s="3" t="e">
        <f>VLOOKUP(H128,AzureRegions!$A$4:$B$1493,1,FALSE)</f>
        <v>#N/A</v>
      </c>
      <c r="S128" s="3" t="e">
        <f>VLOOKUP(H128,AzureRegions!$A$4:$B$1493,2,FALSE)</f>
        <v>#N/A</v>
      </c>
      <c r="T128" s="3" t="e">
        <f>VLOOKUP(H128,AzureRegions!$A$4:$C$1493,3,FALSE)</f>
        <v>#N/A</v>
      </c>
      <c r="U128" s="3" t="e">
        <f>VLOOKUP(I128,Resources!$A$2:$AA$1503,2,FALSE)</f>
        <v>#N/A</v>
      </c>
      <c r="V128" s="3" t="e">
        <f>VLOOKUP(I128,Resources!$A$2:$H$1503,6,FALSE)</f>
        <v>#N/A</v>
      </c>
      <c r="W128" s="3" t="str">
        <f>VLOOKUP($H$2,Casing!$A$4:$A$60,1,FALSE)</f>
        <v>Lower</v>
      </c>
      <c r="X128" s="14" t="str">
        <f t="shared" si="3"/>
        <v>001</v>
      </c>
      <c r="Y128" s="3" t="str">
        <f>IFERROR(VLOOKUP(F128,Func!$A$4:$G$1500,2,FALSE),"none")</f>
        <v>none</v>
      </c>
      <c r="Z128" s="3" t="e">
        <f>VLOOKUP(I128,Resources!$A$2:$AA$1503,18,FALSE)</f>
        <v>#N/A</v>
      </c>
      <c r="AA128" s="3" t="str">
        <f>IFERROR(VLOOKUP(B128,Orgs!$A$4:$G$1500,2,FALSE),"none")</f>
        <v>none</v>
      </c>
      <c r="AB128" s="3" t="str">
        <f>IFERROR(VLOOKUP(C128,UnitsDepts!$A$4:$G$1500,2,FALSE),"none")</f>
        <v>none</v>
      </c>
      <c r="AC128" s="3" t="str">
        <f>IFERROR(VLOOKUP(D128,ProjAppSvc!$A$4:$G$1500,2,FALSE),"none")</f>
        <v>none</v>
      </c>
    </row>
    <row r="129" spans="1:29" x14ac:dyDescent="0.45">
      <c r="A129" s="14" t="s">
        <v>23</v>
      </c>
      <c r="B129" s="14"/>
      <c r="C129" s="14"/>
      <c r="D129" s="14"/>
      <c r="H129" s="8"/>
      <c r="I129" s="3"/>
      <c r="J129" s="3" t="str">
        <f t="shared" si="4"/>
        <v/>
      </c>
      <c r="K129" s="3" t="str">
        <f>IF(ISNUMBER(SEARCH("-",V129)),IFERROR(IF($H$2="Lower", LOWER(ComputeResourceName(Z129,#REF!,#REF!,G129,N129,O129,P129,Q129,S129,T129,V129,A129)), UPPER(ComputeResourceName(Z129,#REF!,#REF!,G129,N129,O129,P129,Q129,S129,T129,V129,A129))),""),SUBSTITUTE(IFERROR(IF($H$2="Lower", LOWER(ComputeResourceName(#REF!,#REF!,#REF!,G129,N129,O129,P129,Q129,S129,T129,V129,A129)), UPPER(ComputeResourceName(#REF!,#REF!,#REF!,G129,N129,O129,P129,Q129,S129,T129,V129,A129))),""), "-",""))</f>
        <v/>
      </c>
      <c r="L129" s="3" t="str">
        <f xml:space="preserve"> IF(K129="","",  IFERROR(VLOOKUP(I129,Resources!$B$1:$H$1503,5,FALSE)-LEN(K129),0))</f>
        <v/>
      </c>
      <c r="M129" s="3" t="str">
        <f>IF(K129="","",IFERROR(matches(K129,VLOOKUP(I129,Resources!$A$2:$AA$1503,16,FALSE)),FALSE))</f>
        <v/>
      </c>
      <c r="N129" s="3" t="e">
        <f>VLOOKUP(E129,Enviroments!$A$3:$D$59,1,FALSE)</f>
        <v>#N/A</v>
      </c>
      <c r="O129" s="3" t="e">
        <f>VLOOKUP(E129,Enviroments!$A$3:$D$59,2,FALSE)</f>
        <v>#N/A</v>
      </c>
      <c r="P129" s="3" t="e">
        <f>VLOOKUP(E129,Enviroments!$A$3:$D$59,3,FALSE)</f>
        <v>#N/A</v>
      </c>
      <c r="Q129" s="3" t="e">
        <f>VLOOKUP(E129,Enviroments!$A$3:$D$59,4,FALSE)</f>
        <v>#N/A</v>
      </c>
      <c r="R129" s="3" t="e">
        <f>VLOOKUP(H129,AzureRegions!$A$4:$B$1493,1,FALSE)</f>
        <v>#N/A</v>
      </c>
      <c r="S129" s="3" t="e">
        <f>VLOOKUP(H129,AzureRegions!$A$4:$B$1493,2,FALSE)</f>
        <v>#N/A</v>
      </c>
      <c r="T129" s="3" t="e">
        <f>VLOOKUP(H129,AzureRegions!$A$4:$C$1493,3,FALSE)</f>
        <v>#N/A</v>
      </c>
      <c r="U129" s="3" t="e">
        <f>VLOOKUP(I129,Resources!$A$2:$AA$1503,2,FALSE)</f>
        <v>#N/A</v>
      </c>
      <c r="V129" s="3" t="e">
        <f>VLOOKUP(I129,Resources!$A$2:$H$1503,6,FALSE)</f>
        <v>#N/A</v>
      </c>
      <c r="W129" s="3" t="str">
        <f>VLOOKUP($H$2,Casing!$A$4:$A$60,1,FALSE)</f>
        <v>Lower</v>
      </c>
      <c r="X129" s="14" t="str">
        <f t="shared" si="3"/>
        <v>001</v>
      </c>
      <c r="Y129" s="3" t="str">
        <f>IFERROR(VLOOKUP(F129,Func!$A$4:$G$1500,2,FALSE),"none")</f>
        <v>none</v>
      </c>
      <c r="Z129" s="3" t="e">
        <f>VLOOKUP(I129,Resources!$A$2:$AA$1503,18,FALSE)</f>
        <v>#N/A</v>
      </c>
      <c r="AA129" s="3" t="str">
        <f>IFERROR(VLOOKUP(B129,Orgs!$A$4:$G$1500,2,FALSE),"none")</f>
        <v>none</v>
      </c>
      <c r="AB129" s="3" t="str">
        <f>IFERROR(VLOOKUP(C129,UnitsDepts!$A$4:$G$1500,2,FALSE),"none")</f>
        <v>none</v>
      </c>
      <c r="AC129" s="3" t="str">
        <f>IFERROR(VLOOKUP(D129,ProjAppSvc!$A$4:$G$1500,2,FALSE),"none")</f>
        <v>none</v>
      </c>
    </row>
    <row r="130" spans="1:29" x14ac:dyDescent="0.45">
      <c r="A130" s="14" t="s">
        <v>23</v>
      </c>
      <c r="B130" s="14"/>
      <c r="C130" s="14"/>
      <c r="D130" s="14"/>
      <c r="H130" s="8"/>
      <c r="I130" s="3"/>
      <c r="J130" s="3" t="str">
        <f t="shared" si="4"/>
        <v/>
      </c>
      <c r="K130" s="3" t="str">
        <f>IF(ISNUMBER(SEARCH("-",V130)),IFERROR(IF($H$2="Lower", LOWER(ComputeResourceName(Z130,#REF!,#REF!,G130,N130,O130,P130,Q130,S130,T130,V130,A130)), UPPER(ComputeResourceName(Z130,#REF!,#REF!,G130,N130,O130,P130,Q130,S130,T130,V130,A130))),""),SUBSTITUTE(IFERROR(IF($H$2="Lower", LOWER(ComputeResourceName(#REF!,#REF!,#REF!,G130,N130,O130,P130,Q130,S130,T130,V130,A130)), UPPER(ComputeResourceName(#REF!,#REF!,#REF!,G130,N130,O130,P130,Q130,S130,T130,V130,A130))),""), "-",""))</f>
        <v/>
      </c>
      <c r="L130" s="3" t="str">
        <f xml:space="preserve"> IF(K130="","",  IFERROR(VLOOKUP(I130,Resources!$B$1:$H$1503,5,FALSE)-LEN(K130),0))</f>
        <v/>
      </c>
      <c r="M130" s="3" t="str">
        <f>IF(K130="","",IFERROR(matches(K130,VLOOKUP(I130,Resources!$A$2:$AA$1503,16,FALSE)),FALSE))</f>
        <v/>
      </c>
      <c r="N130" s="3" t="e">
        <f>VLOOKUP(E130,Enviroments!$A$3:$D$59,1,FALSE)</f>
        <v>#N/A</v>
      </c>
      <c r="O130" s="3" t="e">
        <f>VLOOKUP(E130,Enviroments!$A$3:$D$59,2,FALSE)</f>
        <v>#N/A</v>
      </c>
      <c r="P130" s="3" t="e">
        <f>VLOOKUP(E130,Enviroments!$A$3:$D$59,3,FALSE)</f>
        <v>#N/A</v>
      </c>
      <c r="Q130" s="3" t="e">
        <f>VLOOKUP(E130,Enviroments!$A$3:$D$59,4,FALSE)</f>
        <v>#N/A</v>
      </c>
      <c r="R130" s="3" t="e">
        <f>VLOOKUP(H130,AzureRegions!$A$4:$B$1493,1,FALSE)</f>
        <v>#N/A</v>
      </c>
      <c r="S130" s="3" t="e">
        <f>VLOOKUP(H130,AzureRegions!$A$4:$B$1493,2,FALSE)</f>
        <v>#N/A</v>
      </c>
      <c r="T130" s="3" t="e">
        <f>VLOOKUP(H130,AzureRegions!$A$4:$C$1493,3,FALSE)</f>
        <v>#N/A</v>
      </c>
      <c r="U130" s="3" t="e">
        <f>VLOOKUP(I130,Resources!$A$2:$AA$1503,2,FALSE)</f>
        <v>#N/A</v>
      </c>
      <c r="V130" s="3" t="e">
        <f>VLOOKUP(I130,Resources!$A$2:$H$1503,6,FALSE)</f>
        <v>#N/A</v>
      </c>
      <c r="W130" s="3" t="str">
        <f>VLOOKUP($H$2,Casing!$A$4:$A$60,1,FALSE)</f>
        <v>Lower</v>
      </c>
      <c r="X130" s="14" t="str">
        <f t="shared" si="3"/>
        <v>001</v>
      </c>
      <c r="Y130" s="3" t="str">
        <f>IFERROR(VLOOKUP(F130,Func!$A$4:$G$1500,2,FALSE),"none")</f>
        <v>none</v>
      </c>
      <c r="Z130" s="3" t="e">
        <f>VLOOKUP(I130,Resources!$A$2:$AA$1503,18,FALSE)</f>
        <v>#N/A</v>
      </c>
      <c r="AA130" s="3" t="str">
        <f>IFERROR(VLOOKUP(B130,Orgs!$A$4:$G$1500,2,FALSE),"none")</f>
        <v>none</v>
      </c>
      <c r="AB130" s="3" t="str">
        <f>IFERROR(VLOOKUP(C130,UnitsDepts!$A$4:$G$1500,2,FALSE),"none")</f>
        <v>none</v>
      </c>
      <c r="AC130" s="3" t="str">
        <f>IFERROR(VLOOKUP(D130,ProjAppSvc!$A$4:$G$1500,2,FALSE),"none")</f>
        <v>none</v>
      </c>
    </row>
    <row r="131" spans="1:29" x14ac:dyDescent="0.45">
      <c r="A131" s="14" t="s">
        <v>23</v>
      </c>
      <c r="B131" s="14"/>
      <c r="C131" s="14"/>
      <c r="D131" s="14"/>
      <c r="H131" s="8"/>
      <c r="I131" s="3"/>
      <c r="J131" s="3" t="str">
        <f t="shared" si="4"/>
        <v/>
      </c>
      <c r="K131" s="3" t="str">
        <f>IF(ISNUMBER(SEARCH("-",V131)),IFERROR(IF($H$2="Lower", LOWER(ComputeResourceName(Z131,#REF!,#REF!,G131,N131,O131,P131,Q131,S131,T131,V131,A131)), UPPER(ComputeResourceName(Z131,#REF!,#REF!,G131,N131,O131,P131,Q131,S131,T131,V131,A131))),""),SUBSTITUTE(IFERROR(IF($H$2="Lower", LOWER(ComputeResourceName(#REF!,#REF!,#REF!,G131,N131,O131,P131,Q131,S131,T131,V131,A131)), UPPER(ComputeResourceName(#REF!,#REF!,#REF!,G131,N131,O131,P131,Q131,S131,T131,V131,A131))),""), "-",""))</f>
        <v/>
      </c>
      <c r="L131" s="3" t="str">
        <f xml:space="preserve"> IF(K131="","",  IFERROR(VLOOKUP(I131,Resources!$B$1:$H$1503,5,FALSE)-LEN(K131),0))</f>
        <v/>
      </c>
      <c r="M131" s="3" t="str">
        <f>IF(K131="","",IFERROR(matches(K131,VLOOKUP(I131,Resources!$A$2:$AA$1503,16,FALSE)),FALSE))</f>
        <v/>
      </c>
      <c r="N131" s="3" t="e">
        <f>VLOOKUP(E131,Enviroments!$A$3:$D$59,1,FALSE)</f>
        <v>#N/A</v>
      </c>
      <c r="O131" s="3" t="e">
        <f>VLOOKUP(E131,Enviroments!$A$3:$D$59,2,FALSE)</f>
        <v>#N/A</v>
      </c>
      <c r="P131" s="3" t="e">
        <f>VLOOKUP(E131,Enviroments!$A$3:$D$59,3,FALSE)</f>
        <v>#N/A</v>
      </c>
      <c r="Q131" s="3" t="e">
        <f>VLOOKUP(E131,Enviroments!$A$3:$D$59,4,FALSE)</f>
        <v>#N/A</v>
      </c>
      <c r="R131" s="3" t="e">
        <f>VLOOKUP(H131,AzureRegions!$A$4:$B$1493,1,FALSE)</f>
        <v>#N/A</v>
      </c>
      <c r="S131" s="3" t="e">
        <f>VLOOKUP(H131,AzureRegions!$A$4:$B$1493,2,FALSE)</f>
        <v>#N/A</v>
      </c>
      <c r="T131" s="3" t="e">
        <f>VLOOKUP(H131,AzureRegions!$A$4:$C$1493,3,FALSE)</f>
        <v>#N/A</v>
      </c>
      <c r="U131" s="3" t="e">
        <f>VLOOKUP(I131,Resources!$A$2:$AA$1503,2,FALSE)</f>
        <v>#N/A</v>
      </c>
      <c r="V131" s="3" t="e">
        <f>VLOOKUP(I131,Resources!$A$2:$H$1503,6,FALSE)</f>
        <v>#N/A</v>
      </c>
      <c r="W131" s="3" t="str">
        <f>VLOOKUP($H$2,Casing!$A$4:$A$60,1,FALSE)</f>
        <v>Lower</v>
      </c>
      <c r="X131" s="14" t="str">
        <f t="shared" si="3"/>
        <v>001</v>
      </c>
      <c r="Y131" s="3" t="str">
        <f>IFERROR(VLOOKUP(F131,Func!$A$4:$G$1500,2,FALSE),"none")</f>
        <v>none</v>
      </c>
      <c r="Z131" s="3" t="e">
        <f>VLOOKUP(I131,Resources!$A$2:$AA$1503,18,FALSE)</f>
        <v>#N/A</v>
      </c>
      <c r="AA131" s="3" t="str">
        <f>IFERROR(VLOOKUP(B131,Orgs!$A$4:$G$1500,2,FALSE),"none")</f>
        <v>none</v>
      </c>
      <c r="AB131" s="3" t="str">
        <f>IFERROR(VLOOKUP(C131,UnitsDepts!$A$4:$G$1500,2,FALSE),"none")</f>
        <v>none</v>
      </c>
      <c r="AC131" s="3" t="str">
        <f>IFERROR(VLOOKUP(D131,ProjAppSvc!$A$4:$G$1500,2,FALSE),"none")</f>
        <v>none</v>
      </c>
    </row>
    <row r="132" spans="1:29" x14ac:dyDescent="0.45">
      <c r="A132" s="14" t="s">
        <v>23</v>
      </c>
      <c r="B132" s="14"/>
      <c r="C132" s="14"/>
      <c r="D132" s="14"/>
      <c r="H132" s="8"/>
      <c r="I132" s="3"/>
      <c r="J132" s="3" t="str">
        <f t="shared" si="4"/>
        <v/>
      </c>
      <c r="K132" s="3" t="str">
        <f>IF(ISNUMBER(SEARCH("-",V132)),IFERROR(IF($H$2="Lower", LOWER(ComputeResourceName(Z132,#REF!,#REF!,G132,N132,O132,P132,Q132,S132,T132,V132,A132)), UPPER(ComputeResourceName(Z132,#REF!,#REF!,G132,N132,O132,P132,Q132,S132,T132,V132,A132))),""),SUBSTITUTE(IFERROR(IF($H$2="Lower", LOWER(ComputeResourceName(#REF!,#REF!,#REF!,G132,N132,O132,P132,Q132,S132,T132,V132,A132)), UPPER(ComputeResourceName(#REF!,#REF!,#REF!,G132,N132,O132,P132,Q132,S132,T132,V132,A132))),""), "-",""))</f>
        <v/>
      </c>
      <c r="L132" s="3" t="str">
        <f xml:space="preserve"> IF(K132="","",  IFERROR(VLOOKUP(I132,Resources!$B$1:$H$1503,5,FALSE)-LEN(K132),0))</f>
        <v/>
      </c>
      <c r="M132" s="3" t="str">
        <f>IF(K132="","",IFERROR(matches(K132,VLOOKUP(I132,Resources!$A$2:$AA$1503,16,FALSE)),FALSE))</f>
        <v/>
      </c>
      <c r="N132" s="3" t="e">
        <f>VLOOKUP(E132,Enviroments!$A$3:$D$59,1,FALSE)</f>
        <v>#N/A</v>
      </c>
      <c r="O132" s="3" t="e">
        <f>VLOOKUP(E132,Enviroments!$A$3:$D$59,2,FALSE)</f>
        <v>#N/A</v>
      </c>
      <c r="P132" s="3" t="e">
        <f>VLOOKUP(E132,Enviroments!$A$3:$D$59,3,FALSE)</f>
        <v>#N/A</v>
      </c>
      <c r="Q132" s="3" t="e">
        <f>VLOOKUP(E132,Enviroments!$A$3:$D$59,4,FALSE)</f>
        <v>#N/A</v>
      </c>
      <c r="R132" s="3" t="e">
        <f>VLOOKUP(H132,AzureRegions!$A$4:$B$1493,1,FALSE)</f>
        <v>#N/A</v>
      </c>
      <c r="S132" s="3" t="e">
        <f>VLOOKUP(H132,AzureRegions!$A$4:$B$1493,2,FALSE)</f>
        <v>#N/A</v>
      </c>
      <c r="T132" s="3" t="e">
        <f>VLOOKUP(H132,AzureRegions!$A$4:$C$1493,3,FALSE)</f>
        <v>#N/A</v>
      </c>
      <c r="U132" s="3" t="e">
        <f>VLOOKUP(I132,Resources!$A$2:$AA$1503,2,FALSE)</f>
        <v>#N/A</v>
      </c>
      <c r="V132" s="3" t="e">
        <f>VLOOKUP(I132,Resources!$A$2:$H$1503,6,FALSE)</f>
        <v>#N/A</v>
      </c>
      <c r="W132" s="3" t="str">
        <f>VLOOKUP($H$2,Casing!$A$4:$A$60,1,FALSE)</f>
        <v>Lower</v>
      </c>
      <c r="X132" s="14" t="str">
        <f t="shared" si="3"/>
        <v>001</v>
      </c>
      <c r="Y132" s="3" t="str">
        <f>IFERROR(VLOOKUP(F132,Func!$A$4:$G$1500,2,FALSE),"none")</f>
        <v>none</v>
      </c>
      <c r="Z132" s="3" t="e">
        <f>VLOOKUP(I132,Resources!$A$2:$AA$1503,18,FALSE)</f>
        <v>#N/A</v>
      </c>
      <c r="AA132" s="3" t="str">
        <f>IFERROR(VLOOKUP(B132,Orgs!$A$4:$G$1500,2,FALSE),"none")</f>
        <v>none</v>
      </c>
      <c r="AB132" s="3" t="str">
        <f>IFERROR(VLOOKUP(C132,UnitsDepts!$A$4:$G$1500,2,FALSE),"none")</f>
        <v>none</v>
      </c>
      <c r="AC132" s="3" t="str">
        <f>IFERROR(VLOOKUP(D132,ProjAppSvc!$A$4:$G$1500,2,FALSE),"none")</f>
        <v>none</v>
      </c>
    </row>
    <row r="133" spans="1:29" x14ac:dyDescent="0.45">
      <c r="A133" s="14" t="s">
        <v>23</v>
      </c>
      <c r="B133" s="14"/>
      <c r="C133" s="14"/>
      <c r="D133" s="14"/>
      <c r="H133" s="8"/>
      <c r="I133" s="3"/>
      <c r="J133" s="3" t="str">
        <f t="shared" si="4"/>
        <v/>
      </c>
      <c r="K133" s="3" t="str">
        <f>IF(ISNUMBER(SEARCH("-",V133)),IFERROR(IF($H$2="Lower", LOWER(ComputeResourceName(Z133,#REF!,#REF!,G133,N133,O133,P133,Q133,S133,T133,V133,A133)), UPPER(ComputeResourceName(Z133,#REF!,#REF!,G133,N133,O133,P133,Q133,S133,T133,V133,A133))),""),SUBSTITUTE(IFERROR(IF($H$2="Lower", LOWER(ComputeResourceName(#REF!,#REF!,#REF!,G133,N133,O133,P133,Q133,S133,T133,V133,A133)), UPPER(ComputeResourceName(#REF!,#REF!,#REF!,G133,N133,O133,P133,Q133,S133,T133,V133,A133))),""), "-",""))</f>
        <v/>
      </c>
      <c r="L133" s="3" t="str">
        <f xml:space="preserve"> IF(K133="","",  IFERROR(VLOOKUP(I133,Resources!$B$1:$H$1503,5,FALSE)-LEN(K133),0))</f>
        <v/>
      </c>
      <c r="M133" s="3" t="str">
        <f>IF(K133="","",IFERROR(matches(K133,VLOOKUP(I133,Resources!$A$2:$AA$1503,16,FALSE)),FALSE))</f>
        <v/>
      </c>
      <c r="N133" s="3" t="e">
        <f>VLOOKUP(E133,Enviroments!$A$3:$D$59,1,FALSE)</f>
        <v>#N/A</v>
      </c>
      <c r="O133" s="3" t="e">
        <f>VLOOKUP(E133,Enviroments!$A$3:$D$59,2,FALSE)</f>
        <v>#N/A</v>
      </c>
      <c r="P133" s="3" t="e">
        <f>VLOOKUP(E133,Enviroments!$A$3:$D$59,3,FALSE)</f>
        <v>#N/A</v>
      </c>
      <c r="Q133" s="3" t="e">
        <f>VLOOKUP(E133,Enviroments!$A$3:$D$59,4,FALSE)</f>
        <v>#N/A</v>
      </c>
      <c r="R133" s="3" t="e">
        <f>VLOOKUP(H133,AzureRegions!$A$4:$B$1493,1,FALSE)</f>
        <v>#N/A</v>
      </c>
      <c r="S133" s="3" t="e">
        <f>VLOOKUP(H133,AzureRegions!$A$4:$B$1493,2,FALSE)</f>
        <v>#N/A</v>
      </c>
      <c r="T133" s="3" t="e">
        <f>VLOOKUP(H133,AzureRegions!$A$4:$C$1493,3,FALSE)</f>
        <v>#N/A</v>
      </c>
      <c r="U133" s="3" t="e">
        <f>VLOOKUP(I133,Resources!$A$2:$AA$1503,2,FALSE)</f>
        <v>#N/A</v>
      </c>
      <c r="V133" s="3" t="e">
        <f>VLOOKUP(I133,Resources!$A$2:$H$1503,6,FALSE)</f>
        <v>#N/A</v>
      </c>
      <c r="W133" s="3" t="str">
        <f>VLOOKUP($H$2,Casing!$A$4:$A$60,1,FALSE)</f>
        <v>Lower</v>
      </c>
      <c r="X133" s="14" t="str">
        <f t="shared" si="3"/>
        <v>001</v>
      </c>
      <c r="Y133" s="3" t="str">
        <f>IFERROR(VLOOKUP(F133,Func!$A$4:$G$1500,2,FALSE),"none")</f>
        <v>none</v>
      </c>
      <c r="Z133" s="3" t="e">
        <f>VLOOKUP(I133,Resources!$A$2:$AA$1503,18,FALSE)</f>
        <v>#N/A</v>
      </c>
      <c r="AA133" s="3" t="str">
        <f>IFERROR(VLOOKUP(B133,Orgs!$A$4:$G$1500,2,FALSE),"none")</f>
        <v>none</v>
      </c>
      <c r="AB133" s="3" t="str">
        <f>IFERROR(VLOOKUP(C133,UnitsDepts!$A$4:$G$1500,2,FALSE),"none")</f>
        <v>none</v>
      </c>
      <c r="AC133" s="3" t="str">
        <f>IFERROR(VLOOKUP(D133,ProjAppSvc!$A$4:$G$1500,2,FALSE),"none")</f>
        <v>none</v>
      </c>
    </row>
    <row r="134" spans="1:29" x14ac:dyDescent="0.45">
      <c r="A134" s="14" t="s">
        <v>23</v>
      </c>
      <c r="B134" s="14"/>
      <c r="C134" s="14"/>
      <c r="D134" s="14"/>
      <c r="H134" s="8"/>
      <c r="I134" s="3"/>
      <c r="J134" s="3" t="str">
        <f t="shared" si="4"/>
        <v/>
      </c>
      <c r="K134" s="3" t="str">
        <f>IF(ISNUMBER(SEARCH("-",V134)),IFERROR(IF($H$2="Lower", LOWER(ComputeResourceName(Z134,#REF!,#REF!,G134,N134,O134,P134,Q134,S134,T134,V134,A134)), UPPER(ComputeResourceName(Z134,#REF!,#REF!,G134,N134,O134,P134,Q134,S134,T134,V134,A134))),""),SUBSTITUTE(IFERROR(IF($H$2="Lower", LOWER(ComputeResourceName(#REF!,#REF!,#REF!,G134,N134,O134,P134,Q134,S134,T134,V134,A134)), UPPER(ComputeResourceName(#REF!,#REF!,#REF!,G134,N134,O134,P134,Q134,S134,T134,V134,A134))),""), "-",""))</f>
        <v/>
      </c>
      <c r="L134" s="3" t="str">
        <f xml:space="preserve"> IF(K134="","",  IFERROR(VLOOKUP(I134,Resources!$B$1:$H$1503,5,FALSE)-LEN(K134),0))</f>
        <v/>
      </c>
      <c r="M134" s="3" t="str">
        <f>IF(K134="","",IFERROR(matches(K134,VLOOKUP(I134,Resources!$A$2:$AA$1503,16,FALSE)),FALSE))</f>
        <v/>
      </c>
      <c r="N134" s="3" t="e">
        <f>VLOOKUP(E134,Enviroments!$A$3:$D$59,1,FALSE)</f>
        <v>#N/A</v>
      </c>
      <c r="O134" s="3" t="e">
        <f>VLOOKUP(E134,Enviroments!$A$3:$D$59,2,FALSE)</f>
        <v>#N/A</v>
      </c>
      <c r="P134" s="3" t="e">
        <f>VLOOKUP(E134,Enviroments!$A$3:$D$59,3,FALSE)</f>
        <v>#N/A</v>
      </c>
      <c r="Q134" s="3" t="e">
        <f>VLOOKUP(E134,Enviroments!$A$3:$D$59,4,FALSE)</f>
        <v>#N/A</v>
      </c>
      <c r="R134" s="3" t="e">
        <f>VLOOKUP(H134,AzureRegions!$A$4:$B$1493,1,FALSE)</f>
        <v>#N/A</v>
      </c>
      <c r="S134" s="3" t="e">
        <f>VLOOKUP(H134,AzureRegions!$A$4:$B$1493,2,FALSE)</f>
        <v>#N/A</v>
      </c>
      <c r="T134" s="3" t="e">
        <f>VLOOKUP(H134,AzureRegions!$A$4:$C$1493,3,FALSE)</f>
        <v>#N/A</v>
      </c>
      <c r="U134" s="3" t="e">
        <f>VLOOKUP(I134,Resources!$A$2:$AA$1503,2,FALSE)</f>
        <v>#N/A</v>
      </c>
      <c r="V134" s="3" t="e">
        <f>VLOOKUP(I134,Resources!$A$2:$H$1503,6,FALSE)</f>
        <v>#N/A</v>
      </c>
      <c r="W134" s="3" t="str">
        <f>VLOOKUP($H$2,Casing!$A$4:$A$60,1,FALSE)</f>
        <v>Lower</v>
      </c>
      <c r="X134" s="14" t="str">
        <f t="shared" si="3"/>
        <v>001</v>
      </c>
      <c r="Y134" s="3" t="str">
        <f>IFERROR(VLOOKUP(F134,Func!$A$4:$G$1500,2,FALSE),"none")</f>
        <v>none</v>
      </c>
      <c r="Z134" s="3" t="e">
        <f>VLOOKUP(I134,Resources!$A$2:$AA$1503,18,FALSE)</f>
        <v>#N/A</v>
      </c>
      <c r="AA134" s="3" t="str">
        <f>IFERROR(VLOOKUP(B134,Orgs!$A$4:$G$1500,2,FALSE),"none")</f>
        <v>none</v>
      </c>
      <c r="AB134" s="3" t="str">
        <f>IFERROR(VLOOKUP(C134,UnitsDepts!$A$4:$G$1500,2,FALSE),"none")</f>
        <v>none</v>
      </c>
      <c r="AC134" s="3" t="str">
        <f>IFERROR(VLOOKUP(D134,ProjAppSvc!$A$4:$G$1500,2,FALSE),"none")</f>
        <v>none</v>
      </c>
    </row>
    <row r="135" spans="1:29" x14ac:dyDescent="0.45">
      <c r="A135" s="14" t="s">
        <v>23</v>
      </c>
      <c r="B135" s="14"/>
      <c r="C135" s="14"/>
      <c r="D135" s="14"/>
      <c r="H135" s="8"/>
      <c r="I135" s="3"/>
      <c r="J135" s="3" t="str">
        <f t="shared" si="4"/>
        <v/>
      </c>
      <c r="K135" s="3" t="str">
        <f>IF(ISNUMBER(SEARCH("-",V135)),IFERROR(IF($H$2="Lower", LOWER(ComputeResourceName(Z135,#REF!,#REF!,G135,N135,O135,P135,Q135,S135,T135,V135,A135)), UPPER(ComputeResourceName(Z135,#REF!,#REF!,G135,N135,O135,P135,Q135,S135,T135,V135,A135))),""),SUBSTITUTE(IFERROR(IF($H$2="Lower", LOWER(ComputeResourceName(#REF!,#REF!,#REF!,G135,N135,O135,P135,Q135,S135,T135,V135,A135)), UPPER(ComputeResourceName(#REF!,#REF!,#REF!,G135,N135,O135,P135,Q135,S135,T135,V135,A135))),""), "-",""))</f>
        <v/>
      </c>
      <c r="L135" s="3" t="str">
        <f xml:space="preserve"> IF(K135="","",  IFERROR(VLOOKUP(I135,Resources!$B$1:$H$1503,5,FALSE)-LEN(K135),0))</f>
        <v/>
      </c>
      <c r="M135" s="3" t="str">
        <f>IF(K135="","",IFERROR(matches(K135,VLOOKUP(I135,Resources!$A$2:$AA$1503,16,FALSE)),FALSE))</f>
        <v/>
      </c>
      <c r="N135" s="3" t="e">
        <f>VLOOKUP(E135,Enviroments!$A$3:$D$59,1,FALSE)</f>
        <v>#N/A</v>
      </c>
      <c r="O135" s="3" t="e">
        <f>VLOOKUP(E135,Enviroments!$A$3:$D$59,2,FALSE)</f>
        <v>#N/A</v>
      </c>
      <c r="P135" s="3" t="e">
        <f>VLOOKUP(E135,Enviroments!$A$3:$D$59,3,FALSE)</f>
        <v>#N/A</v>
      </c>
      <c r="Q135" s="3" t="e">
        <f>VLOOKUP(E135,Enviroments!$A$3:$D$59,4,FALSE)</f>
        <v>#N/A</v>
      </c>
      <c r="R135" s="3" t="e">
        <f>VLOOKUP(H135,AzureRegions!$A$4:$B$1493,1,FALSE)</f>
        <v>#N/A</v>
      </c>
      <c r="S135" s="3" t="e">
        <f>VLOOKUP(H135,AzureRegions!$A$4:$B$1493,2,FALSE)</f>
        <v>#N/A</v>
      </c>
      <c r="T135" s="3" t="e">
        <f>VLOOKUP(H135,AzureRegions!$A$4:$C$1493,3,FALSE)</f>
        <v>#N/A</v>
      </c>
      <c r="U135" s="3" t="e">
        <f>VLOOKUP(I135,Resources!$A$2:$AA$1503,2,FALSE)</f>
        <v>#N/A</v>
      </c>
      <c r="V135" s="3" t="e">
        <f>VLOOKUP(I135,Resources!$A$2:$H$1503,6,FALSE)</f>
        <v>#N/A</v>
      </c>
      <c r="W135" s="3" t="str">
        <f>VLOOKUP($H$2,Casing!$A$4:$A$60,1,FALSE)</f>
        <v>Lower</v>
      </c>
      <c r="X135" s="14" t="str">
        <f t="shared" ref="X135:X189" si="5">A135</f>
        <v>001</v>
      </c>
      <c r="Y135" s="3" t="str">
        <f>IFERROR(VLOOKUP(F135,Func!$A$4:$G$1500,2,FALSE),"none")</f>
        <v>none</v>
      </c>
      <c r="Z135" s="3" t="e">
        <f>VLOOKUP(I135,Resources!$A$2:$AA$1503,18,FALSE)</f>
        <v>#N/A</v>
      </c>
      <c r="AA135" s="3" t="str">
        <f>IFERROR(VLOOKUP(B135,Orgs!$A$4:$G$1500,2,FALSE),"none")</f>
        <v>none</v>
      </c>
      <c r="AB135" s="3" t="str">
        <f>IFERROR(VLOOKUP(C135,UnitsDepts!$A$4:$G$1500,2,FALSE),"none")</f>
        <v>none</v>
      </c>
      <c r="AC135" s="3" t="str">
        <f>IFERROR(VLOOKUP(D135,ProjAppSvc!$A$4:$G$1500,2,FALSE),"none")</f>
        <v>none</v>
      </c>
    </row>
    <row r="136" spans="1:29" x14ac:dyDescent="0.45">
      <c r="A136" s="14" t="s">
        <v>23</v>
      </c>
      <c r="B136" s="14"/>
      <c r="C136" s="14"/>
      <c r="D136" s="14"/>
      <c r="H136" s="8"/>
      <c r="I136" s="3"/>
      <c r="J136" s="3" t="str">
        <f t="shared" si="4"/>
        <v/>
      </c>
      <c r="K136" s="3" t="str">
        <f>IF(ISNUMBER(SEARCH("-",V136)),IFERROR(IF($H$2="Lower", LOWER(ComputeResourceName(Z136,#REF!,#REF!,G136,N136,O136,P136,Q136,S136,T136,V136,A136)), UPPER(ComputeResourceName(Z136,#REF!,#REF!,G136,N136,O136,P136,Q136,S136,T136,V136,A136))),""),SUBSTITUTE(IFERROR(IF($H$2="Lower", LOWER(ComputeResourceName(#REF!,#REF!,#REF!,G136,N136,O136,P136,Q136,S136,T136,V136,A136)), UPPER(ComputeResourceName(#REF!,#REF!,#REF!,G136,N136,O136,P136,Q136,S136,T136,V136,A136))),""), "-",""))</f>
        <v/>
      </c>
      <c r="L136" s="3" t="str">
        <f xml:space="preserve"> IF(K136="","",  IFERROR(VLOOKUP(I136,Resources!$B$1:$H$1503,5,FALSE)-LEN(K136),0))</f>
        <v/>
      </c>
      <c r="M136" s="3" t="str">
        <f>IF(K136="","",IFERROR(matches(K136,VLOOKUP(I136,Resources!$A$2:$AA$1503,16,FALSE)),FALSE))</f>
        <v/>
      </c>
      <c r="N136" s="3" t="e">
        <f>VLOOKUP(E136,Enviroments!$A$3:$D$59,1,FALSE)</f>
        <v>#N/A</v>
      </c>
      <c r="O136" s="3" t="e">
        <f>VLOOKUP(E136,Enviroments!$A$3:$D$59,2,FALSE)</f>
        <v>#N/A</v>
      </c>
      <c r="P136" s="3" t="e">
        <f>VLOOKUP(E136,Enviroments!$A$3:$D$59,3,FALSE)</f>
        <v>#N/A</v>
      </c>
      <c r="Q136" s="3" t="e">
        <f>VLOOKUP(E136,Enviroments!$A$3:$D$59,4,FALSE)</f>
        <v>#N/A</v>
      </c>
      <c r="R136" s="3" t="e">
        <f>VLOOKUP(H136,AzureRegions!$A$4:$B$1493,1,FALSE)</f>
        <v>#N/A</v>
      </c>
      <c r="S136" s="3" t="e">
        <f>VLOOKUP(H136,AzureRegions!$A$4:$B$1493,2,FALSE)</f>
        <v>#N/A</v>
      </c>
      <c r="T136" s="3" t="e">
        <f>VLOOKUP(H136,AzureRegions!$A$4:$C$1493,3,FALSE)</f>
        <v>#N/A</v>
      </c>
      <c r="U136" s="3" t="e">
        <f>VLOOKUP(I136,Resources!$A$2:$AA$1503,2,FALSE)</f>
        <v>#N/A</v>
      </c>
      <c r="V136" s="3" t="e">
        <f>VLOOKUP(I136,Resources!$A$2:$H$1503,6,FALSE)</f>
        <v>#N/A</v>
      </c>
      <c r="W136" s="3" t="str">
        <f>VLOOKUP($H$2,Casing!$A$4:$A$60,1,FALSE)</f>
        <v>Lower</v>
      </c>
      <c r="X136" s="14" t="str">
        <f t="shared" si="5"/>
        <v>001</v>
      </c>
      <c r="Y136" s="3" t="str">
        <f>IFERROR(VLOOKUP(F136,Func!$A$4:$G$1500,2,FALSE),"none")</f>
        <v>none</v>
      </c>
      <c r="Z136" s="3" t="e">
        <f>VLOOKUP(I136,Resources!$A$2:$AA$1503,18,FALSE)</f>
        <v>#N/A</v>
      </c>
      <c r="AA136" s="3" t="str">
        <f>IFERROR(VLOOKUP(B136,Orgs!$A$4:$G$1500,2,FALSE),"none")</f>
        <v>none</v>
      </c>
      <c r="AB136" s="3" t="str">
        <f>IFERROR(VLOOKUP(C136,UnitsDepts!$A$4:$G$1500,2,FALSE),"none")</f>
        <v>none</v>
      </c>
      <c r="AC136" s="3" t="str">
        <f>IFERROR(VLOOKUP(D136,ProjAppSvc!$A$4:$G$1500,2,FALSE),"none")</f>
        <v>none</v>
      </c>
    </row>
    <row r="137" spans="1:29" x14ac:dyDescent="0.45">
      <c r="A137" s="14" t="s">
        <v>23</v>
      </c>
      <c r="B137" s="14"/>
      <c r="C137" s="14"/>
      <c r="D137" s="14"/>
      <c r="H137" s="8"/>
      <c r="I137" s="3"/>
      <c r="J137" s="3" t="str">
        <f t="shared" si="4"/>
        <v/>
      </c>
      <c r="K137" s="3" t="str">
        <f>IF(ISNUMBER(SEARCH("-",V137)),IFERROR(IF($H$2="Lower", LOWER(ComputeResourceName(Z137,#REF!,#REF!,G137,N137,O137,P137,Q137,S137,T137,V137,A137)), UPPER(ComputeResourceName(Z137,#REF!,#REF!,G137,N137,O137,P137,Q137,S137,T137,V137,A137))),""),SUBSTITUTE(IFERROR(IF($H$2="Lower", LOWER(ComputeResourceName(#REF!,#REF!,#REF!,G137,N137,O137,P137,Q137,S137,T137,V137,A137)), UPPER(ComputeResourceName(#REF!,#REF!,#REF!,G137,N137,O137,P137,Q137,S137,T137,V137,A137))),""), "-",""))</f>
        <v/>
      </c>
      <c r="L137" s="3" t="str">
        <f xml:space="preserve"> IF(K137="","",  IFERROR(VLOOKUP(I137,Resources!$B$1:$H$1503,5,FALSE)-LEN(K137),0))</f>
        <v/>
      </c>
      <c r="M137" s="3" t="str">
        <f>IF(K137="","",IFERROR(matches(K137,VLOOKUP(I137,Resources!$A$2:$AA$1503,16,FALSE)),FALSE))</f>
        <v/>
      </c>
      <c r="N137" s="3" t="e">
        <f>VLOOKUP(E137,Enviroments!$A$3:$D$59,1,FALSE)</f>
        <v>#N/A</v>
      </c>
      <c r="O137" s="3" t="e">
        <f>VLOOKUP(E137,Enviroments!$A$3:$D$59,2,FALSE)</f>
        <v>#N/A</v>
      </c>
      <c r="P137" s="3" t="e">
        <f>VLOOKUP(E137,Enviroments!$A$3:$D$59,3,FALSE)</f>
        <v>#N/A</v>
      </c>
      <c r="Q137" s="3" t="e">
        <f>VLOOKUP(E137,Enviroments!$A$3:$D$59,4,FALSE)</f>
        <v>#N/A</v>
      </c>
      <c r="R137" s="3" t="e">
        <f>VLOOKUP(H137,AzureRegions!$A$4:$B$1493,1,FALSE)</f>
        <v>#N/A</v>
      </c>
      <c r="S137" s="3" t="e">
        <f>VLOOKUP(H137,AzureRegions!$A$4:$B$1493,2,FALSE)</f>
        <v>#N/A</v>
      </c>
      <c r="T137" s="3" t="e">
        <f>VLOOKUP(H137,AzureRegions!$A$4:$C$1493,3,FALSE)</f>
        <v>#N/A</v>
      </c>
      <c r="U137" s="3" t="e">
        <f>VLOOKUP(I137,Resources!$A$2:$AA$1503,2,FALSE)</f>
        <v>#N/A</v>
      </c>
      <c r="V137" s="3" t="e">
        <f>VLOOKUP(I137,Resources!$A$2:$H$1503,6,FALSE)</f>
        <v>#N/A</v>
      </c>
      <c r="W137" s="3" t="str">
        <f>VLOOKUP($H$2,Casing!$A$4:$A$60,1,FALSE)</f>
        <v>Lower</v>
      </c>
      <c r="X137" s="14" t="str">
        <f t="shared" si="5"/>
        <v>001</v>
      </c>
      <c r="Y137" s="3" t="str">
        <f>IFERROR(VLOOKUP(F137,Func!$A$4:$G$1500,2,FALSE),"none")</f>
        <v>none</v>
      </c>
      <c r="Z137" s="3" t="e">
        <f>VLOOKUP(I137,Resources!$A$2:$AA$1503,18,FALSE)</f>
        <v>#N/A</v>
      </c>
      <c r="AA137" s="3" t="str">
        <f>IFERROR(VLOOKUP(B137,Orgs!$A$4:$G$1500,2,FALSE),"none")</f>
        <v>none</v>
      </c>
      <c r="AB137" s="3" t="str">
        <f>IFERROR(VLOOKUP(C137,UnitsDepts!$A$4:$G$1500,2,FALSE),"none")</f>
        <v>none</v>
      </c>
      <c r="AC137" s="3" t="str">
        <f>IFERROR(VLOOKUP(D137,ProjAppSvc!$A$4:$G$1500,2,FALSE),"none")</f>
        <v>none</v>
      </c>
    </row>
    <row r="138" spans="1:29" x14ac:dyDescent="0.45">
      <c r="A138" s="14" t="s">
        <v>23</v>
      </c>
      <c r="B138" s="14"/>
      <c r="C138" s="14"/>
      <c r="D138" s="14"/>
      <c r="H138" s="8"/>
      <c r="I138" s="3"/>
      <c r="J138" s="3" t="str">
        <f t="shared" si="4"/>
        <v/>
      </c>
      <c r="K138" s="3" t="str">
        <f>IF(ISNUMBER(SEARCH("-",V138)),IFERROR(IF($H$2="Lower", LOWER(ComputeResourceName(Z138,#REF!,#REF!,G138,N138,O138,P138,Q138,S138,T138,V138,A138)), UPPER(ComputeResourceName(Z138,#REF!,#REF!,G138,N138,O138,P138,Q138,S138,T138,V138,A138))),""),SUBSTITUTE(IFERROR(IF($H$2="Lower", LOWER(ComputeResourceName(#REF!,#REF!,#REF!,G138,N138,O138,P138,Q138,S138,T138,V138,A138)), UPPER(ComputeResourceName(#REF!,#REF!,#REF!,G138,N138,O138,P138,Q138,S138,T138,V138,A138))),""), "-",""))</f>
        <v/>
      </c>
      <c r="L138" s="3" t="str">
        <f xml:space="preserve"> IF(K138="","",  IFERROR(VLOOKUP(I138,Resources!$B$1:$H$1503,5,FALSE)-LEN(K138),0))</f>
        <v/>
      </c>
      <c r="M138" s="3" t="str">
        <f>IF(K138="","",IFERROR(matches(K138,VLOOKUP(I138,Resources!$A$2:$AA$1503,16,FALSE)),FALSE))</f>
        <v/>
      </c>
      <c r="N138" s="3" t="e">
        <f>VLOOKUP(E138,Enviroments!$A$3:$D$59,1,FALSE)</f>
        <v>#N/A</v>
      </c>
      <c r="O138" s="3" t="e">
        <f>VLOOKUP(E138,Enviroments!$A$3:$D$59,2,FALSE)</f>
        <v>#N/A</v>
      </c>
      <c r="P138" s="3" t="e">
        <f>VLOOKUP(E138,Enviroments!$A$3:$D$59,3,FALSE)</f>
        <v>#N/A</v>
      </c>
      <c r="Q138" s="3" t="e">
        <f>VLOOKUP(E138,Enviroments!$A$3:$D$59,4,FALSE)</f>
        <v>#N/A</v>
      </c>
      <c r="R138" s="3" t="e">
        <f>VLOOKUP(H138,AzureRegions!$A$4:$B$1493,1,FALSE)</f>
        <v>#N/A</v>
      </c>
      <c r="S138" s="3" t="e">
        <f>VLOOKUP(H138,AzureRegions!$A$4:$B$1493,2,FALSE)</f>
        <v>#N/A</v>
      </c>
      <c r="T138" s="3" t="e">
        <f>VLOOKUP(H138,AzureRegions!$A$4:$C$1493,3,FALSE)</f>
        <v>#N/A</v>
      </c>
      <c r="U138" s="3" t="e">
        <f>VLOOKUP(I138,Resources!$A$2:$AA$1503,2,FALSE)</f>
        <v>#N/A</v>
      </c>
      <c r="V138" s="3" t="e">
        <f>VLOOKUP(I138,Resources!$A$2:$H$1503,6,FALSE)</f>
        <v>#N/A</v>
      </c>
      <c r="W138" s="3" t="str">
        <f>VLOOKUP($H$2,Casing!$A$4:$A$60,1,FALSE)</f>
        <v>Lower</v>
      </c>
      <c r="X138" s="14" t="str">
        <f t="shared" si="5"/>
        <v>001</v>
      </c>
      <c r="Y138" s="3" t="str">
        <f>IFERROR(VLOOKUP(F138,Func!$A$4:$G$1500,2,FALSE),"none")</f>
        <v>none</v>
      </c>
      <c r="Z138" s="3" t="e">
        <f>VLOOKUP(I138,Resources!$A$2:$AA$1503,18,FALSE)</f>
        <v>#N/A</v>
      </c>
      <c r="AA138" s="3" t="str">
        <f>IFERROR(VLOOKUP(B138,Orgs!$A$4:$G$1500,2,FALSE),"none")</f>
        <v>none</v>
      </c>
      <c r="AB138" s="3" t="str">
        <f>IFERROR(VLOOKUP(C138,UnitsDepts!$A$4:$G$1500,2,FALSE),"none")</f>
        <v>none</v>
      </c>
      <c r="AC138" s="3" t="str">
        <f>IFERROR(VLOOKUP(D138,ProjAppSvc!$A$4:$G$1500,2,FALSE),"none")</f>
        <v>none</v>
      </c>
    </row>
    <row r="139" spans="1:29" x14ac:dyDescent="0.45">
      <c r="A139" s="14" t="s">
        <v>23</v>
      </c>
      <c r="B139" s="14"/>
      <c r="C139" s="14"/>
      <c r="D139" s="14"/>
      <c r="H139" s="8"/>
      <c r="I139" s="3"/>
      <c r="J139" s="3" t="str">
        <f t="shared" si="4"/>
        <v/>
      </c>
      <c r="K139" s="3" t="str">
        <f>IF(ISNUMBER(SEARCH("-",V139)),IFERROR(IF($H$2="Lower", LOWER(ComputeResourceName(Z139,#REF!,#REF!,G139,N139,O139,P139,Q139,S139,T139,V139,A139)), UPPER(ComputeResourceName(Z139,#REF!,#REF!,G139,N139,O139,P139,Q139,S139,T139,V139,A139))),""),SUBSTITUTE(IFERROR(IF($H$2="Lower", LOWER(ComputeResourceName(#REF!,#REF!,#REF!,G139,N139,O139,P139,Q139,S139,T139,V139,A139)), UPPER(ComputeResourceName(#REF!,#REF!,#REF!,G139,N139,O139,P139,Q139,S139,T139,V139,A139))),""), "-",""))</f>
        <v/>
      </c>
      <c r="L139" s="3" t="str">
        <f xml:space="preserve"> IF(K139="","",  IFERROR(VLOOKUP(I139,Resources!$B$1:$H$1503,5,FALSE)-LEN(K139),0))</f>
        <v/>
      </c>
      <c r="M139" s="3" t="str">
        <f>IF(K139="","",IFERROR(matches(K139,VLOOKUP(I139,Resources!$A$2:$AA$1503,16,FALSE)),FALSE))</f>
        <v/>
      </c>
      <c r="N139" s="3" t="e">
        <f>VLOOKUP(E139,Enviroments!$A$3:$D$59,1,FALSE)</f>
        <v>#N/A</v>
      </c>
      <c r="O139" s="3" t="e">
        <f>VLOOKUP(E139,Enviroments!$A$3:$D$59,2,FALSE)</f>
        <v>#N/A</v>
      </c>
      <c r="P139" s="3" t="e">
        <f>VLOOKUP(E139,Enviroments!$A$3:$D$59,3,FALSE)</f>
        <v>#N/A</v>
      </c>
      <c r="Q139" s="3" t="e">
        <f>VLOOKUP(E139,Enviroments!$A$3:$D$59,4,FALSE)</f>
        <v>#N/A</v>
      </c>
      <c r="R139" s="3" t="e">
        <f>VLOOKUP(H139,AzureRegions!$A$4:$B$1493,1,FALSE)</f>
        <v>#N/A</v>
      </c>
      <c r="S139" s="3" t="e">
        <f>VLOOKUP(H139,AzureRegions!$A$4:$B$1493,2,FALSE)</f>
        <v>#N/A</v>
      </c>
      <c r="T139" s="3" t="e">
        <f>VLOOKUP(H139,AzureRegions!$A$4:$C$1493,3,FALSE)</f>
        <v>#N/A</v>
      </c>
      <c r="U139" s="3" t="e">
        <f>VLOOKUP(I139,Resources!$A$2:$AA$1503,2,FALSE)</f>
        <v>#N/A</v>
      </c>
      <c r="V139" s="3" t="e">
        <f>VLOOKUP(I139,Resources!$A$2:$H$1503,6,FALSE)</f>
        <v>#N/A</v>
      </c>
      <c r="W139" s="3" t="str">
        <f>VLOOKUP($H$2,Casing!$A$4:$A$60,1,FALSE)</f>
        <v>Lower</v>
      </c>
      <c r="X139" s="14" t="str">
        <f t="shared" si="5"/>
        <v>001</v>
      </c>
      <c r="Y139" s="3" t="str">
        <f>IFERROR(VLOOKUP(F139,Func!$A$4:$G$1500,2,FALSE),"none")</f>
        <v>none</v>
      </c>
      <c r="Z139" s="3" t="e">
        <f>VLOOKUP(I139,Resources!$A$2:$AA$1503,18,FALSE)</f>
        <v>#N/A</v>
      </c>
      <c r="AA139" s="3" t="str">
        <f>IFERROR(VLOOKUP(B139,Orgs!$A$4:$G$1500,2,FALSE),"none")</f>
        <v>none</v>
      </c>
      <c r="AB139" s="3" t="str">
        <f>IFERROR(VLOOKUP(C139,UnitsDepts!$A$4:$G$1500,2,FALSE),"none")</f>
        <v>none</v>
      </c>
      <c r="AC139" s="3" t="str">
        <f>IFERROR(VLOOKUP(D139,ProjAppSvc!$A$4:$G$1500,2,FALSE),"none")</f>
        <v>none</v>
      </c>
    </row>
    <row r="140" spans="1:29" x14ac:dyDescent="0.45">
      <c r="A140" s="14" t="s">
        <v>23</v>
      </c>
      <c r="B140" s="14"/>
      <c r="C140" s="14"/>
      <c r="D140" s="14"/>
      <c r="H140" s="8"/>
      <c r="I140" s="3"/>
      <c r="J140" s="3" t="str">
        <f t="shared" si="4"/>
        <v/>
      </c>
      <c r="K140" s="3" t="str">
        <f>IF(ISNUMBER(SEARCH("-",V140)),IFERROR(IF($H$2="Lower", LOWER(ComputeResourceName(Z140,#REF!,#REF!,G140,N140,O140,P140,Q140,S140,T140,V140,A140)), UPPER(ComputeResourceName(Z140,#REF!,#REF!,G140,N140,O140,P140,Q140,S140,T140,V140,A140))),""),SUBSTITUTE(IFERROR(IF($H$2="Lower", LOWER(ComputeResourceName(#REF!,#REF!,#REF!,G140,N140,O140,P140,Q140,S140,T140,V140,A140)), UPPER(ComputeResourceName(#REF!,#REF!,#REF!,G140,N140,O140,P140,Q140,S140,T140,V140,A140))),""), "-",""))</f>
        <v/>
      </c>
      <c r="L140" s="3" t="str">
        <f xml:space="preserve"> IF(K140="","",  IFERROR(VLOOKUP(I140,Resources!$B$1:$H$1503,5,FALSE)-LEN(K140),0))</f>
        <v/>
      </c>
      <c r="M140" s="3" t="str">
        <f>IF(K140="","",IFERROR(matches(K140,VLOOKUP(I140,Resources!$A$2:$AA$1503,16,FALSE)),FALSE))</f>
        <v/>
      </c>
      <c r="N140" s="3" t="e">
        <f>VLOOKUP(E140,Enviroments!$A$3:$D$59,1,FALSE)</f>
        <v>#N/A</v>
      </c>
      <c r="O140" s="3" t="e">
        <f>VLOOKUP(E140,Enviroments!$A$3:$D$59,2,FALSE)</f>
        <v>#N/A</v>
      </c>
      <c r="P140" s="3" t="e">
        <f>VLOOKUP(E140,Enviroments!$A$3:$D$59,3,FALSE)</f>
        <v>#N/A</v>
      </c>
      <c r="Q140" s="3" t="e">
        <f>VLOOKUP(E140,Enviroments!$A$3:$D$59,4,FALSE)</f>
        <v>#N/A</v>
      </c>
      <c r="R140" s="3" t="e">
        <f>VLOOKUP(H140,AzureRegions!$A$4:$B$1493,1,FALSE)</f>
        <v>#N/A</v>
      </c>
      <c r="S140" s="3" t="e">
        <f>VLOOKUP(H140,AzureRegions!$A$4:$B$1493,2,FALSE)</f>
        <v>#N/A</v>
      </c>
      <c r="T140" s="3" t="e">
        <f>VLOOKUP(H140,AzureRegions!$A$4:$C$1493,3,FALSE)</f>
        <v>#N/A</v>
      </c>
      <c r="U140" s="3" t="e">
        <f>VLOOKUP(I140,Resources!$A$2:$AA$1503,2,FALSE)</f>
        <v>#N/A</v>
      </c>
      <c r="V140" s="3" t="e">
        <f>VLOOKUP(I140,Resources!$A$2:$H$1503,6,FALSE)</f>
        <v>#N/A</v>
      </c>
      <c r="W140" s="3" t="str">
        <f>VLOOKUP($H$2,Casing!$A$4:$A$60,1,FALSE)</f>
        <v>Lower</v>
      </c>
      <c r="X140" s="14" t="str">
        <f t="shared" si="5"/>
        <v>001</v>
      </c>
      <c r="Y140" s="3" t="str">
        <f>IFERROR(VLOOKUP(F140,Func!$A$4:$G$1500,2,FALSE),"none")</f>
        <v>none</v>
      </c>
      <c r="Z140" s="3" t="e">
        <f>VLOOKUP(I140,Resources!$A$2:$AA$1503,18,FALSE)</f>
        <v>#N/A</v>
      </c>
      <c r="AA140" s="3" t="str">
        <f>IFERROR(VLOOKUP(B140,Orgs!$A$4:$G$1500,2,FALSE),"none")</f>
        <v>none</v>
      </c>
      <c r="AB140" s="3" t="str">
        <f>IFERROR(VLOOKUP(C140,UnitsDepts!$A$4:$G$1500,2,FALSE),"none")</f>
        <v>none</v>
      </c>
      <c r="AC140" s="3" t="str">
        <f>IFERROR(VLOOKUP(D140,ProjAppSvc!$A$4:$G$1500,2,FALSE),"none")</f>
        <v>none</v>
      </c>
    </row>
    <row r="141" spans="1:29" x14ac:dyDescent="0.45">
      <c r="A141" s="14" t="s">
        <v>23</v>
      </c>
      <c r="B141" s="14"/>
      <c r="C141" s="14"/>
      <c r="D141" s="14"/>
      <c r="H141" s="8"/>
      <c r="I141" s="3"/>
      <c r="J141" s="3" t="str">
        <f t="shared" ref="J141:J172" si="6">IFERROR(Z141, "")</f>
        <v/>
      </c>
      <c r="K141" s="3" t="str">
        <f>IF(ISNUMBER(SEARCH("-",V141)),IFERROR(IF($H$2="Lower", LOWER(ComputeResourceName(Z141,#REF!,#REF!,G141,N141,O141,P141,Q141,S141,T141,V141,A141)), UPPER(ComputeResourceName(Z141,#REF!,#REF!,G141,N141,O141,P141,Q141,S141,T141,V141,A141))),""),SUBSTITUTE(IFERROR(IF($H$2="Lower", LOWER(ComputeResourceName(#REF!,#REF!,#REF!,G141,N141,O141,P141,Q141,S141,T141,V141,A141)), UPPER(ComputeResourceName(#REF!,#REF!,#REF!,G141,N141,O141,P141,Q141,S141,T141,V141,A141))),""), "-",""))</f>
        <v/>
      </c>
      <c r="L141" s="3" t="str">
        <f xml:space="preserve"> IF(K141="","",  IFERROR(VLOOKUP(I141,Resources!$B$1:$H$1503,5,FALSE)-LEN(K141),0))</f>
        <v/>
      </c>
      <c r="M141" s="3" t="str">
        <f>IF(K141="","",IFERROR(matches(K141,VLOOKUP(I141,Resources!$A$2:$AA$1503,16,FALSE)),FALSE))</f>
        <v/>
      </c>
      <c r="N141" s="3" t="e">
        <f>VLOOKUP(E141,Enviroments!$A$3:$D$59,1,FALSE)</f>
        <v>#N/A</v>
      </c>
      <c r="O141" s="3" t="e">
        <f>VLOOKUP(E141,Enviroments!$A$3:$D$59,2,FALSE)</f>
        <v>#N/A</v>
      </c>
      <c r="P141" s="3" t="e">
        <f>VLOOKUP(E141,Enviroments!$A$3:$D$59,3,FALSE)</f>
        <v>#N/A</v>
      </c>
      <c r="Q141" s="3" t="e">
        <f>VLOOKUP(E141,Enviroments!$A$3:$D$59,4,FALSE)</f>
        <v>#N/A</v>
      </c>
      <c r="R141" s="3" t="e">
        <f>VLOOKUP(H141,AzureRegions!$A$4:$B$1493,1,FALSE)</f>
        <v>#N/A</v>
      </c>
      <c r="S141" s="3" t="e">
        <f>VLOOKUP(H141,AzureRegions!$A$4:$B$1493,2,FALSE)</f>
        <v>#N/A</v>
      </c>
      <c r="T141" s="3" t="e">
        <f>VLOOKUP(H141,AzureRegions!$A$4:$C$1493,3,FALSE)</f>
        <v>#N/A</v>
      </c>
      <c r="U141" s="3" t="e">
        <f>VLOOKUP(I141,Resources!$A$2:$AA$1503,2,FALSE)</f>
        <v>#N/A</v>
      </c>
      <c r="V141" s="3" t="e">
        <f>VLOOKUP(I141,Resources!$A$2:$H$1503,6,FALSE)</f>
        <v>#N/A</v>
      </c>
      <c r="W141" s="3" t="str">
        <f>VLOOKUP($H$2,Casing!$A$4:$A$60,1,FALSE)</f>
        <v>Lower</v>
      </c>
      <c r="X141" s="14" t="str">
        <f t="shared" si="5"/>
        <v>001</v>
      </c>
      <c r="Y141" s="3" t="str">
        <f>IFERROR(VLOOKUP(F141,Func!$A$4:$G$1500,2,FALSE),"none")</f>
        <v>none</v>
      </c>
      <c r="Z141" s="3" t="e">
        <f>VLOOKUP(I141,Resources!$A$2:$AA$1503,18,FALSE)</f>
        <v>#N/A</v>
      </c>
      <c r="AA141" s="3" t="str">
        <f>IFERROR(VLOOKUP(B141,Orgs!$A$4:$G$1500,2,FALSE),"none")</f>
        <v>none</v>
      </c>
      <c r="AB141" s="3" t="str">
        <f>IFERROR(VLOOKUP(C141,UnitsDepts!$A$4:$G$1500,2,FALSE),"none")</f>
        <v>none</v>
      </c>
      <c r="AC141" s="3" t="str">
        <f>IFERROR(VLOOKUP(D141,ProjAppSvc!$A$4:$G$1500,2,FALSE),"none")</f>
        <v>none</v>
      </c>
    </row>
    <row r="142" spans="1:29" x14ac:dyDescent="0.45">
      <c r="A142" s="14" t="s">
        <v>23</v>
      </c>
      <c r="B142" s="14"/>
      <c r="C142" s="14"/>
      <c r="D142" s="14"/>
      <c r="H142" s="8"/>
      <c r="I142" s="3"/>
      <c r="J142" s="3" t="str">
        <f t="shared" si="6"/>
        <v/>
      </c>
      <c r="K142" s="3" t="str">
        <f>IF(ISNUMBER(SEARCH("-",V142)),IFERROR(IF($H$2="Lower", LOWER(ComputeResourceName(Z142,#REF!,#REF!,G142,N142,O142,P142,Q142,S142,T142,V142,A142)), UPPER(ComputeResourceName(Z142,#REF!,#REF!,G142,N142,O142,P142,Q142,S142,T142,V142,A142))),""),SUBSTITUTE(IFERROR(IF($H$2="Lower", LOWER(ComputeResourceName(#REF!,#REF!,#REF!,G142,N142,O142,P142,Q142,S142,T142,V142,A142)), UPPER(ComputeResourceName(#REF!,#REF!,#REF!,G142,N142,O142,P142,Q142,S142,T142,V142,A142))),""), "-",""))</f>
        <v/>
      </c>
      <c r="L142" s="3" t="str">
        <f xml:space="preserve"> IF(K142="","",  IFERROR(VLOOKUP(I142,Resources!$B$1:$H$1503,5,FALSE)-LEN(K142),0))</f>
        <v/>
      </c>
      <c r="M142" s="3" t="str">
        <f>IF(K142="","",IFERROR(matches(K142,VLOOKUP(I142,Resources!$A$2:$AA$1503,16,FALSE)),FALSE))</f>
        <v/>
      </c>
      <c r="N142" s="3" t="e">
        <f>VLOOKUP(E142,Enviroments!$A$3:$D$59,1,FALSE)</f>
        <v>#N/A</v>
      </c>
      <c r="O142" s="3" t="e">
        <f>VLOOKUP(E142,Enviroments!$A$3:$D$59,2,FALSE)</f>
        <v>#N/A</v>
      </c>
      <c r="P142" s="3" t="e">
        <f>VLOOKUP(E142,Enviroments!$A$3:$D$59,3,FALSE)</f>
        <v>#N/A</v>
      </c>
      <c r="Q142" s="3" t="e">
        <f>VLOOKUP(E142,Enviroments!$A$3:$D$59,4,FALSE)</f>
        <v>#N/A</v>
      </c>
      <c r="R142" s="3" t="e">
        <f>VLOOKUP(H142,AzureRegions!$A$4:$B$1493,1,FALSE)</f>
        <v>#N/A</v>
      </c>
      <c r="S142" s="3" t="e">
        <f>VLOOKUP(H142,AzureRegions!$A$4:$B$1493,2,FALSE)</f>
        <v>#N/A</v>
      </c>
      <c r="T142" s="3" t="e">
        <f>VLOOKUP(H142,AzureRegions!$A$4:$C$1493,3,FALSE)</f>
        <v>#N/A</v>
      </c>
      <c r="U142" s="3" t="e">
        <f>VLOOKUP(I142,Resources!$A$2:$AA$1503,2,FALSE)</f>
        <v>#N/A</v>
      </c>
      <c r="V142" s="3" t="e">
        <f>VLOOKUP(I142,Resources!$A$2:$H$1503,6,FALSE)</f>
        <v>#N/A</v>
      </c>
      <c r="W142" s="3" t="str">
        <f>VLOOKUP($H$2,Casing!$A$4:$A$60,1,FALSE)</f>
        <v>Lower</v>
      </c>
      <c r="X142" s="14" t="str">
        <f t="shared" si="5"/>
        <v>001</v>
      </c>
      <c r="Y142" s="3" t="str">
        <f>IFERROR(VLOOKUP(F142,Func!$A$4:$G$1500,2,FALSE),"none")</f>
        <v>none</v>
      </c>
      <c r="Z142" s="3" t="e">
        <f>VLOOKUP(I142,Resources!$A$2:$AA$1503,18,FALSE)</f>
        <v>#N/A</v>
      </c>
      <c r="AA142" s="3" t="str">
        <f>IFERROR(VLOOKUP(B142,Orgs!$A$4:$G$1500,2,FALSE),"none")</f>
        <v>none</v>
      </c>
      <c r="AB142" s="3" t="str">
        <f>IFERROR(VLOOKUP(C142,UnitsDepts!$A$4:$G$1500,2,FALSE),"none")</f>
        <v>none</v>
      </c>
      <c r="AC142" s="3" t="str">
        <f>IFERROR(VLOOKUP(D142,ProjAppSvc!$A$4:$G$1500,2,FALSE),"none")</f>
        <v>none</v>
      </c>
    </row>
    <row r="143" spans="1:29" x14ac:dyDescent="0.45">
      <c r="A143" s="14" t="s">
        <v>23</v>
      </c>
      <c r="B143" s="14"/>
      <c r="C143" s="14"/>
      <c r="D143" s="14"/>
      <c r="H143" s="8"/>
      <c r="I143" s="3"/>
      <c r="J143" s="3" t="str">
        <f t="shared" si="6"/>
        <v/>
      </c>
      <c r="K143" s="3" t="str">
        <f>IF(ISNUMBER(SEARCH("-",V143)),IFERROR(IF($H$2="Lower", LOWER(ComputeResourceName(Z143,#REF!,#REF!,G143,N143,O143,P143,Q143,S143,T143,V143,A143)), UPPER(ComputeResourceName(Z143,#REF!,#REF!,G143,N143,O143,P143,Q143,S143,T143,V143,A143))),""),SUBSTITUTE(IFERROR(IF($H$2="Lower", LOWER(ComputeResourceName(#REF!,#REF!,#REF!,G143,N143,O143,P143,Q143,S143,T143,V143,A143)), UPPER(ComputeResourceName(#REF!,#REF!,#REF!,G143,N143,O143,P143,Q143,S143,T143,V143,A143))),""), "-",""))</f>
        <v/>
      </c>
      <c r="L143" s="3" t="str">
        <f xml:space="preserve"> IF(K143="","",  IFERROR(VLOOKUP(I143,Resources!$B$1:$H$1503,5,FALSE)-LEN(K143),0))</f>
        <v/>
      </c>
      <c r="M143" s="3" t="str">
        <f>IF(K143="","",IFERROR(matches(K143,VLOOKUP(I143,Resources!$A$2:$AA$1503,16,FALSE)),FALSE))</f>
        <v/>
      </c>
      <c r="N143" s="3" t="e">
        <f>VLOOKUP(E143,Enviroments!$A$3:$D$59,1,FALSE)</f>
        <v>#N/A</v>
      </c>
      <c r="O143" s="3" t="e">
        <f>VLOOKUP(E143,Enviroments!$A$3:$D$59,2,FALSE)</f>
        <v>#N/A</v>
      </c>
      <c r="P143" s="3" t="e">
        <f>VLOOKUP(E143,Enviroments!$A$3:$D$59,3,FALSE)</f>
        <v>#N/A</v>
      </c>
      <c r="Q143" s="3" t="e">
        <f>VLOOKUP(E143,Enviroments!$A$3:$D$59,4,FALSE)</f>
        <v>#N/A</v>
      </c>
      <c r="R143" s="3" t="e">
        <f>VLOOKUP(H143,AzureRegions!$A$4:$B$1493,1,FALSE)</f>
        <v>#N/A</v>
      </c>
      <c r="S143" s="3" t="e">
        <f>VLOOKUP(H143,AzureRegions!$A$4:$B$1493,2,FALSE)</f>
        <v>#N/A</v>
      </c>
      <c r="T143" s="3" t="e">
        <f>VLOOKUP(H143,AzureRegions!$A$4:$C$1493,3,FALSE)</f>
        <v>#N/A</v>
      </c>
      <c r="U143" s="3" t="e">
        <f>VLOOKUP(I143,Resources!$A$2:$AA$1503,2,FALSE)</f>
        <v>#N/A</v>
      </c>
      <c r="V143" s="3" t="e">
        <f>VLOOKUP(I143,Resources!$A$2:$H$1503,6,FALSE)</f>
        <v>#N/A</v>
      </c>
      <c r="W143" s="3" t="str">
        <f>VLOOKUP($H$2,Casing!$A$4:$A$60,1,FALSE)</f>
        <v>Lower</v>
      </c>
      <c r="X143" s="14" t="str">
        <f t="shared" si="5"/>
        <v>001</v>
      </c>
      <c r="Y143" s="3" t="str">
        <f>IFERROR(VLOOKUP(F143,Func!$A$4:$G$1500,2,FALSE),"none")</f>
        <v>none</v>
      </c>
      <c r="Z143" s="3" t="e">
        <f>VLOOKUP(I143,Resources!$A$2:$AA$1503,18,FALSE)</f>
        <v>#N/A</v>
      </c>
      <c r="AA143" s="3" t="str">
        <f>IFERROR(VLOOKUP(B143,Orgs!$A$4:$G$1500,2,FALSE),"none")</f>
        <v>none</v>
      </c>
      <c r="AB143" s="3" t="str">
        <f>IFERROR(VLOOKUP(C143,UnitsDepts!$A$4:$G$1500,2,FALSE),"none")</f>
        <v>none</v>
      </c>
      <c r="AC143" s="3" t="str">
        <f>IFERROR(VLOOKUP(D143,ProjAppSvc!$A$4:$G$1500,2,FALSE),"none")</f>
        <v>none</v>
      </c>
    </row>
    <row r="144" spans="1:29" x14ac:dyDescent="0.45">
      <c r="A144" s="14" t="s">
        <v>23</v>
      </c>
      <c r="B144" s="14"/>
      <c r="C144" s="14"/>
      <c r="D144" s="14"/>
      <c r="H144" s="8"/>
      <c r="I144" s="3"/>
      <c r="J144" s="3" t="str">
        <f t="shared" si="6"/>
        <v/>
      </c>
      <c r="K144" s="3" t="str">
        <f>IF(ISNUMBER(SEARCH("-",V144)),IFERROR(IF($H$2="Lower", LOWER(ComputeResourceName(Z144,#REF!,#REF!,G144,N144,O144,P144,Q144,S144,T144,V144,A144)), UPPER(ComputeResourceName(Z144,#REF!,#REF!,G144,N144,O144,P144,Q144,S144,T144,V144,A144))),""),SUBSTITUTE(IFERROR(IF($H$2="Lower", LOWER(ComputeResourceName(#REF!,#REF!,#REF!,G144,N144,O144,P144,Q144,S144,T144,V144,A144)), UPPER(ComputeResourceName(#REF!,#REF!,#REF!,G144,N144,O144,P144,Q144,S144,T144,V144,A144))),""), "-",""))</f>
        <v/>
      </c>
      <c r="L144" s="3" t="str">
        <f xml:space="preserve"> IF(K144="","",  IFERROR(VLOOKUP(I144,Resources!$B$1:$H$1503,5,FALSE)-LEN(K144),0))</f>
        <v/>
      </c>
      <c r="M144" s="3" t="str">
        <f>IF(K144="","",IFERROR(matches(K144,VLOOKUP(I144,Resources!$A$2:$AA$1503,16,FALSE)),FALSE))</f>
        <v/>
      </c>
      <c r="N144" s="3" t="e">
        <f>VLOOKUP(E144,Enviroments!$A$3:$D$59,1,FALSE)</f>
        <v>#N/A</v>
      </c>
      <c r="O144" s="3" t="e">
        <f>VLOOKUP(E144,Enviroments!$A$3:$D$59,2,FALSE)</f>
        <v>#N/A</v>
      </c>
      <c r="P144" s="3" t="e">
        <f>VLOOKUP(E144,Enviroments!$A$3:$D$59,3,FALSE)</f>
        <v>#N/A</v>
      </c>
      <c r="Q144" s="3" t="e">
        <f>VLOOKUP(E144,Enviroments!$A$3:$D$59,4,FALSE)</f>
        <v>#N/A</v>
      </c>
      <c r="R144" s="3" t="e">
        <f>VLOOKUP(H144,AzureRegions!$A$4:$B$1493,1,FALSE)</f>
        <v>#N/A</v>
      </c>
      <c r="S144" s="3" t="e">
        <f>VLOOKUP(H144,AzureRegions!$A$4:$B$1493,2,FALSE)</f>
        <v>#N/A</v>
      </c>
      <c r="T144" s="3" t="e">
        <f>VLOOKUP(H144,AzureRegions!$A$4:$C$1493,3,FALSE)</f>
        <v>#N/A</v>
      </c>
      <c r="U144" s="3" t="e">
        <f>VLOOKUP(I144,Resources!$A$2:$AA$1503,2,FALSE)</f>
        <v>#N/A</v>
      </c>
      <c r="V144" s="3" t="e">
        <f>VLOOKUP(I144,Resources!$A$2:$H$1503,6,FALSE)</f>
        <v>#N/A</v>
      </c>
      <c r="W144" s="3" t="str">
        <f>VLOOKUP($H$2,Casing!$A$4:$A$60,1,FALSE)</f>
        <v>Lower</v>
      </c>
      <c r="X144" s="14" t="str">
        <f t="shared" si="5"/>
        <v>001</v>
      </c>
      <c r="Y144" s="3" t="str">
        <f>IFERROR(VLOOKUP(F144,Func!$A$4:$G$1500,2,FALSE),"none")</f>
        <v>none</v>
      </c>
      <c r="Z144" s="3" t="e">
        <f>VLOOKUP(I144,Resources!$A$2:$AA$1503,18,FALSE)</f>
        <v>#N/A</v>
      </c>
      <c r="AA144" s="3" t="str">
        <f>IFERROR(VLOOKUP(B144,Orgs!$A$4:$G$1500,2,FALSE),"none")</f>
        <v>none</v>
      </c>
      <c r="AB144" s="3" t="str">
        <f>IFERROR(VLOOKUP(C144,UnitsDepts!$A$4:$G$1500,2,FALSE),"none")</f>
        <v>none</v>
      </c>
      <c r="AC144" s="3" t="str">
        <f>IFERROR(VLOOKUP(D144,ProjAppSvc!$A$4:$G$1500,2,FALSE),"none")</f>
        <v>none</v>
      </c>
    </row>
    <row r="145" spans="1:29" x14ac:dyDescent="0.45">
      <c r="A145" s="14" t="s">
        <v>23</v>
      </c>
      <c r="B145" s="14"/>
      <c r="C145" s="14"/>
      <c r="D145" s="14"/>
      <c r="H145" s="8"/>
      <c r="I145" s="3"/>
      <c r="J145" s="3" t="str">
        <f t="shared" si="6"/>
        <v/>
      </c>
      <c r="K145" s="3" t="str">
        <f>IF(ISNUMBER(SEARCH("-",V145)),IFERROR(IF($H$2="Lower", LOWER(ComputeResourceName(Z145,#REF!,#REF!,G145,N145,O145,P145,Q145,S145,T145,V145,A145)), UPPER(ComputeResourceName(Z145,#REF!,#REF!,G145,N145,O145,P145,Q145,S145,T145,V145,A145))),""),SUBSTITUTE(IFERROR(IF($H$2="Lower", LOWER(ComputeResourceName(#REF!,#REF!,#REF!,G145,N145,O145,P145,Q145,S145,T145,V145,A145)), UPPER(ComputeResourceName(#REF!,#REF!,#REF!,G145,N145,O145,P145,Q145,S145,T145,V145,A145))),""), "-",""))</f>
        <v/>
      </c>
      <c r="L145" s="3" t="str">
        <f xml:space="preserve"> IF(K145="","",  IFERROR(VLOOKUP(I145,Resources!$B$1:$H$1503,5,FALSE)-LEN(K145),0))</f>
        <v/>
      </c>
      <c r="M145" s="3" t="str">
        <f>IF(K145="","",IFERROR(matches(K145,VLOOKUP(I145,Resources!$A$2:$AA$1503,16,FALSE)),FALSE))</f>
        <v/>
      </c>
      <c r="N145" s="3" t="e">
        <f>VLOOKUP(E145,Enviroments!$A$3:$D$59,1,FALSE)</f>
        <v>#N/A</v>
      </c>
      <c r="O145" s="3" t="e">
        <f>VLOOKUP(E145,Enviroments!$A$3:$D$59,2,FALSE)</f>
        <v>#N/A</v>
      </c>
      <c r="P145" s="3" t="e">
        <f>VLOOKUP(E145,Enviroments!$A$3:$D$59,3,FALSE)</f>
        <v>#N/A</v>
      </c>
      <c r="Q145" s="3" t="e">
        <f>VLOOKUP(E145,Enviroments!$A$3:$D$59,4,FALSE)</f>
        <v>#N/A</v>
      </c>
      <c r="R145" s="3" t="e">
        <f>VLOOKUP(H145,AzureRegions!$A$4:$B$1493,1,FALSE)</f>
        <v>#N/A</v>
      </c>
      <c r="S145" s="3" t="e">
        <f>VLOOKUP(H145,AzureRegions!$A$4:$B$1493,2,FALSE)</f>
        <v>#N/A</v>
      </c>
      <c r="T145" s="3" t="e">
        <f>VLOOKUP(H145,AzureRegions!$A$4:$C$1493,3,FALSE)</f>
        <v>#N/A</v>
      </c>
      <c r="U145" s="3" t="e">
        <f>VLOOKUP(I145,Resources!$A$2:$AA$1503,2,FALSE)</f>
        <v>#N/A</v>
      </c>
      <c r="V145" s="3" t="e">
        <f>VLOOKUP(I145,Resources!$A$2:$H$1503,6,FALSE)</f>
        <v>#N/A</v>
      </c>
      <c r="W145" s="3" t="str">
        <f>VLOOKUP($H$2,Casing!$A$4:$A$60,1,FALSE)</f>
        <v>Lower</v>
      </c>
      <c r="X145" s="14" t="str">
        <f t="shared" si="5"/>
        <v>001</v>
      </c>
      <c r="Y145" s="3" t="str">
        <f>IFERROR(VLOOKUP(F145,Func!$A$4:$G$1500,2,FALSE),"none")</f>
        <v>none</v>
      </c>
      <c r="Z145" s="3" t="e">
        <f>VLOOKUP(I145,Resources!$A$2:$AA$1503,18,FALSE)</f>
        <v>#N/A</v>
      </c>
      <c r="AA145" s="3" t="str">
        <f>IFERROR(VLOOKUP(B145,Orgs!$A$4:$G$1500,2,FALSE),"none")</f>
        <v>none</v>
      </c>
      <c r="AB145" s="3" t="str">
        <f>IFERROR(VLOOKUP(C145,UnitsDepts!$A$4:$G$1500,2,FALSE),"none")</f>
        <v>none</v>
      </c>
      <c r="AC145" s="3" t="str">
        <f>IFERROR(VLOOKUP(D145,ProjAppSvc!$A$4:$G$1500,2,FALSE),"none")</f>
        <v>none</v>
      </c>
    </row>
    <row r="146" spans="1:29" x14ac:dyDescent="0.45">
      <c r="A146" s="14" t="s">
        <v>23</v>
      </c>
      <c r="B146" s="14"/>
      <c r="C146" s="14"/>
      <c r="D146" s="14"/>
      <c r="H146" s="8"/>
      <c r="I146" s="3"/>
      <c r="J146" s="3" t="str">
        <f t="shared" si="6"/>
        <v/>
      </c>
      <c r="K146" s="3" t="str">
        <f>IF(ISNUMBER(SEARCH("-",V146)),IFERROR(IF($H$2="Lower", LOWER(ComputeResourceName(Z146,#REF!,#REF!,G146,N146,O146,P146,Q146,S146,T146,V146,A146)), UPPER(ComputeResourceName(Z146,#REF!,#REF!,G146,N146,O146,P146,Q146,S146,T146,V146,A146))),""),SUBSTITUTE(IFERROR(IF($H$2="Lower", LOWER(ComputeResourceName(#REF!,#REF!,#REF!,G146,N146,O146,P146,Q146,S146,T146,V146,A146)), UPPER(ComputeResourceName(#REF!,#REF!,#REF!,G146,N146,O146,P146,Q146,S146,T146,V146,A146))),""), "-",""))</f>
        <v/>
      </c>
      <c r="L146" s="3" t="str">
        <f xml:space="preserve"> IF(K146="","",  IFERROR(VLOOKUP(I146,Resources!$B$1:$H$1503,5,FALSE)-LEN(K146),0))</f>
        <v/>
      </c>
      <c r="M146" s="3" t="str">
        <f>IF(K146="","",IFERROR(matches(K146,VLOOKUP(I146,Resources!$A$2:$AA$1503,16,FALSE)),FALSE))</f>
        <v/>
      </c>
      <c r="N146" s="3" t="e">
        <f>VLOOKUP(E146,Enviroments!$A$3:$D$59,1,FALSE)</f>
        <v>#N/A</v>
      </c>
      <c r="O146" s="3" t="e">
        <f>VLOOKUP(E146,Enviroments!$A$3:$D$59,2,FALSE)</f>
        <v>#N/A</v>
      </c>
      <c r="P146" s="3" t="e">
        <f>VLOOKUP(E146,Enviroments!$A$3:$D$59,3,FALSE)</f>
        <v>#N/A</v>
      </c>
      <c r="Q146" s="3" t="e">
        <f>VLOOKUP(E146,Enviroments!$A$3:$D$59,4,FALSE)</f>
        <v>#N/A</v>
      </c>
      <c r="R146" s="3" t="e">
        <f>VLOOKUP(H146,AzureRegions!$A$4:$B$1493,1,FALSE)</f>
        <v>#N/A</v>
      </c>
      <c r="S146" s="3" t="e">
        <f>VLOOKUP(H146,AzureRegions!$A$4:$B$1493,2,FALSE)</f>
        <v>#N/A</v>
      </c>
      <c r="T146" s="3" t="e">
        <f>VLOOKUP(H146,AzureRegions!$A$4:$C$1493,3,FALSE)</f>
        <v>#N/A</v>
      </c>
      <c r="U146" s="3" t="e">
        <f>VLOOKUP(I146,Resources!$A$2:$AA$1503,2,FALSE)</f>
        <v>#N/A</v>
      </c>
      <c r="V146" s="3" t="e">
        <f>VLOOKUP(I146,Resources!$A$2:$H$1503,6,FALSE)</f>
        <v>#N/A</v>
      </c>
      <c r="W146" s="3" t="str">
        <f>VLOOKUP($H$2,Casing!$A$4:$A$60,1,FALSE)</f>
        <v>Lower</v>
      </c>
      <c r="X146" s="14" t="str">
        <f t="shared" si="5"/>
        <v>001</v>
      </c>
      <c r="Y146" s="3" t="str">
        <f>IFERROR(VLOOKUP(F146,Func!$A$4:$G$1500,2,FALSE),"none")</f>
        <v>none</v>
      </c>
      <c r="Z146" s="3" t="e">
        <f>VLOOKUP(I146,Resources!$A$2:$AA$1503,18,FALSE)</f>
        <v>#N/A</v>
      </c>
      <c r="AA146" s="3" t="str">
        <f>IFERROR(VLOOKUP(B146,Orgs!$A$4:$G$1500,2,FALSE),"none")</f>
        <v>none</v>
      </c>
      <c r="AB146" s="3" t="str">
        <f>IFERROR(VLOOKUP(C146,UnitsDepts!$A$4:$G$1500,2,FALSE),"none")</f>
        <v>none</v>
      </c>
      <c r="AC146" s="3" t="str">
        <f>IFERROR(VLOOKUP(D146,ProjAppSvc!$A$4:$G$1500,2,FALSE),"none")</f>
        <v>none</v>
      </c>
    </row>
    <row r="147" spans="1:29" x14ac:dyDescent="0.45">
      <c r="A147" s="14" t="s">
        <v>23</v>
      </c>
      <c r="B147" s="14"/>
      <c r="C147" s="14"/>
      <c r="D147" s="14"/>
      <c r="H147" s="8"/>
      <c r="I147" s="3"/>
      <c r="J147" s="3" t="str">
        <f t="shared" si="6"/>
        <v/>
      </c>
      <c r="K147" s="3" t="str">
        <f>IF(ISNUMBER(SEARCH("-",V147)),IFERROR(IF($H$2="Lower", LOWER(ComputeResourceName(Z147,#REF!,#REF!,G147,N147,O147,P147,Q147,S147,T147,V147,A147)), UPPER(ComputeResourceName(Z147,#REF!,#REF!,G147,N147,O147,P147,Q147,S147,T147,V147,A147))),""),SUBSTITUTE(IFERROR(IF($H$2="Lower", LOWER(ComputeResourceName(#REF!,#REF!,#REF!,G147,N147,O147,P147,Q147,S147,T147,V147,A147)), UPPER(ComputeResourceName(#REF!,#REF!,#REF!,G147,N147,O147,P147,Q147,S147,T147,V147,A147))),""), "-",""))</f>
        <v/>
      </c>
      <c r="L147" s="3" t="str">
        <f xml:space="preserve"> IF(K147="","",  IFERROR(VLOOKUP(I147,Resources!$B$1:$H$1503,5,FALSE)-LEN(K147),0))</f>
        <v/>
      </c>
      <c r="M147" s="3" t="str">
        <f>IF(K147="","",IFERROR(matches(K147,VLOOKUP(I147,Resources!$A$2:$AA$1503,16,FALSE)),FALSE))</f>
        <v/>
      </c>
      <c r="N147" s="3" t="e">
        <f>VLOOKUP(E147,Enviroments!$A$3:$D$59,1,FALSE)</f>
        <v>#N/A</v>
      </c>
      <c r="O147" s="3" t="e">
        <f>VLOOKUP(E147,Enviroments!$A$3:$D$59,2,FALSE)</f>
        <v>#N/A</v>
      </c>
      <c r="P147" s="3" t="e">
        <f>VLOOKUP(E147,Enviroments!$A$3:$D$59,3,FALSE)</f>
        <v>#N/A</v>
      </c>
      <c r="Q147" s="3" t="e">
        <f>VLOOKUP(E147,Enviroments!$A$3:$D$59,4,FALSE)</f>
        <v>#N/A</v>
      </c>
      <c r="R147" s="3" t="e">
        <f>VLOOKUP(H147,AzureRegions!$A$4:$B$1493,1,FALSE)</f>
        <v>#N/A</v>
      </c>
      <c r="S147" s="3" t="e">
        <f>VLOOKUP(H147,AzureRegions!$A$4:$B$1493,2,FALSE)</f>
        <v>#N/A</v>
      </c>
      <c r="T147" s="3" t="e">
        <f>VLOOKUP(H147,AzureRegions!$A$4:$C$1493,3,FALSE)</f>
        <v>#N/A</v>
      </c>
      <c r="U147" s="3" t="e">
        <f>VLOOKUP(I147,Resources!$A$2:$AA$1503,2,FALSE)</f>
        <v>#N/A</v>
      </c>
      <c r="V147" s="3" t="e">
        <f>VLOOKUP(I147,Resources!$A$2:$H$1503,6,FALSE)</f>
        <v>#N/A</v>
      </c>
      <c r="W147" s="3" t="str">
        <f>VLOOKUP($H$2,Casing!$A$4:$A$60,1,FALSE)</f>
        <v>Lower</v>
      </c>
      <c r="X147" s="14" t="str">
        <f t="shared" si="5"/>
        <v>001</v>
      </c>
      <c r="Y147" s="3" t="str">
        <f>IFERROR(VLOOKUP(F147,Func!$A$4:$G$1500,2,FALSE),"none")</f>
        <v>none</v>
      </c>
      <c r="Z147" s="3" t="e">
        <f>VLOOKUP(I147,Resources!$A$2:$AA$1503,18,FALSE)</f>
        <v>#N/A</v>
      </c>
      <c r="AA147" s="3" t="str">
        <f>IFERROR(VLOOKUP(B147,Orgs!$A$4:$G$1500,2,FALSE),"none")</f>
        <v>none</v>
      </c>
      <c r="AB147" s="3" t="str">
        <f>IFERROR(VLOOKUP(C147,UnitsDepts!$A$4:$G$1500,2,FALSE),"none")</f>
        <v>none</v>
      </c>
      <c r="AC147" s="3" t="str">
        <f>IFERROR(VLOOKUP(D147,ProjAppSvc!$A$4:$G$1500,2,FALSE),"none")</f>
        <v>none</v>
      </c>
    </row>
    <row r="148" spans="1:29" x14ac:dyDescent="0.45">
      <c r="A148" s="14" t="s">
        <v>23</v>
      </c>
      <c r="B148" s="14"/>
      <c r="C148" s="14"/>
      <c r="D148" s="14"/>
      <c r="H148" s="8"/>
      <c r="I148" s="3"/>
      <c r="J148" s="3" t="str">
        <f t="shared" si="6"/>
        <v/>
      </c>
      <c r="K148" s="3" t="str">
        <f>IF(ISNUMBER(SEARCH("-",V148)),IFERROR(IF($H$2="Lower", LOWER(ComputeResourceName(Z148,#REF!,#REF!,G148,N148,O148,P148,Q148,S148,T148,V148,A148)), UPPER(ComputeResourceName(Z148,#REF!,#REF!,G148,N148,O148,P148,Q148,S148,T148,V148,A148))),""),SUBSTITUTE(IFERROR(IF($H$2="Lower", LOWER(ComputeResourceName(#REF!,#REF!,#REF!,G148,N148,O148,P148,Q148,S148,T148,V148,A148)), UPPER(ComputeResourceName(#REF!,#REF!,#REF!,G148,N148,O148,P148,Q148,S148,T148,V148,A148))),""), "-",""))</f>
        <v/>
      </c>
      <c r="L148" s="3" t="str">
        <f xml:space="preserve"> IF(K148="","",  IFERROR(VLOOKUP(I148,Resources!$B$1:$H$1503,5,FALSE)-LEN(K148),0))</f>
        <v/>
      </c>
      <c r="M148" s="3" t="str">
        <f>IF(K148="","",IFERROR(matches(K148,VLOOKUP(I148,Resources!$A$2:$AA$1503,16,FALSE)),FALSE))</f>
        <v/>
      </c>
      <c r="N148" s="3" t="e">
        <f>VLOOKUP(E148,Enviroments!$A$3:$D$59,1,FALSE)</f>
        <v>#N/A</v>
      </c>
      <c r="O148" s="3" t="e">
        <f>VLOOKUP(E148,Enviroments!$A$3:$D$59,2,FALSE)</f>
        <v>#N/A</v>
      </c>
      <c r="P148" s="3" t="e">
        <f>VLOOKUP(E148,Enviroments!$A$3:$D$59,3,FALSE)</f>
        <v>#N/A</v>
      </c>
      <c r="Q148" s="3" t="e">
        <f>VLOOKUP(E148,Enviroments!$A$3:$D$59,4,FALSE)</f>
        <v>#N/A</v>
      </c>
      <c r="R148" s="3" t="e">
        <f>VLOOKUP(H148,AzureRegions!$A$4:$B$1493,1,FALSE)</f>
        <v>#N/A</v>
      </c>
      <c r="S148" s="3" t="e">
        <f>VLOOKUP(H148,AzureRegions!$A$4:$B$1493,2,FALSE)</f>
        <v>#N/A</v>
      </c>
      <c r="T148" s="3" t="e">
        <f>VLOOKUP(H148,AzureRegions!$A$4:$C$1493,3,FALSE)</f>
        <v>#N/A</v>
      </c>
      <c r="U148" s="3" t="e">
        <f>VLOOKUP(I148,Resources!$A$2:$AA$1503,2,FALSE)</f>
        <v>#N/A</v>
      </c>
      <c r="V148" s="3" t="e">
        <f>VLOOKUP(I148,Resources!$A$2:$H$1503,6,FALSE)</f>
        <v>#N/A</v>
      </c>
      <c r="W148" s="3" t="str">
        <f>VLOOKUP($H$2,Casing!$A$4:$A$60,1,FALSE)</f>
        <v>Lower</v>
      </c>
      <c r="X148" s="14" t="str">
        <f t="shared" si="5"/>
        <v>001</v>
      </c>
      <c r="Y148" s="3" t="str">
        <f>IFERROR(VLOOKUP(F148,Func!$A$4:$G$1500,2,FALSE),"none")</f>
        <v>none</v>
      </c>
      <c r="Z148" s="3" t="e">
        <f>VLOOKUP(I148,Resources!$A$2:$AA$1503,18,FALSE)</f>
        <v>#N/A</v>
      </c>
      <c r="AA148" s="3" t="str">
        <f>IFERROR(VLOOKUP(B148,Orgs!$A$4:$G$1500,2,FALSE),"none")</f>
        <v>none</v>
      </c>
      <c r="AB148" s="3" t="str">
        <f>IFERROR(VLOOKUP(C148,UnitsDepts!$A$4:$G$1500,2,FALSE),"none")</f>
        <v>none</v>
      </c>
      <c r="AC148" s="3" t="str">
        <f>IFERROR(VLOOKUP(D148,ProjAppSvc!$A$4:$G$1500,2,FALSE),"none")</f>
        <v>none</v>
      </c>
    </row>
    <row r="149" spans="1:29" x14ac:dyDescent="0.45">
      <c r="A149" s="14" t="s">
        <v>23</v>
      </c>
      <c r="B149" s="14"/>
      <c r="C149" s="14"/>
      <c r="D149" s="14"/>
      <c r="H149" s="8"/>
      <c r="I149" s="3"/>
      <c r="J149" s="3" t="str">
        <f t="shared" si="6"/>
        <v/>
      </c>
      <c r="K149" s="3" t="str">
        <f>IF(ISNUMBER(SEARCH("-",V149)),IFERROR(IF($H$2="Lower", LOWER(ComputeResourceName(Z149,#REF!,#REF!,G149,N149,O149,P149,Q149,S149,T149,V149,A149)), UPPER(ComputeResourceName(Z149,#REF!,#REF!,G149,N149,O149,P149,Q149,S149,T149,V149,A149))),""),SUBSTITUTE(IFERROR(IF($H$2="Lower", LOWER(ComputeResourceName(#REF!,#REF!,#REF!,G149,N149,O149,P149,Q149,S149,T149,V149,A149)), UPPER(ComputeResourceName(#REF!,#REF!,#REF!,G149,N149,O149,P149,Q149,S149,T149,V149,A149))),""), "-",""))</f>
        <v/>
      </c>
      <c r="L149" s="3" t="str">
        <f xml:space="preserve"> IF(K149="","",  IFERROR(VLOOKUP(I149,Resources!$B$1:$H$1503,5,FALSE)-LEN(K149),0))</f>
        <v/>
      </c>
      <c r="M149" s="3" t="str">
        <f>IF(K149="","",IFERROR(matches(K149,VLOOKUP(I149,Resources!$A$2:$AA$1503,16,FALSE)),FALSE))</f>
        <v/>
      </c>
      <c r="N149" s="3" t="e">
        <f>VLOOKUP(E149,Enviroments!$A$3:$D$59,1,FALSE)</f>
        <v>#N/A</v>
      </c>
      <c r="O149" s="3" t="e">
        <f>VLOOKUP(E149,Enviroments!$A$3:$D$59,2,FALSE)</f>
        <v>#N/A</v>
      </c>
      <c r="P149" s="3" t="e">
        <f>VLOOKUP(E149,Enviroments!$A$3:$D$59,3,FALSE)</f>
        <v>#N/A</v>
      </c>
      <c r="Q149" s="3" t="e">
        <f>VLOOKUP(E149,Enviroments!$A$3:$D$59,4,FALSE)</f>
        <v>#N/A</v>
      </c>
      <c r="R149" s="3" t="e">
        <f>VLOOKUP(H149,AzureRegions!$A$4:$B$1493,1,FALSE)</f>
        <v>#N/A</v>
      </c>
      <c r="S149" s="3" t="e">
        <f>VLOOKUP(H149,AzureRegions!$A$4:$B$1493,2,FALSE)</f>
        <v>#N/A</v>
      </c>
      <c r="T149" s="3" t="e">
        <f>VLOOKUP(H149,AzureRegions!$A$4:$C$1493,3,FALSE)</f>
        <v>#N/A</v>
      </c>
      <c r="U149" s="3" t="e">
        <f>VLOOKUP(I149,Resources!$A$2:$AA$1503,2,FALSE)</f>
        <v>#N/A</v>
      </c>
      <c r="V149" s="3" t="e">
        <f>VLOOKUP(I149,Resources!$A$2:$H$1503,6,FALSE)</f>
        <v>#N/A</v>
      </c>
      <c r="W149" s="3" t="str">
        <f>VLOOKUP($H$2,Casing!$A$4:$A$60,1,FALSE)</f>
        <v>Lower</v>
      </c>
      <c r="X149" s="14" t="str">
        <f t="shared" si="5"/>
        <v>001</v>
      </c>
      <c r="Y149" s="3" t="str">
        <f>IFERROR(VLOOKUP(F149,Func!$A$4:$G$1500,2,FALSE),"none")</f>
        <v>none</v>
      </c>
      <c r="Z149" s="3" t="e">
        <f>VLOOKUP(I149,Resources!$A$2:$AA$1503,18,FALSE)</f>
        <v>#N/A</v>
      </c>
      <c r="AA149" s="3" t="str">
        <f>IFERROR(VLOOKUP(B149,Orgs!$A$4:$G$1500,2,FALSE),"none")</f>
        <v>none</v>
      </c>
      <c r="AB149" s="3" t="str">
        <f>IFERROR(VLOOKUP(C149,UnitsDepts!$A$4:$G$1500,2,FALSE),"none")</f>
        <v>none</v>
      </c>
      <c r="AC149" s="3" t="str">
        <f>IFERROR(VLOOKUP(D149,ProjAppSvc!$A$4:$G$1500,2,FALSE),"none")</f>
        <v>none</v>
      </c>
    </row>
    <row r="150" spans="1:29" x14ac:dyDescent="0.45">
      <c r="A150" s="14" t="s">
        <v>23</v>
      </c>
      <c r="B150" s="14"/>
      <c r="C150" s="14"/>
      <c r="D150" s="14"/>
      <c r="H150" s="8"/>
      <c r="I150" s="3"/>
      <c r="J150" s="3" t="str">
        <f t="shared" si="6"/>
        <v/>
      </c>
      <c r="K150" s="3" t="str">
        <f>IF(ISNUMBER(SEARCH("-",V150)),IFERROR(IF($H$2="Lower", LOWER(ComputeResourceName(Z150,#REF!,#REF!,G150,N150,O150,P150,Q150,S150,T150,V150,A150)), UPPER(ComputeResourceName(Z150,#REF!,#REF!,G150,N150,O150,P150,Q150,S150,T150,V150,A150))),""),SUBSTITUTE(IFERROR(IF($H$2="Lower", LOWER(ComputeResourceName(#REF!,#REF!,#REF!,G150,N150,O150,P150,Q150,S150,T150,V150,A150)), UPPER(ComputeResourceName(#REF!,#REF!,#REF!,G150,N150,O150,P150,Q150,S150,T150,V150,A150))),""), "-",""))</f>
        <v/>
      </c>
      <c r="L150" s="3" t="str">
        <f xml:space="preserve"> IF(K150="","",  IFERROR(VLOOKUP(I150,Resources!$B$1:$H$1503,5,FALSE)-LEN(K150),0))</f>
        <v/>
      </c>
      <c r="M150" s="3" t="str">
        <f>IF(K150="","",IFERROR(matches(K150,VLOOKUP(I150,Resources!$A$2:$AA$1503,16,FALSE)),FALSE))</f>
        <v/>
      </c>
      <c r="N150" s="3" t="e">
        <f>VLOOKUP(E150,Enviroments!$A$3:$D$59,1,FALSE)</f>
        <v>#N/A</v>
      </c>
      <c r="O150" s="3" t="e">
        <f>VLOOKUP(E150,Enviroments!$A$3:$D$59,2,FALSE)</f>
        <v>#N/A</v>
      </c>
      <c r="P150" s="3" t="e">
        <f>VLOOKUP(E150,Enviroments!$A$3:$D$59,3,FALSE)</f>
        <v>#N/A</v>
      </c>
      <c r="Q150" s="3" t="e">
        <f>VLOOKUP(E150,Enviroments!$A$3:$D$59,4,FALSE)</f>
        <v>#N/A</v>
      </c>
      <c r="R150" s="3" t="e">
        <f>VLOOKUP(H150,AzureRegions!$A$4:$B$1493,1,FALSE)</f>
        <v>#N/A</v>
      </c>
      <c r="S150" s="3" t="e">
        <f>VLOOKUP(H150,AzureRegions!$A$4:$B$1493,2,FALSE)</f>
        <v>#N/A</v>
      </c>
      <c r="T150" s="3" t="e">
        <f>VLOOKUP(H150,AzureRegions!$A$4:$C$1493,3,FALSE)</f>
        <v>#N/A</v>
      </c>
      <c r="U150" s="3" t="e">
        <f>VLOOKUP(I150,Resources!$A$2:$AA$1503,2,FALSE)</f>
        <v>#N/A</v>
      </c>
      <c r="V150" s="3" t="e">
        <f>VLOOKUP(I150,Resources!$A$2:$H$1503,6,FALSE)</f>
        <v>#N/A</v>
      </c>
      <c r="W150" s="3" t="str">
        <f>VLOOKUP($H$2,Casing!$A$4:$A$60,1,FALSE)</f>
        <v>Lower</v>
      </c>
      <c r="X150" s="14" t="str">
        <f t="shared" si="5"/>
        <v>001</v>
      </c>
      <c r="Y150" s="3" t="str">
        <f>IFERROR(VLOOKUP(F150,Func!$A$4:$G$1500,2,FALSE),"none")</f>
        <v>none</v>
      </c>
      <c r="Z150" s="3" t="e">
        <f>VLOOKUP(I150,Resources!$A$2:$AA$1503,18,FALSE)</f>
        <v>#N/A</v>
      </c>
      <c r="AA150" s="3" t="str">
        <f>IFERROR(VLOOKUP(B150,Orgs!$A$4:$G$1500,2,FALSE),"none")</f>
        <v>none</v>
      </c>
      <c r="AB150" s="3" t="str">
        <f>IFERROR(VLOOKUP(C150,UnitsDepts!$A$4:$G$1500,2,FALSE),"none")</f>
        <v>none</v>
      </c>
      <c r="AC150" s="3" t="str">
        <f>IFERROR(VLOOKUP(D150,ProjAppSvc!$A$4:$G$1500,2,FALSE),"none")</f>
        <v>none</v>
      </c>
    </row>
    <row r="151" spans="1:29" x14ac:dyDescent="0.45">
      <c r="A151" s="14" t="s">
        <v>23</v>
      </c>
      <c r="B151" s="14"/>
      <c r="C151" s="14"/>
      <c r="D151" s="14"/>
      <c r="H151" s="8"/>
      <c r="I151" s="3"/>
      <c r="J151" s="3" t="str">
        <f t="shared" si="6"/>
        <v/>
      </c>
      <c r="K151" s="3" t="str">
        <f>IF(ISNUMBER(SEARCH("-",V151)),IFERROR(IF($H$2="Lower", LOWER(ComputeResourceName(Z151,#REF!,#REF!,G151,N151,O151,P151,Q151,S151,T151,V151,A151)), UPPER(ComputeResourceName(Z151,#REF!,#REF!,G151,N151,O151,P151,Q151,S151,T151,V151,A151))),""),SUBSTITUTE(IFERROR(IF($H$2="Lower", LOWER(ComputeResourceName(#REF!,#REF!,#REF!,G151,N151,O151,P151,Q151,S151,T151,V151,A151)), UPPER(ComputeResourceName(#REF!,#REF!,#REF!,G151,N151,O151,P151,Q151,S151,T151,V151,A151))),""), "-",""))</f>
        <v/>
      </c>
      <c r="L151" s="3" t="str">
        <f xml:space="preserve"> IF(K151="","",  IFERROR(VLOOKUP(I151,Resources!$B$1:$H$1503,5,FALSE)-LEN(K151),0))</f>
        <v/>
      </c>
      <c r="M151" s="3" t="str">
        <f>IF(K151="","",IFERROR(matches(K151,VLOOKUP(I151,Resources!$A$2:$AA$1503,16,FALSE)),FALSE))</f>
        <v/>
      </c>
      <c r="N151" s="3" t="e">
        <f>VLOOKUP(E151,Enviroments!$A$3:$D$59,1,FALSE)</f>
        <v>#N/A</v>
      </c>
      <c r="O151" s="3" t="e">
        <f>VLOOKUP(E151,Enviroments!$A$3:$D$59,2,FALSE)</f>
        <v>#N/A</v>
      </c>
      <c r="P151" s="3" t="e">
        <f>VLOOKUP(E151,Enviroments!$A$3:$D$59,3,FALSE)</f>
        <v>#N/A</v>
      </c>
      <c r="Q151" s="3" t="e">
        <f>VLOOKUP(E151,Enviroments!$A$3:$D$59,4,FALSE)</f>
        <v>#N/A</v>
      </c>
      <c r="R151" s="3" t="e">
        <f>VLOOKUP(H151,AzureRegions!$A$4:$B$1493,1,FALSE)</f>
        <v>#N/A</v>
      </c>
      <c r="S151" s="3" t="e">
        <f>VLOOKUP(H151,AzureRegions!$A$4:$B$1493,2,FALSE)</f>
        <v>#N/A</v>
      </c>
      <c r="T151" s="3" t="e">
        <f>VLOOKUP(H151,AzureRegions!$A$4:$C$1493,3,FALSE)</f>
        <v>#N/A</v>
      </c>
      <c r="U151" s="3" t="e">
        <f>VLOOKUP(I151,Resources!$A$2:$AA$1503,2,FALSE)</f>
        <v>#N/A</v>
      </c>
      <c r="V151" s="3" t="e">
        <f>VLOOKUP(I151,Resources!$A$2:$H$1503,6,FALSE)</f>
        <v>#N/A</v>
      </c>
      <c r="W151" s="3" t="str">
        <f>VLOOKUP($H$2,Casing!$A$4:$A$60,1,FALSE)</f>
        <v>Lower</v>
      </c>
      <c r="X151" s="14" t="str">
        <f t="shared" si="5"/>
        <v>001</v>
      </c>
      <c r="Y151" s="3" t="str">
        <f>IFERROR(VLOOKUP(F151,Func!$A$4:$G$1500,2,FALSE),"none")</f>
        <v>none</v>
      </c>
      <c r="Z151" s="3" t="e">
        <f>VLOOKUP(I151,Resources!$A$2:$AA$1503,18,FALSE)</f>
        <v>#N/A</v>
      </c>
      <c r="AA151" s="3" t="str">
        <f>IFERROR(VLOOKUP(B151,Orgs!$A$4:$G$1500,2,FALSE),"none")</f>
        <v>none</v>
      </c>
      <c r="AB151" s="3" t="str">
        <f>IFERROR(VLOOKUP(C151,UnitsDepts!$A$4:$G$1500,2,FALSE),"none")</f>
        <v>none</v>
      </c>
      <c r="AC151" s="3" t="str">
        <f>IFERROR(VLOOKUP(D151,ProjAppSvc!$A$4:$G$1500,2,FALSE),"none")</f>
        <v>none</v>
      </c>
    </row>
    <row r="152" spans="1:29" x14ac:dyDescent="0.45">
      <c r="A152" s="14" t="s">
        <v>23</v>
      </c>
      <c r="B152" s="14"/>
      <c r="C152" s="14"/>
      <c r="D152" s="14"/>
      <c r="H152" s="8"/>
      <c r="I152" s="3"/>
      <c r="J152" s="3" t="str">
        <f t="shared" si="6"/>
        <v/>
      </c>
      <c r="K152" s="3" t="str">
        <f>IF(ISNUMBER(SEARCH("-",V152)),IFERROR(IF($H$2="Lower", LOWER(ComputeResourceName(Z152,#REF!,#REF!,G152,N152,O152,P152,Q152,S152,T152,V152,A152)), UPPER(ComputeResourceName(Z152,#REF!,#REF!,G152,N152,O152,P152,Q152,S152,T152,V152,A152))),""),SUBSTITUTE(IFERROR(IF($H$2="Lower", LOWER(ComputeResourceName(#REF!,#REF!,#REF!,G152,N152,O152,P152,Q152,S152,T152,V152,A152)), UPPER(ComputeResourceName(#REF!,#REF!,#REF!,G152,N152,O152,P152,Q152,S152,T152,V152,A152))),""), "-",""))</f>
        <v/>
      </c>
      <c r="L152" s="3" t="str">
        <f xml:space="preserve"> IF(K152="","",  IFERROR(VLOOKUP(I152,Resources!$B$1:$H$1503,5,FALSE)-LEN(K152),0))</f>
        <v/>
      </c>
      <c r="M152" s="3" t="str">
        <f>IF(K152="","",IFERROR(matches(K152,VLOOKUP(I152,Resources!$A$2:$AA$1503,16,FALSE)),FALSE))</f>
        <v/>
      </c>
      <c r="N152" s="3" t="e">
        <f>VLOOKUP(E152,Enviroments!$A$3:$D$59,1,FALSE)</f>
        <v>#N/A</v>
      </c>
      <c r="O152" s="3" t="e">
        <f>VLOOKUP(E152,Enviroments!$A$3:$D$59,2,FALSE)</f>
        <v>#N/A</v>
      </c>
      <c r="P152" s="3" t="e">
        <f>VLOOKUP(E152,Enviroments!$A$3:$D$59,3,FALSE)</f>
        <v>#N/A</v>
      </c>
      <c r="Q152" s="3" t="e">
        <f>VLOOKUP(E152,Enviroments!$A$3:$D$59,4,FALSE)</f>
        <v>#N/A</v>
      </c>
      <c r="R152" s="3" t="e">
        <f>VLOOKUP(H152,AzureRegions!$A$4:$B$1493,1,FALSE)</f>
        <v>#N/A</v>
      </c>
      <c r="S152" s="3" t="e">
        <f>VLOOKUP(H152,AzureRegions!$A$4:$B$1493,2,FALSE)</f>
        <v>#N/A</v>
      </c>
      <c r="T152" s="3" t="e">
        <f>VLOOKUP(H152,AzureRegions!$A$4:$C$1493,3,FALSE)</f>
        <v>#N/A</v>
      </c>
      <c r="U152" s="3" t="e">
        <f>VLOOKUP(I152,Resources!$A$2:$AA$1503,2,FALSE)</f>
        <v>#N/A</v>
      </c>
      <c r="V152" s="3" t="e">
        <f>VLOOKUP(I152,Resources!$A$2:$H$1503,6,FALSE)</f>
        <v>#N/A</v>
      </c>
      <c r="W152" s="3" t="str">
        <f>VLOOKUP($H$2,Casing!$A$4:$A$60,1,FALSE)</f>
        <v>Lower</v>
      </c>
      <c r="X152" s="14" t="str">
        <f t="shared" si="5"/>
        <v>001</v>
      </c>
      <c r="Y152" s="3" t="str">
        <f>IFERROR(VLOOKUP(F152,Func!$A$4:$G$1500,2,FALSE),"none")</f>
        <v>none</v>
      </c>
      <c r="Z152" s="3" t="e">
        <f>VLOOKUP(I152,Resources!$A$2:$AA$1503,18,FALSE)</f>
        <v>#N/A</v>
      </c>
      <c r="AA152" s="3" t="str">
        <f>IFERROR(VLOOKUP(B152,Orgs!$A$4:$G$1500,2,FALSE),"none")</f>
        <v>none</v>
      </c>
      <c r="AB152" s="3" t="str">
        <f>IFERROR(VLOOKUP(C152,UnitsDepts!$A$4:$G$1500,2,FALSE),"none")</f>
        <v>none</v>
      </c>
      <c r="AC152" s="3" t="str">
        <f>IFERROR(VLOOKUP(D152,ProjAppSvc!$A$4:$G$1500,2,FALSE),"none")</f>
        <v>none</v>
      </c>
    </row>
    <row r="153" spans="1:29" x14ac:dyDescent="0.45">
      <c r="A153" s="14" t="s">
        <v>23</v>
      </c>
      <c r="B153" s="14"/>
      <c r="C153" s="14"/>
      <c r="D153" s="14"/>
      <c r="H153" s="8"/>
      <c r="I153" s="3"/>
      <c r="J153" s="3" t="str">
        <f t="shared" si="6"/>
        <v/>
      </c>
      <c r="K153" s="3" t="str">
        <f>IF(ISNUMBER(SEARCH("-",V153)),IFERROR(IF($H$2="Lower", LOWER(ComputeResourceName(Z153,#REF!,#REF!,G153,N153,O153,P153,Q153,S153,T153,V153,A153)), UPPER(ComputeResourceName(Z153,#REF!,#REF!,G153,N153,O153,P153,Q153,S153,T153,V153,A153))),""),SUBSTITUTE(IFERROR(IF($H$2="Lower", LOWER(ComputeResourceName(#REF!,#REF!,#REF!,G153,N153,O153,P153,Q153,S153,T153,V153,A153)), UPPER(ComputeResourceName(#REF!,#REF!,#REF!,G153,N153,O153,P153,Q153,S153,T153,V153,A153))),""), "-",""))</f>
        <v/>
      </c>
      <c r="L153" s="3" t="str">
        <f xml:space="preserve"> IF(K153="","",  IFERROR(VLOOKUP(I153,Resources!$B$1:$H$1503,5,FALSE)-LEN(K153),0))</f>
        <v/>
      </c>
      <c r="M153" s="3" t="str">
        <f>IF(K153="","",IFERROR(matches(K153,VLOOKUP(I153,Resources!$A$2:$AA$1503,16,FALSE)),FALSE))</f>
        <v/>
      </c>
      <c r="N153" s="3" t="e">
        <f>VLOOKUP(E153,Enviroments!$A$3:$D$59,1,FALSE)</f>
        <v>#N/A</v>
      </c>
      <c r="O153" s="3" t="e">
        <f>VLOOKUP(E153,Enviroments!$A$3:$D$59,2,FALSE)</f>
        <v>#N/A</v>
      </c>
      <c r="P153" s="3" t="e">
        <f>VLOOKUP(E153,Enviroments!$A$3:$D$59,3,FALSE)</f>
        <v>#N/A</v>
      </c>
      <c r="Q153" s="3" t="e">
        <f>VLOOKUP(E153,Enviroments!$A$3:$D$59,4,FALSE)</f>
        <v>#N/A</v>
      </c>
      <c r="R153" s="3" t="e">
        <f>VLOOKUP(H153,AzureRegions!$A$4:$B$1493,1,FALSE)</f>
        <v>#N/A</v>
      </c>
      <c r="S153" s="3" t="e">
        <f>VLOOKUP(H153,AzureRegions!$A$4:$B$1493,2,FALSE)</f>
        <v>#N/A</v>
      </c>
      <c r="T153" s="3" t="e">
        <f>VLOOKUP(H153,AzureRegions!$A$4:$C$1493,3,FALSE)</f>
        <v>#N/A</v>
      </c>
      <c r="U153" s="3" t="e">
        <f>VLOOKUP(I153,Resources!$A$2:$AA$1503,2,FALSE)</f>
        <v>#N/A</v>
      </c>
      <c r="V153" s="3" t="e">
        <f>VLOOKUP(I153,Resources!$A$2:$H$1503,6,FALSE)</f>
        <v>#N/A</v>
      </c>
      <c r="W153" s="3" t="str">
        <f>VLOOKUP($H$2,Casing!$A$4:$A$60,1,FALSE)</f>
        <v>Lower</v>
      </c>
      <c r="X153" s="14" t="str">
        <f t="shared" si="5"/>
        <v>001</v>
      </c>
      <c r="Y153" s="3" t="str">
        <f>IFERROR(VLOOKUP(F153,Func!$A$4:$G$1500,2,FALSE),"none")</f>
        <v>none</v>
      </c>
      <c r="Z153" s="3" t="e">
        <f>VLOOKUP(I153,Resources!$A$2:$AA$1503,18,FALSE)</f>
        <v>#N/A</v>
      </c>
      <c r="AA153" s="3" t="str">
        <f>IFERROR(VLOOKUP(B153,Orgs!$A$4:$G$1500,2,FALSE),"none")</f>
        <v>none</v>
      </c>
      <c r="AB153" s="3" t="str">
        <f>IFERROR(VLOOKUP(C153,UnitsDepts!$A$4:$G$1500,2,FALSE),"none")</f>
        <v>none</v>
      </c>
      <c r="AC153" s="3" t="str">
        <f>IFERROR(VLOOKUP(D153,ProjAppSvc!$A$4:$G$1500,2,FALSE),"none")</f>
        <v>none</v>
      </c>
    </row>
    <row r="154" spans="1:29" x14ac:dyDescent="0.45">
      <c r="A154" s="14" t="s">
        <v>23</v>
      </c>
      <c r="B154" s="14"/>
      <c r="C154" s="14"/>
      <c r="D154" s="14"/>
      <c r="H154" s="8"/>
      <c r="I154" s="3"/>
      <c r="J154" s="3" t="str">
        <f t="shared" si="6"/>
        <v/>
      </c>
      <c r="K154" s="3" t="str">
        <f>IF(ISNUMBER(SEARCH("-",V154)),IFERROR(IF($H$2="Lower", LOWER(ComputeResourceName(Z154,#REF!,#REF!,G154,N154,O154,P154,Q154,S154,T154,V154,A154)), UPPER(ComputeResourceName(Z154,#REF!,#REF!,G154,N154,O154,P154,Q154,S154,T154,V154,A154))),""),SUBSTITUTE(IFERROR(IF($H$2="Lower", LOWER(ComputeResourceName(#REF!,#REF!,#REF!,G154,N154,O154,P154,Q154,S154,T154,V154,A154)), UPPER(ComputeResourceName(#REF!,#REF!,#REF!,G154,N154,O154,P154,Q154,S154,T154,V154,A154))),""), "-",""))</f>
        <v/>
      </c>
      <c r="L154" s="3" t="str">
        <f xml:space="preserve"> IF(K154="","",  IFERROR(VLOOKUP(I154,Resources!$B$1:$H$1503,5,FALSE)-LEN(K154),0))</f>
        <v/>
      </c>
      <c r="M154" s="3" t="str">
        <f>IF(K154="","",IFERROR(matches(K154,VLOOKUP(I154,Resources!$A$2:$AA$1503,16,FALSE)),FALSE))</f>
        <v/>
      </c>
      <c r="N154" s="3" t="e">
        <f>VLOOKUP(E154,Enviroments!$A$3:$D$59,1,FALSE)</f>
        <v>#N/A</v>
      </c>
      <c r="O154" s="3" t="e">
        <f>VLOOKUP(E154,Enviroments!$A$3:$D$59,2,FALSE)</f>
        <v>#N/A</v>
      </c>
      <c r="P154" s="3" t="e">
        <f>VLOOKUP(E154,Enviroments!$A$3:$D$59,3,FALSE)</f>
        <v>#N/A</v>
      </c>
      <c r="Q154" s="3" t="e">
        <f>VLOOKUP(E154,Enviroments!$A$3:$D$59,4,FALSE)</f>
        <v>#N/A</v>
      </c>
      <c r="R154" s="3" t="e">
        <f>VLOOKUP(H154,AzureRegions!$A$4:$B$1493,1,FALSE)</f>
        <v>#N/A</v>
      </c>
      <c r="S154" s="3" t="e">
        <f>VLOOKUP(H154,AzureRegions!$A$4:$B$1493,2,FALSE)</f>
        <v>#N/A</v>
      </c>
      <c r="T154" s="3" t="e">
        <f>VLOOKUP(H154,AzureRegions!$A$4:$C$1493,3,FALSE)</f>
        <v>#N/A</v>
      </c>
      <c r="U154" s="3" t="e">
        <f>VLOOKUP(I154,Resources!$A$2:$AA$1503,2,FALSE)</f>
        <v>#N/A</v>
      </c>
      <c r="V154" s="3" t="e">
        <f>VLOOKUP(I154,Resources!$A$2:$H$1503,6,FALSE)</f>
        <v>#N/A</v>
      </c>
      <c r="W154" s="3" t="str">
        <f>VLOOKUP($H$2,Casing!$A$4:$A$60,1,FALSE)</f>
        <v>Lower</v>
      </c>
      <c r="X154" s="14" t="str">
        <f t="shared" si="5"/>
        <v>001</v>
      </c>
      <c r="Y154" s="3" t="str">
        <f>IFERROR(VLOOKUP(F154,Func!$A$4:$G$1500,2,FALSE),"none")</f>
        <v>none</v>
      </c>
      <c r="Z154" s="3" t="e">
        <f>VLOOKUP(I154,Resources!$A$2:$AA$1503,18,FALSE)</f>
        <v>#N/A</v>
      </c>
      <c r="AA154" s="3" t="str">
        <f>IFERROR(VLOOKUP(B154,Orgs!$A$4:$G$1500,2,FALSE),"none")</f>
        <v>none</v>
      </c>
      <c r="AB154" s="3" t="str">
        <f>IFERROR(VLOOKUP(C154,UnitsDepts!$A$4:$G$1500,2,FALSE),"none")</f>
        <v>none</v>
      </c>
      <c r="AC154" s="3" t="str">
        <f>IFERROR(VLOOKUP(D154,ProjAppSvc!$A$4:$G$1500,2,FALSE),"none")</f>
        <v>none</v>
      </c>
    </row>
    <row r="155" spans="1:29" x14ac:dyDescent="0.45">
      <c r="A155" s="14" t="s">
        <v>23</v>
      </c>
      <c r="B155" s="14"/>
      <c r="C155" s="14"/>
      <c r="D155" s="14"/>
      <c r="H155" s="8"/>
      <c r="I155" s="3"/>
      <c r="J155" s="3" t="str">
        <f t="shared" si="6"/>
        <v/>
      </c>
      <c r="K155" s="3" t="str">
        <f>IF(ISNUMBER(SEARCH("-",V155)),IFERROR(IF($H$2="Lower", LOWER(ComputeResourceName(Z155,#REF!,#REF!,G155,N155,O155,P155,Q155,S155,T155,V155,A155)), UPPER(ComputeResourceName(Z155,#REF!,#REF!,G155,N155,O155,P155,Q155,S155,T155,V155,A155))),""),SUBSTITUTE(IFERROR(IF($H$2="Lower", LOWER(ComputeResourceName(#REF!,#REF!,#REF!,G155,N155,O155,P155,Q155,S155,T155,V155,A155)), UPPER(ComputeResourceName(#REF!,#REF!,#REF!,G155,N155,O155,P155,Q155,S155,T155,V155,A155))),""), "-",""))</f>
        <v/>
      </c>
      <c r="L155" s="3" t="str">
        <f xml:space="preserve"> IF(K155="","",  IFERROR(VLOOKUP(I155,Resources!$B$1:$H$1503,5,FALSE)-LEN(K155),0))</f>
        <v/>
      </c>
      <c r="M155" s="3" t="str">
        <f>IF(K155="","",IFERROR(matches(K155,VLOOKUP(I155,Resources!$A$2:$AA$1503,16,FALSE)),FALSE))</f>
        <v/>
      </c>
      <c r="N155" s="3" t="e">
        <f>VLOOKUP(E155,Enviroments!$A$3:$D$59,1,FALSE)</f>
        <v>#N/A</v>
      </c>
      <c r="O155" s="3" t="e">
        <f>VLOOKUP(E155,Enviroments!$A$3:$D$59,2,FALSE)</f>
        <v>#N/A</v>
      </c>
      <c r="P155" s="3" t="e">
        <f>VLOOKUP(E155,Enviroments!$A$3:$D$59,3,FALSE)</f>
        <v>#N/A</v>
      </c>
      <c r="Q155" s="3" t="e">
        <f>VLOOKUP(E155,Enviroments!$A$3:$D$59,4,FALSE)</f>
        <v>#N/A</v>
      </c>
      <c r="R155" s="3" t="e">
        <f>VLOOKUP(H155,AzureRegions!$A$4:$B$1493,1,FALSE)</f>
        <v>#N/A</v>
      </c>
      <c r="S155" s="3" t="e">
        <f>VLOOKUP(H155,AzureRegions!$A$4:$B$1493,2,FALSE)</f>
        <v>#N/A</v>
      </c>
      <c r="T155" s="3" t="e">
        <f>VLOOKUP(H155,AzureRegions!$A$4:$C$1493,3,FALSE)</f>
        <v>#N/A</v>
      </c>
      <c r="U155" s="3" t="e">
        <f>VLOOKUP(I155,Resources!$A$2:$AA$1503,2,FALSE)</f>
        <v>#N/A</v>
      </c>
      <c r="V155" s="3" t="e">
        <f>VLOOKUP(I155,Resources!$A$2:$H$1503,6,FALSE)</f>
        <v>#N/A</v>
      </c>
      <c r="W155" s="3" t="str">
        <f>VLOOKUP($H$2,Casing!$A$4:$A$60,1,FALSE)</f>
        <v>Lower</v>
      </c>
      <c r="X155" s="14" t="str">
        <f t="shared" si="5"/>
        <v>001</v>
      </c>
      <c r="Y155" s="3" t="str">
        <f>IFERROR(VLOOKUP(F155,Func!$A$4:$G$1500,2,FALSE),"none")</f>
        <v>none</v>
      </c>
      <c r="Z155" s="3" t="e">
        <f>VLOOKUP(I155,Resources!$A$2:$AA$1503,18,FALSE)</f>
        <v>#N/A</v>
      </c>
      <c r="AA155" s="3" t="str">
        <f>IFERROR(VLOOKUP(B155,Orgs!$A$4:$G$1500,2,FALSE),"none")</f>
        <v>none</v>
      </c>
      <c r="AB155" s="3" t="str">
        <f>IFERROR(VLOOKUP(C155,UnitsDepts!$A$4:$G$1500,2,FALSE),"none")</f>
        <v>none</v>
      </c>
      <c r="AC155" s="3" t="str">
        <f>IFERROR(VLOOKUP(D155,ProjAppSvc!$A$4:$G$1500,2,FALSE),"none")</f>
        <v>none</v>
      </c>
    </row>
    <row r="156" spans="1:29" x14ac:dyDescent="0.45">
      <c r="A156" s="14" t="s">
        <v>23</v>
      </c>
      <c r="B156" s="14"/>
      <c r="C156" s="14"/>
      <c r="D156" s="14"/>
      <c r="H156" s="8"/>
      <c r="I156" s="3"/>
      <c r="J156" s="3" t="str">
        <f t="shared" si="6"/>
        <v/>
      </c>
      <c r="K156" s="3" t="str">
        <f>IF(ISNUMBER(SEARCH("-",V156)),IFERROR(IF($H$2="Lower", LOWER(ComputeResourceName(Z156,#REF!,#REF!,G156,N156,O156,P156,Q156,S156,T156,V156,A156)), UPPER(ComputeResourceName(Z156,#REF!,#REF!,G156,N156,O156,P156,Q156,S156,T156,V156,A156))),""),SUBSTITUTE(IFERROR(IF($H$2="Lower", LOWER(ComputeResourceName(#REF!,#REF!,#REF!,G156,N156,O156,P156,Q156,S156,T156,V156,A156)), UPPER(ComputeResourceName(#REF!,#REF!,#REF!,G156,N156,O156,P156,Q156,S156,T156,V156,A156))),""), "-",""))</f>
        <v/>
      </c>
      <c r="L156" s="3" t="str">
        <f xml:space="preserve"> IF(K156="","",  IFERROR(VLOOKUP(I156,Resources!$B$1:$H$1503,5,FALSE)-LEN(K156),0))</f>
        <v/>
      </c>
      <c r="M156" s="3" t="str">
        <f>IF(K156="","",IFERROR(matches(K156,VLOOKUP(I156,Resources!$A$2:$AA$1503,16,FALSE)),FALSE))</f>
        <v/>
      </c>
      <c r="N156" s="3" t="e">
        <f>VLOOKUP(E156,Enviroments!$A$3:$D$59,1,FALSE)</f>
        <v>#N/A</v>
      </c>
      <c r="O156" s="3" t="e">
        <f>VLOOKUP(E156,Enviroments!$A$3:$D$59,2,FALSE)</f>
        <v>#N/A</v>
      </c>
      <c r="P156" s="3" t="e">
        <f>VLOOKUP(E156,Enviroments!$A$3:$D$59,3,FALSE)</f>
        <v>#N/A</v>
      </c>
      <c r="Q156" s="3" t="e">
        <f>VLOOKUP(E156,Enviroments!$A$3:$D$59,4,FALSE)</f>
        <v>#N/A</v>
      </c>
      <c r="R156" s="3" t="e">
        <f>VLOOKUP(H156,AzureRegions!$A$4:$B$1493,1,FALSE)</f>
        <v>#N/A</v>
      </c>
      <c r="S156" s="3" t="e">
        <f>VLOOKUP(H156,AzureRegions!$A$4:$B$1493,2,FALSE)</f>
        <v>#N/A</v>
      </c>
      <c r="T156" s="3" t="e">
        <f>VLOOKUP(H156,AzureRegions!$A$4:$C$1493,3,FALSE)</f>
        <v>#N/A</v>
      </c>
      <c r="U156" s="3" t="e">
        <f>VLOOKUP(I156,Resources!$A$2:$AA$1503,2,FALSE)</f>
        <v>#N/A</v>
      </c>
      <c r="V156" s="3" t="e">
        <f>VLOOKUP(I156,Resources!$A$2:$H$1503,6,FALSE)</f>
        <v>#N/A</v>
      </c>
      <c r="W156" s="3" t="str">
        <f>VLOOKUP($H$2,Casing!$A$4:$A$60,1,FALSE)</f>
        <v>Lower</v>
      </c>
      <c r="X156" s="14" t="str">
        <f t="shared" si="5"/>
        <v>001</v>
      </c>
      <c r="Y156" s="3" t="str">
        <f>IFERROR(VLOOKUP(F156,Func!$A$4:$G$1500,2,FALSE),"none")</f>
        <v>none</v>
      </c>
      <c r="Z156" s="3" t="e">
        <f>VLOOKUP(I156,Resources!$A$2:$AA$1503,18,FALSE)</f>
        <v>#N/A</v>
      </c>
      <c r="AA156" s="3" t="str">
        <f>IFERROR(VLOOKUP(B156,Orgs!$A$4:$G$1500,2,FALSE),"none")</f>
        <v>none</v>
      </c>
      <c r="AB156" s="3" t="str">
        <f>IFERROR(VLOOKUP(C156,UnitsDepts!$A$4:$G$1500,2,FALSE),"none")</f>
        <v>none</v>
      </c>
      <c r="AC156" s="3" t="str">
        <f>IFERROR(VLOOKUP(D156,ProjAppSvc!$A$4:$G$1500,2,FALSE),"none")</f>
        <v>none</v>
      </c>
    </row>
    <row r="157" spans="1:29" x14ac:dyDescent="0.45">
      <c r="A157" s="14" t="s">
        <v>23</v>
      </c>
      <c r="B157" s="14"/>
      <c r="C157" s="14"/>
      <c r="D157" s="14"/>
      <c r="H157" s="8"/>
      <c r="I157" s="3"/>
      <c r="J157" s="3" t="str">
        <f t="shared" si="6"/>
        <v/>
      </c>
      <c r="K157" s="3" t="str">
        <f>IF(ISNUMBER(SEARCH("-",V157)),IFERROR(IF($H$2="Lower", LOWER(ComputeResourceName(Z157,#REF!,#REF!,G157,N157,O157,P157,Q157,S157,T157,V157,A157)), UPPER(ComputeResourceName(Z157,#REF!,#REF!,G157,N157,O157,P157,Q157,S157,T157,V157,A157))),""),SUBSTITUTE(IFERROR(IF($H$2="Lower", LOWER(ComputeResourceName(#REF!,#REF!,#REF!,G157,N157,O157,P157,Q157,S157,T157,V157,A157)), UPPER(ComputeResourceName(#REF!,#REF!,#REF!,G157,N157,O157,P157,Q157,S157,T157,V157,A157))),""), "-",""))</f>
        <v/>
      </c>
      <c r="L157" s="3" t="str">
        <f xml:space="preserve"> IF(K157="","",  IFERROR(VLOOKUP(I157,Resources!$B$1:$H$1503,5,FALSE)-LEN(K157),0))</f>
        <v/>
      </c>
      <c r="M157" s="3" t="str">
        <f>IF(K157="","",IFERROR(matches(K157,VLOOKUP(I157,Resources!$A$2:$AA$1503,16,FALSE)),FALSE))</f>
        <v/>
      </c>
      <c r="N157" s="3" t="e">
        <f>VLOOKUP(E157,Enviroments!$A$3:$D$59,1,FALSE)</f>
        <v>#N/A</v>
      </c>
      <c r="O157" s="3" t="e">
        <f>VLOOKUP(E157,Enviroments!$A$3:$D$59,2,FALSE)</f>
        <v>#N/A</v>
      </c>
      <c r="P157" s="3" t="e">
        <f>VLOOKUP(E157,Enviroments!$A$3:$D$59,3,FALSE)</f>
        <v>#N/A</v>
      </c>
      <c r="Q157" s="3" t="e">
        <f>VLOOKUP(E157,Enviroments!$A$3:$D$59,4,FALSE)</f>
        <v>#N/A</v>
      </c>
      <c r="R157" s="3" t="e">
        <f>VLOOKUP(H157,AzureRegions!$A$4:$B$1493,1,FALSE)</f>
        <v>#N/A</v>
      </c>
      <c r="S157" s="3" t="e">
        <f>VLOOKUP(H157,AzureRegions!$A$4:$B$1493,2,FALSE)</f>
        <v>#N/A</v>
      </c>
      <c r="T157" s="3" t="e">
        <f>VLOOKUP(H157,AzureRegions!$A$4:$C$1493,3,FALSE)</f>
        <v>#N/A</v>
      </c>
      <c r="U157" s="3" t="e">
        <f>VLOOKUP(I157,Resources!$A$2:$AA$1503,2,FALSE)</f>
        <v>#N/A</v>
      </c>
      <c r="V157" s="3" t="e">
        <f>VLOOKUP(I157,Resources!$A$2:$H$1503,6,FALSE)</f>
        <v>#N/A</v>
      </c>
      <c r="W157" s="3" t="str">
        <f>VLOOKUP($H$2,Casing!$A$4:$A$60,1,FALSE)</f>
        <v>Lower</v>
      </c>
      <c r="X157" s="14" t="str">
        <f t="shared" si="5"/>
        <v>001</v>
      </c>
      <c r="Y157" s="3" t="str">
        <f>IFERROR(VLOOKUP(F157,Func!$A$4:$G$1500,2,FALSE),"none")</f>
        <v>none</v>
      </c>
      <c r="Z157" s="3" t="e">
        <f>VLOOKUP(I157,Resources!$A$2:$AA$1503,18,FALSE)</f>
        <v>#N/A</v>
      </c>
      <c r="AA157" s="3" t="str">
        <f>IFERROR(VLOOKUP(B157,Orgs!$A$4:$G$1500,2,FALSE),"none")</f>
        <v>none</v>
      </c>
      <c r="AB157" s="3" t="str">
        <f>IFERROR(VLOOKUP(C157,UnitsDepts!$A$4:$G$1500,2,FALSE),"none")</f>
        <v>none</v>
      </c>
      <c r="AC157" s="3" t="str">
        <f>IFERROR(VLOOKUP(D157,ProjAppSvc!$A$4:$G$1500,2,FALSE),"none")</f>
        <v>none</v>
      </c>
    </row>
    <row r="158" spans="1:29" x14ac:dyDescent="0.45">
      <c r="A158" s="14" t="s">
        <v>23</v>
      </c>
      <c r="B158" s="14"/>
      <c r="C158" s="14"/>
      <c r="D158" s="14"/>
      <c r="H158" s="8"/>
      <c r="I158" s="3"/>
      <c r="J158" s="3" t="str">
        <f t="shared" si="6"/>
        <v/>
      </c>
      <c r="K158" s="3" t="str">
        <f>IF(ISNUMBER(SEARCH("-",V158)),IFERROR(IF($H$2="Lower", LOWER(ComputeResourceName(Z158,#REF!,#REF!,G158,N158,O158,P158,Q158,S158,T158,V158,A158)), UPPER(ComputeResourceName(Z158,#REF!,#REF!,G158,N158,O158,P158,Q158,S158,T158,V158,A158))),""),SUBSTITUTE(IFERROR(IF($H$2="Lower", LOWER(ComputeResourceName(#REF!,#REF!,#REF!,G158,N158,O158,P158,Q158,S158,T158,V158,A158)), UPPER(ComputeResourceName(#REF!,#REF!,#REF!,G158,N158,O158,P158,Q158,S158,T158,V158,A158))),""), "-",""))</f>
        <v/>
      </c>
      <c r="L158" s="3" t="str">
        <f xml:space="preserve"> IF(K158="","",  IFERROR(VLOOKUP(I158,Resources!$B$1:$H$1503,5,FALSE)-LEN(K158),0))</f>
        <v/>
      </c>
      <c r="M158" s="3" t="str">
        <f>IF(K158="","",IFERROR(matches(K158,VLOOKUP(I158,Resources!$A$2:$AA$1503,16,FALSE)),FALSE))</f>
        <v/>
      </c>
      <c r="N158" s="3" t="e">
        <f>VLOOKUP(E158,Enviroments!$A$3:$D$59,1,FALSE)</f>
        <v>#N/A</v>
      </c>
      <c r="O158" s="3" t="e">
        <f>VLOOKUP(E158,Enviroments!$A$3:$D$59,2,FALSE)</f>
        <v>#N/A</v>
      </c>
      <c r="P158" s="3" t="e">
        <f>VLOOKUP(E158,Enviroments!$A$3:$D$59,3,FALSE)</f>
        <v>#N/A</v>
      </c>
      <c r="Q158" s="3" t="e">
        <f>VLOOKUP(E158,Enviroments!$A$3:$D$59,4,FALSE)</f>
        <v>#N/A</v>
      </c>
      <c r="R158" s="3" t="e">
        <f>VLOOKUP(H158,AzureRegions!$A$4:$B$1493,1,FALSE)</f>
        <v>#N/A</v>
      </c>
      <c r="S158" s="3" t="e">
        <f>VLOOKUP(H158,AzureRegions!$A$4:$B$1493,2,FALSE)</f>
        <v>#N/A</v>
      </c>
      <c r="T158" s="3" t="e">
        <f>VLOOKUP(H158,AzureRegions!$A$4:$C$1493,3,FALSE)</f>
        <v>#N/A</v>
      </c>
      <c r="U158" s="3" t="e">
        <f>VLOOKUP(I158,Resources!$A$2:$AA$1503,2,FALSE)</f>
        <v>#N/A</v>
      </c>
      <c r="V158" s="3" t="e">
        <f>VLOOKUP(I158,Resources!$A$2:$H$1503,6,FALSE)</f>
        <v>#N/A</v>
      </c>
      <c r="W158" s="3" t="str">
        <f>VLOOKUP($H$2,Casing!$A$4:$A$60,1,FALSE)</f>
        <v>Lower</v>
      </c>
      <c r="X158" s="14" t="str">
        <f t="shared" si="5"/>
        <v>001</v>
      </c>
      <c r="Y158" s="3" t="str">
        <f>IFERROR(VLOOKUP(F158,Func!$A$4:$G$1500,2,FALSE),"none")</f>
        <v>none</v>
      </c>
      <c r="Z158" s="3" t="e">
        <f>VLOOKUP(I158,Resources!$A$2:$AA$1503,18,FALSE)</f>
        <v>#N/A</v>
      </c>
      <c r="AA158" s="3" t="str">
        <f>IFERROR(VLOOKUP(B158,Orgs!$A$4:$G$1500,2,FALSE),"none")</f>
        <v>none</v>
      </c>
      <c r="AB158" s="3" t="str">
        <f>IFERROR(VLOOKUP(C158,UnitsDepts!$A$4:$G$1500,2,FALSE),"none")</f>
        <v>none</v>
      </c>
      <c r="AC158" s="3" t="str">
        <f>IFERROR(VLOOKUP(D158,ProjAppSvc!$A$4:$G$1500,2,FALSE),"none")</f>
        <v>none</v>
      </c>
    </row>
    <row r="159" spans="1:29" x14ac:dyDescent="0.45">
      <c r="A159" s="14" t="s">
        <v>23</v>
      </c>
      <c r="B159" s="14"/>
      <c r="C159" s="14"/>
      <c r="D159" s="14"/>
      <c r="H159" s="8"/>
      <c r="I159" s="3"/>
      <c r="J159" s="3" t="str">
        <f t="shared" si="6"/>
        <v/>
      </c>
      <c r="K159" s="3" t="str">
        <f>IF(ISNUMBER(SEARCH("-",V159)),IFERROR(IF($H$2="Lower", LOWER(ComputeResourceName(Z159,#REF!,#REF!,G159,N159,O159,P159,Q159,S159,T159,V159,A159)), UPPER(ComputeResourceName(Z159,#REF!,#REF!,G159,N159,O159,P159,Q159,S159,T159,V159,A159))),""),SUBSTITUTE(IFERROR(IF($H$2="Lower", LOWER(ComputeResourceName(#REF!,#REF!,#REF!,G159,N159,O159,P159,Q159,S159,T159,V159,A159)), UPPER(ComputeResourceName(#REF!,#REF!,#REF!,G159,N159,O159,P159,Q159,S159,T159,V159,A159))),""), "-",""))</f>
        <v/>
      </c>
      <c r="L159" s="3" t="str">
        <f xml:space="preserve"> IF(K159="","",  IFERROR(VLOOKUP(I159,Resources!$B$1:$H$1503,5,FALSE)-LEN(K159),0))</f>
        <v/>
      </c>
      <c r="M159" s="3" t="str">
        <f>IF(K159="","",IFERROR(matches(K159,VLOOKUP(I159,Resources!$A$2:$AA$1503,16,FALSE)),FALSE))</f>
        <v/>
      </c>
      <c r="N159" s="3" t="e">
        <f>VLOOKUP(E159,Enviroments!$A$3:$D$59,1,FALSE)</f>
        <v>#N/A</v>
      </c>
      <c r="O159" s="3" t="e">
        <f>VLOOKUP(E159,Enviroments!$A$3:$D$59,2,FALSE)</f>
        <v>#N/A</v>
      </c>
      <c r="P159" s="3" t="e">
        <f>VLOOKUP(E159,Enviroments!$A$3:$D$59,3,FALSE)</f>
        <v>#N/A</v>
      </c>
      <c r="Q159" s="3" t="e">
        <f>VLOOKUP(E159,Enviroments!$A$3:$D$59,4,FALSE)</f>
        <v>#N/A</v>
      </c>
      <c r="R159" s="3" t="e">
        <f>VLOOKUP(H159,AzureRegions!$A$4:$B$1493,1,FALSE)</f>
        <v>#N/A</v>
      </c>
      <c r="S159" s="3" t="e">
        <f>VLOOKUP(H159,AzureRegions!$A$4:$B$1493,2,FALSE)</f>
        <v>#N/A</v>
      </c>
      <c r="T159" s="3" t="e">
        <f>VLOOKUP(H159,AzureRegions!$A$4:$C$1493,3,FALSE)</f>
        <v>#N/A</v>
      </c>
      <c r="U159" s="3" t="e">
        <f>VLOOKUP(I159,Resources!$A$2:$AA$1503,2,FALSE)</f>
        <v>#N/A</v>
      </c>
      <c r="V159" s="3" t="e">
        <f>VLOOKUP(I159,Resources!$A$2:$H$1503,6,FALSE)</f>
        <v>#N/A</v>
      </c>
      <c r="W159" s="3" t="str">
        <f>VLOOKUP($H$2,Casing!$A$4:$A$60,1,FALSE)</f>
        <v>Lower</v>
      </c>
      <c r="X159" s="14" t="str">
        <f t="shared" si="5"/>
        <v>001</v>
      </c>
      <c r="Y159" s="3" t="str">
        <f>IFERROR(VLOOKUP(F159,Func!$A$4:$G$1500,2,FALSE),"none")</f>
        <v>none</v>
      </c>
      <c r="Z159" s="3" t="e">
        <f>VLOOKUP(I159,Resources!$A$2:$AA$1503,18,FALSE)</f>
        <v>#N/A</v>
      </c>
      <c r="AA159" s="3" t="str">
        <f>IFERROR(VLOOKUP(B159,Orgs!$A$4:$G$1500,2,FALSE),"none")</f>
        <v>none</v>
      </c>
      <c r="AB159" s="3" t="str">
        <f>IFERROR(VLOOKUP(C159,UnitsDepts!$A$4:$G$1500,2,FALSE),"none")</f>
        <v>none</v>
      </c>
      <c r="AC159" s="3" t="str">
        <f>IFERROR(VLOOKUP(D159,ProjAppSvc!$A$4:$G$1500,2,FALSE),"none")</f>
        <v>none</v>
      </c>
    </row>
    <row r="160" spans="1:29" x14ac:dyDescent="0.45">
      <c r="A160" s="14" t="s">
        <v>23</v>
      </c>
      <c r="B160" s="14"/>
      <c r="C160" s="14"/>
      <c r="D160" s="14"/>
      <c r="H160" s="8"/>
      <c r="I160" s="3"/>
      <c r="J160" s="3" t="str">
        <f t="shared" si="6"/>
        <v/>
      </c>
      <c r="K160" s="3" t="str">
        <f>IF(ISNUMBER(SEARCH("-",V160)),IFERROR(IF($H$2="Lower", LOWER(ComputeResourceName(Z160,#REF!,#REF!,G160,N160,O160,P160,Q160,S160,T160,V160,A160)), UPPER(ComputeResourceName(Z160,#REF!,#REF!,G160,N160,O160,P160,Q160,S160,T160,V160,A160))),""),SUBSTITUTE(IFERROR(IF($H$2="Lower", LOWER(ComputeResourceName(#REF!,#REF!,#REF!,G160,N160,O160,P160,Q160,S160,T160,V160,A160)), UPPER(ComputeResourceName(#REF!,#REF!,#REF!,G160,N160,O160,P160,Q160,S160,T160,V160,A160))),""), "-",""))</f>
        <v/>
      </c>
      <c r="L160" s="3" t="str">
        <f xml:space="preserve"> IF(K160="","",  IFERROR(VLOOKUP(I160,Resources!$B$1:$H$1503,5,FALSE)-LEN(K160),0))</f>
        <v/>
      </c>
      <c r="M160" s="3" t="str">
        <f>IF(K160="","",IFERROR(matches(K160,VLOOKUP(I160,Resources!$A$2:$AA$1503,16,FALSE)),FALSE))</f>
        <v/>
      </c>
      <c r="N160" s="3" t="e">
        <f>VLOOKUP(E160,Enviroments!$A$3:$D$59,1,FALSE)</f>
        <v>#N/A</v>
      </c>
      <c r="O160" s="3" t="e">
        <f>VLOOKUP(E160,Enviroments!$A$3:$D$59,2,FALSE)</f>
        <v>#N/A</v>
      </c>
      <c r="P160" s="3" t="e">
        <f>VLOOKUP(E160,Enviroments!$A$3:$D$59,3,FALSE)</f>
        <v>#N/A</v>
      </c>
      <c r="Q160" s="3" t="e">
        <f>VLOOKUP(E160,Enviroments!$A$3:$D$59,4,FALSE)</f>
        <v>#N/A</v>
      </c>
      <c r="R160" s="3" t="e">
        <f>VLOOKUP(H160,AzureRegions!$A$4:$B$1493,1,FALSE)</f>
        <v>#N/A</v>
      </c>
      <c r="S160" s="3" t="e">
        <f>VLOOKUP(H160,AzureRegions!$A$4:$B$1493,2,FALSE)</f>
        <v>#N/A</v>
      </c>
      <c r="T160" s="3" t="e">
        <f>VLOOKUP(H160,AzureRegions!$A$4:$C$1493,3,FALSE)</f>
        <v>#N/A</v>
      </c>
      <c r="U160" s="3" t="e">
        <f>VLOOKUP(I160,Resources!$A$2:$AA$1503,2,FALSE)</f>
        <v>#N/A</v>
      </c>
      <c r="V160" s="3" t="e">
        <f>VLOOKUP(I160,Resources!$A$2:$H$1503,6,FALSE)</f>
        <v>#N/A</v>
      </c>
      <c r="W160" s="3" t="str">
        <f>VLOOKUP($H$2,Casing!$A$4:$A$60,1,FALSE)</f>
        <v>Lower</v>
      </c>
      <c r="X160" s="14" t="str">
        <f t="shared" si="5"/>
        <v>001</v>
      </c>
      <c r="Y160" s="3" t="str">
        <f>IFERROR(VLOOKUP(F160,Func!$A$4:$G$1500,2,FALSE),"none")</f>
        <v>none</v>
      </c>
      <c r="Z160" s="3" t="e">
        <f>VLOOKUP(I160,Resources!$A$2:$AA$1503,18,FALSE)</f>
        <v>#N/A</v>
      </c>
      <c r="AA160" s="3" t="str">
        <f>IFERROR(VLOOKUP(B160,Orgs!$A$4:$G$1500,2,FALSE),"none")</f>
        <v>none</v>
      </c>
      <c r="AB160" s="3" t="str">
        <f>IFERROR(VLOOKUP(C160,UnitsDepts!$A$4:$G$1500,2,FALSE),"none")</f>
        <v>none</v>
      </c>
      <c r="AC160" s="3" t="str">
        <f>IFERROR(VLOOKUP(D160,ProjAppSvc!$A$4:$G$1500,2,FALSE),"none")</f>
        <v>none</v>
      </c>
    </row>
    <row r="161" spans="1:29" x14ac:dyDescent="0.45">
      <c r="A161" s="14" t="s">
        <v>23</v>
      </c>
      <c r="B161" s="14"/>
      <c r="C161" s="14"/>
      <c r="D161" s="14"/>
      <c r="H161" s="8"/>
      <c r="I161" s="3"/>
      <c r="J161" s="3" t="str">
        <f t="shared" si="6"/>
        <v/>
      </c>
      <c r="K161" s="3" t="str">
        <f>IF(ISNUMBER(SEARCH("-",V161)),IFERROR(IF($H$2="Lower", LOWER(ComputeResourceName(Z161,#REF!,#REF!,G161,N161,O161,P161,Q161,S161,T161,V161,A161)), UPPER(ComputeResourceName(Z161,#REF!,#REF!,G161,N161,O161,P161,Q161,S161,T161,V161,A161))),""),SUBSTITUTE(IFERROR(IF($H$2="Lower", LOWER(ComputeResourceName(#REF!,#REF!,#REF!,G161,N161,O161,P161,Q161,S161,T161,V161,A161)), UPPER(ComputeResourceName(#REF!,#REF!,#REF!,G161,N161,O161,P161,Q161,S161,T161,V161,A161))),""), "-",""))</f>
        <v/>
      </c>
      <c r="L161" s="3" t="str">
        <f xml:space="preserve"> IF(K161="","",  IFERROR(VLOOKUP(I161,Resources!$B$1:$H$1503,5,FALSE)-LEN(K161),0))</f>
        <v/>
      </c>
      <c r="M161" s="3" t="str">
        <f>IF(K161="","",IFERROR(matches(K161,VLOOKUP(I161,Resources!$A$2:$AA$1503,16,FALSE)),FALSE))</f>
        <v/>
      </c>
      <c r="N161" s="3" t="e">
        <f>VLOOKUP(E161,Enviroments!$A$3:$D$59,1,FALSE)</f>
        <v>#N/A</v>
      </c>
      <c r="O161" s="3" t="e">
        <f>VLOOKUP(E161,Enviroments!$A$3:$D$59,2,FALSE)</f>
        <v>#N/A</v>
      </c>
      <c r="P161" s="3" t="e">
        <f>VLOOKUP(E161,Enviroments!$A$3:$D$59,3,FALSE)</f>
        <v>#N/A</v>
      </c>
      <c r="Q161" s="3" t="e">
        <f>VLOOKUP(E161,Enviroments!$A$3:$D$59,4,FALSE)</f>
        <v>#N/A</v>
      </c>
      <c r="R161" s="3" t="e">
        <f>VLOOKUP(H161,AzureRegions!$A$4:$B$1493,1,FALSE)</f>
        <v>#N/A</v>
      </c>
      <c r="S161" s="3" t="e">
        <f>VLOOKUP(H161,AzureRegions!$A$4:$B$1493,2,FALSE)</f>
        <v>#N/A</v>
      </c>
      <c r="T161" s="3" t="e">
        <f>VLOOKUP(H161,AzureRegions!$A$4:$C$1493,3,FALSE)</f>
        <v>#N/A</v>
      </c>
      <c r="U161" s="3" t="e">
        <f>VLOOKUP(I161,Resources!$A$2:$AA$1503,2,FALSE)</f>
        <v>#N/A</v>
      </c>
      <c r="V161" s="3" t="e">
        <f>VLOOKUP(I161,Resources!$A$2:$H$1503,6,FALSE)</f>
        <v>#N/A</v>
      </c>
      <c r="W161" s="3" t="str">
        <f>VLOOKUP($H$2,Casing!$A$4:$A$60,1,FALSE)</f>
        <v>Lower</v>
      </c>
      <c r="X161" s="14" t="str">
        <f t="shared" si="5"/>
        <v>001</v>
      </c>
      <c r="Y161" s="3" t="str">
        <f>IFERROR(VLOOKUP(F161,Func!$A$4:$G$1500,2,FALSE),"none")</f>
        <v>none</v>
      </c>
      <c r="Z161" s="3" t="e">
        <f>VLOOKUP(I161,Resources!$A$2:$AA$1503,18,FALSE)</f>
        <v>#N/A</v>
      </c>
      <c r="AA161" s="3" t="str">
        <f>IFERROR(VLOOKUP(B161,Orgs!$A$4:$G$1500,2,FALSE),"none")</f>
        <v>none</v>
      </c>
      <c r="AB161" s="3" t="str">
        <f>IFERROR(VLOOKUP(C161,UnitsDepts!$A$4:$G$1500,2,FALSE),"none")</f>
        <v>none</v>
      </c>
      <c r="AC161" s="3" t="str">
        <f>IFERROR(VLOOKUP(D161,ProjAppSvc!$A$4:$G$1500,2,FALSE),"none")</f>
        <v>none</v>
      </c>
    </row>
    <row r="162" spans="1:29" x14ac:dyDescent="0.45">
      <c r="A162" s="14" t="s">
        <v>23</v>
      </c>
      <c r="B162" s="14"/>
      <c r="C162" s="14"/>
      <c r="D162" s="14"/>
      <c r="H162" s="8"/>
      <c r="I162" s="3"/>
      <c r="J162" s="3" t="str">
        <f t="shared" si="6"/>
        <v/>
      </c>
      <c r="K162" s="3" t="str">
        <f>IF(ISNUMBER(SEARCH("-",V162)),IFERROR(IF($H$2="Lower", LOWER(ComputeResourceName(Z162,#REF!,#REF!,G162,N162,O162,P162,Q162,S162,T162,V162,A162)), UPPER(ComputeResourceName(Z162,#REF!,#REF!,G162,N162,O162,P162,Q162,S162,T162,V162,A162))),""),SUBSTITUTE(IFERROR(IF($H$2="Lower", LOWER(ComputeResourceName(#REF!,#REF!,#REF!,G162,N162,O162,P162,Q162,S162,T162,V162,A162)), UPPER(ComputeResourceName(#REF!,#REF!,#REF!,G162,N162,O162,P162,Q162,S162,T162,V162,A162))),""), "-",""))</f>
        <v/>
      </c>
      <c r="L162" s="3" t="str">
        <f xml:space="preserve"> IF(K162="","",  IFERROR(VLOOKUP(I162,Resources!$B$1:$H$1503,5,FALSE)-LEN(K162),0))</f>
        <v/>
      </c>
      <c r="M162" s="3" t="str">
        <f>IF(K162="","",IFERROR(matches(K162,VLOOKUP(I162,Resources!$A$2:$AA$1503,16,FALSE)),FALSE))</f>
        <v/>
      </c>
      <c r="N162" s="3" t="e">
        <f>VLOOKUP(E162,Enviroments!$A$3:$D$59,1,FALSE)</f>
        <v>#N/A</v>
      </c>
      <c r="O162" s="3" t="e">
        <f>VLOOKUP(E162,Enviroments!$A$3:$D$59,2,FALSE)</f>
        <v>#N/A</v>
      </c>
      <c r="P162" s="3" t="e">
        <f>VLOOKUP(E162,Enviroments!$A$3:$D$59,3,FALSE)</f>
        <v>#N/A</v>
      </c>
      <c r="Q162" s="3" t="e">
        <f>VLOOKUP(E162,Enviroments!$A$3:$D$59,4,FALSE)</f>
        <v>#N/A</v>
      </c>
      <c r="R162" s="3" t="e">
        <f>VLOOKUP(H162,AzureRegions!$A$4:$B$1493,1,FALSE)</f>
        <v>#N/A</v>
      </c>
      <c r="S162" s="3" t="e">
        <f>VLOOKUP(H162,AzureRegions!$A$4:$B$1493,2,FALSE)</f>
        <v>#N/A</v>
      </c>
      <c r="T162" s="3" t="e">
        <f>VLOOKUP(H162,AzureRegions!$A$4:$C$1493,3,FALSE)</f>
        <v>#N/A</v>
      </c>
      <c r="U162" s="3" t="e">
        <f>VLOOKUP(I162,Resources!$A$2:$AA$1503,2,FALSE)</f>
        <v>#N/A</v>
      </c>
      <c r="V162" s="3" t="e">
        <f>VLOOKUP(I162,Resources!$A$2:$H$1503,6,FALSE)</f>
        <v>#N/A</v>
      </c>
      <c r="W162" s="3" t="str">
        <f>VLOOKUP($H$2,Casing!$A$4:$A$60,1,FALSE)</f>
        <v>Lower</v>
      </c>
      <c r="X162" s="14" t="str">
        <f t="shared" si="5"/>
        <v>001</v>
      </c>
      <c r="Y162" s="3" t="str">
        <f>IFERROR(VLOOKUP(F162,Func!$A$4:$G$1500,2,FALSE),"none")</f>
        <v>none</v>
      </c>
      <c r="Z162" s="3" t="e">
        <f>VLOOKUP(I162,Resources!$A$2:$AA$1503,18,FALSE)</f>
        <v>#N/A</v>
      </c>
      <c r="AA162" s="3" t="str">
        <f>IFERROR(VLOOKUP(B162,Orgs!$A$4:$G$1500,2,FALSE),"none")</f>
        <v>none</v>
      </c>
      <c r="AB162" s="3" t="str">
        <f>IFERROR(VLOOKUP(C162,UnitsDepts!$A$4:$G$1500,2,FALSE),"none")</f>
        <v>none</v>
      </c>
      <c r="AC162" s="3" t="str">
        <f>IFERROR(VLOOKUP(D162,ProjAppSvc!$A$4:$G$1500,2,FALSE),"none")</f>
        <v>none</v>
      </c>
    </row>
    <row r="163" spans="1:29" x14ac:dyDescent="0.45">
      <c r="A163" s="14" t="s">
        <v>23</v>
      </c>
      <c r="B163" s="14"/>
      <c r="C163" s="14"/>
      <c r="D163" s="14"/>
      <c r="H163" s="8"/>
      <c r="I163" s="3"/>
      <c r="J163" s="3" t="str">
        <f t="shared" si="6"/>
        <v/>
      </c>
      <c r="K163" s="3" t="str">
        <f>IF(ISNUMBER(SEARCH("-",V163)),IFERROR(IF($H$2="Lower", LOWER(ComputeResourceName(Z163,#REF!,#REF!,G163,N163,O163,P163,Q163,S163,T163,V163,A163)), UPPER(ComputeResourceName(Z163,#REF!,#REF!,G163,N163,O163,P163,Q163,S163,T163,V163,A163))),""),SUBSTITUTE(IFERROR(IF($H$2="Lower", LOWER(ComputeResourceName(#REF!,#REF!,#REF!,G163,N163,O163,P163,Q163,S163,T163,V163,A163)), UPPER(ComputeResourceName(#REF!,#REF!,#REF!,G163,N163,O163,P163,Q163,S163,T163,V163,A163))),""), "-",""))</f>
        <v/>
      </c>
      <c r="L163" s="3" t="str">
        <f xml:space="preserve"> IF(K163="","",  IFERROR(VLOOKUP(I163,Resources!$B$1:$H$1503,5,FALSE)-LEN(K163),0))</f>
        <v/>
      </c>
      <c r="M163" s="3" t="str">
        <f>IF(K163="","",IFERROR(matches(K163,VLOOKUP(I163,Resources!$A$2:$AA$1503,16,FALSE)),FALSE))</f>
        <v/>
      </c>
      <c r="N163" s="3" t="e">
        <f>VLOOKUP(E163,Enviroments!$A$3:$D$59,1,FALSE)</f>
        <v>#N/A</v>
      </c>
      <c r="O163" s="3" t="e">
        <f>VLOOKUP(E163,Enviroments!$A$3:$D$59,2,FALSE)</f>
        <v>#N/A</v>
      </c>
      <c r="P163" s="3" t="e">
        <f>VLOOKUP(E163,Enviroments!$A$3:$D$59,3,FALSE)</f>
        <v>#N/A</v>
      </c>
      <c r="Q163" s="3" t="e">
        <f>VLOOKUP(E163,Enviroments!$A$3:$D$59,4,FALSE)</f>
        <v>#N/A</v>
      </c>
      <c r="R163" s="3" t="e">
        <f>VLOOKUP(H163,AzureRegions!$A$4:$B$1493,1,FALSE)</f>
        <v>#N/A</v>
      </c>
      <c r="S163" s="3" t="e">
        <f>VLOOKUP(H163,AzureRegions!$A$4:$B$1493,2,FALSE)</f>
        <v>#N/A</v>
      </c>
      <c r="T163" s="3" t="e">
        <f>VLOOKUP(H163,AzureRegions!$A$4:$C$1493,3,FALSE)</f>
        <v>#N/A</v>
      </c>
      <c r="U163" s="3" t="e">
        <f>VLOOKUP(I163,Resources!$A$2:$AA$1503,2,FALSE)</f>
        <v>#N/A</v>
      </c>
      <c r="V163" s="3" t="e">
        <f>VLOOKUP(I163,Resources!$A$2:$H$1503,6,FALSE)</f>
        <v>#N/A</v>
      </c>
      <c r="W163" s="3" t="str">
        <f>VLOOKUP($H$2,Casing!$A$4:$A$60,1,FALSE)</f>
        <v>Lower</v>
      </c>
      <c r="X163" s="14" t="str">
        <f t="shared" si="5"/>
        <v>001</v>
      </c>
      <c r="Y163" s="3" t="str">
        <f>IFERROR(VLOOKUP(F163,Func!$A$4:$G$1500,2,FALSE),"none")</f>
        <v>none</v>
      </c>
      <c r="Z163" s="3" t="e">
        <f>VLOOKUP(I163,Resources!$A$2:$AA$1503,18,FALSE)</f>
        <v>#N/A</v>
      </c>
      <c r="AA163" s="3" t="str">
        <f>IFERROR(VLOOKUP(B163,Orgs!$A$4:$G$1500,2,FALSE),"none")</f>
        <v>none</v>
      </c>
      <c r="AB163" s="3" t="str">
        <f>IFERROR(VLOOKUP(C163,UnitsDepts!$A$4:$G$1500,2,FALSE),"none")</f>
        <v>none</v>
      </c>
      <c r="AC163" s="3" t="str">
        <f>IFERROR(VLOOKUP(D163,ProjAppSvc!$A$4:$G$1500,2,FALSE),"none")</f>
        <v>none</v>
      </c>
    </row>
    <row r="164" spans="1:29" x14ac:dyDescent="0.45">
      <c r="A164" s="14" t="s">
        <v>23</v>
      </c>
      <c r="B164" s="14"/>
      <c r="C164" s="14"/>
      <c r="D164" s="14"/>
      <c r="H164" s="8"/>
      <c r="I164" s="3"/>
      <c r="J164" s="3" t="str">
        <f t="shared" si="6"/>
        <v/>
      </c>
      <c r="K164" s="3" t="str">
        <f>IF(ISNUMBER(SEARCH("-",V164)),IFERROR(IF($H$2="Lower", LOWER(ComputeResourceName(Z164,#REF!,#REF!,G164,N164,O164,P164,Q164,S164,T164,V164,A164)), UPPER(ComputeResourceName(Z164,#REF!,#REF!,G164,N164,O164,P164,Q164,S164,T164,V164,A164))),""),SUBSTITUTE(IFERROR(IF($H$2="Lower", LOWER(ComputeResourceName(#REF!,#REF!,#REF!,G164,N164,O164,P164,Q164,S164,T164,V164,A164)), UPPER(ComputeResourceName(#REF!,#REF!,#REF!,G164,N164,O164,P164,Q164,S164,T164,V164,A164))),""), "-",""))</f>
        <v/>
      </c>
      <c r="L164" s="3" t="str">
        <f xml:space="preserve"> IF(K164="","",  IFERROR(VLOOKUP(I164,Resources!$B$1:$H$1503,5,FALSE)-LEN(K164),0))</f>
        <v/>
      </c>
      <c r="M164" s="3" t="str">
        <f>IF(K164="","",IFERROR(matches(K164,VLOOKUP(I164,Resources!$A$2:$AA$1503,16,FALSE)),FALSE))</f>
        <v/>
      </c>
      <c r="N164" s="3" t="e">
        <f>VLOOKUP(E164,Enviroments!$A$3:$D$59,1,FALSE)</f>
        <v>#N/A</v>
      </c>
      <c r="O164" s="3" t="e">
        <f>VLOOKUP(E164,Enviroments!$A$3:$D$59,2,FALSE)</f>
        <v>#N/A</v>
      </c>
      <c r="P164" s="3" t="e">
        <f>VLOOKUP(E164,Enviroments!$A$3:$D$59,3,FALSE)</f>
        <v>#N/A</v>
      </c>
      <c r="Q164" s="3" t="e">
        <f>VLOOKUP(E164,Enviroments!$A$3:$D$59,4,FALSE)</f>
        <v>#N/A</v>
      </c>
      <c r="R164" s="3" t="e">
        <f>VLOOKUP(H164,AzureRegions!$A$4:$B$1493,1,FALSE)</f>
        <v>#N/A</v>
      </c>
      <c r="S164" s="3" t="e">
        <f>VLOOKUP(H164,AzureRegions!$A$4:$B$1493,2,FALSE)</f>
        <v>#N/A</v>
      </c>
      <c r="T164" s="3" t="e">
        <f>VLOOKUP(H164,AzureRegions!$A$4:$C$1493,3,FALSE)</f>
        <v>#N/A</v>
      </c>
      <c r="U164" s="3" t="e">
        <f>VLOOKUP(I164,Resources!$A$2:$AA$1503,2,FALSE)</f>
        <v>#N/A</v>
      </c>
      <c r="V164" s="3" t="e">
        <f>VLOOKUP(I164,Resources!$A$2:$H$1503,6,FALSE)</f>
        <v>#N/A</v>
      </c>
      <c r="W164" s="3" t="str">
        <f>VLOOKUP($H$2,Casing!$A$4:$A$60,1,FALSE)</f>
        <v>Lower</v>
      </c>
      <c r="X164" s="14" t="str">
        <f t="shared" si="5"/>
        <v>001</v>
      </c>
      <c r="Y164" s="3" t="str">
        <f>IFERROR(VLOOKUP(F164,Func!$A$4:$G$1500,2,FALSE),"none")</f>
        <v>none</v>
      </c>
      <c r="Z164" s="3" t="e">
        <f>VLOOKUP(I164,Resources!$A$2:$AA$1503,18,FALSE)</f>
        <v>#N/A</v>
      </c>
      <c r="AA164" s="3" t="str">
        <f>IFERROR(VLOOKUP(B164,Orgs!$A$4:$G$1500,2,FALSE),"none")</f>
        <v>none</v>
      </c>
      <c r="AB164" s="3" t="str">
        <f>IFERROR(VLOOKUP(C164,UnitsDepts!$A$4:$G$1500,2,FALSE),"none")</f>
        <v>none</v>
      </c>
      <c r="AC164" s="3" t="str">
        <f>IFERROR(VLOOKUP(D164,ProjAppSvc!$A$4:$G$1500,2,FALSE),"none")</f>
        <v>none</v>
      </c>
    </row>
    <row r="165" spans="1:29" x14ac:dyDescent="0.45">
      <c r="A165" s="14" t="s">
        <v>23</v>
      </c>
      <c r="B165" s="14"/>
      <c r="C165" s="14"/>
      <c r="D165" s="14"/>
      <c r="H165" s="8"/>
      <c r="I165" s="3"/>
      <c r="J165" s="3" t="str">
        <f t="shared" si="6"/>
        <v/>
      </c>
      <c r="K165" s="3" t="str">
        <f>IF(ISNUMBER(SEARCH("-",V165)),IFERROR(IF($H$2="Lower", LOWER(ComputeResourceName(Z165,#REF!,#REF!,G165,N165,O165,P165,Q165,S165,T165,V165,A165)), UPPER(ComputeResourceName(Z165,#REF!,#REF!,G165,N165,O165,P165,Q165,S165,T165,V165,A165))),""),SUBSTITUTE(IFERROR(IF($H$2="Lower", LOWER(ComputeResourceName(#REF!,#REF!,#REF!,G165,N165,O165,P165,Q165,S165,T165,V165,A165)), UPPER(ComputeResourceName(#REF!,#REF!,#REF!,G165,N165,O165,P165,Q165,S165,T165,V165,A165))),""), "-",""))</f>
        <v/>
      </c>
      <c r="L165" s="3" t="str">
        <f xml:space="preserve"> IF(K165="","",  IFERROR(VLOOKUP(I165,Resources!$B$1:$H$1503,5,FALSE)-LEN(K165),0))</f>
        <v/>
      </c>
      <c r="M165" s="3" t="str">
        <f>IF(K165="","",IFERROR(matches(K165,VLOOKUP(I165,Resources!$A$2:$AA$1503,16,FALSE)),FALSE))</f>
        <v/>
      </c>
      <c r="N165" s="3" t="e">
        <f>VLOOKUP(E165,Enviroments!$A$3:$D$59,1,FALSE)</f>
        <v>#N/A</v>
      </c>
      <c r="O165" s="3" t="e">
        <f>VLOOKUP(E165,Enviroments!$A$3:$D$59,2,FALSE)</f>
        <v>#N/A</v>
      </c>
      <c r="P165" s="3" t="e">
        <f>VLOOKUP(E165,Enviroments!$A$3:$D$59,3,FALSE)</f>
        <v>#N/A</v>
      </c>
      <c r="Q165" s="3" t="e">
        <f>VLOOKUP(E165,Enviroments!$A$3:$D$59,4,FALSE)</f>
        <v>#N/A</v>
      </c>
      <c r="R165" s="3" t="e">
        <f>VLOOKUP(H165,AzureRegions!$A$4:$B$1493,1,FALSE)</f>
        <v>#N/A</v>
      </c>
      <c r="S165" s="3" t="e">
        <f>VLOOKUP(H165,AzureRegions!$A$4:$B$1493,2,FALSE)</f>
        <v>#N/A</v>
      </c>
      <c r="T165" s="3" t="e">
        <f>VLOOKUP(H165,AzureRegions!$A$4:$C$1493,3,FALSE)</f>
        <v>#N/A</v>
      </c>
      <c r="U165" s="3" t="e">
        <f>VLOOKUP(I165,Resources!$A$2:$AA$1503,2,FALSE)</f>
        <v>#N/A</v>
      </c>
      <c r="V165" s="3" t="e">
        <f>VLOOKUP(I165,Resources!$A$2:$H$1503,6,FALSE)</f>
        <v>#N/A</v>
      </c>
      <c r="W165" s="3" t="str">
        <f>VLOOKUP($H$2,Casing!$A$4:$A$60,1,FALSE)</f>
        <v>Lower</v>
      </c>
      <c r="X165" s="14" t="str">
        <f t="shared" si="5"/>
        <v>001</v>
      </c>
      <c r="Y165" s="3" t="str">
        <f>IFERROR(VLOOKUP(F165,Func!$A$4:$G$1500,2,FALSE),"none")</f>
        <v>none</v>
      </c>
      <c r="Z165" s="3" t="e">
        <f>VLOOKUP(I165,Resources!$A$2:$AA$1503,18,FALSE)</f>
        <v>#N/A</v>
      </c>
      <c r="AA165" s="3" t="str">
        <f>IFERROR(VLOOKUP(B165,Orgs!$A$4:$G$1500,2,FALSE),"none")</f>
        <v>none</v>
      </c>
      <c r="AB165" s="3" t="str">
        <f>IFERROR(VLOOKUP(C165,UnitsDepts!$A$4:$G$1500,2,FALSE),"none")</f>
        <v>none</v>
      </c>
      <c r="AC165" s="3" t="str">
        <f>IFERROR(VLOOKUP(D165,ProjAppSvc!$A$4:$G$1500,2,FALSE),"none")</f>
        <v>none</v>
      </c>
    </row>
    <row r="166" spans="1:29" x14ac:dyDescent="0.45">
      <c r="A166" s="14" t="s">
        <v>23</v>
      </c>
      <c r="B166" s="14"/>
      <c r="C166" s="14"/>
      <c r="D166" s="14"/>
      <c r="H166" s="8"/>
      <c r="I166" s="3"/>
      <c r="J166" s="3" t="str">
        <f t="shared" si="6"/>
        <v/>
      </c>
      <c r="K166" s="3" t="str">
        <f>IF(ISNUMBER(SEARCH("-",V166)),IFERROR(IF($H$2="Lower", LOWER(ComputeResourceName(Z166,#REF!,#REF!,G166,N166,O166,P166,Q166,S166,T166,V166,A166)), UPPER(ComputeResourceName(Z166,#REF!,#REF!,G166,N166,O166,P166,Q166,S166,T166,V166,A166))),""),SUBSTITUTE(IFERROR(IF($H$2="Lower", LOWER(ComputeResourceName(#REF!,#REF!,#REF!,G166,N166,O166,P166,Q166,S166,T166,V166,A166)), UPPER(ComputeResourceName(#REF!,#REF!,#REF!,G166,N166,O166,P166,Q166,S166,T166,V166,A166))),""), "-",""))</f>
        <v/>
      </c>
      <c r="L166" s="3" t="str">
        <f xml:space="preserve"> IF(K166="","",  IFERROR(VLOOKUP(I166,Resources!$B$1:$H$1503,5,FALSE)-LEN(K166),0))</f>
        <v/>
      </c>
      <c r="M166" s="3" t="str">
        <f>IF(K166="","",IFERROR(matches(K166,VLOOKUP(I166,Resources!$A$2:$AA$1503,16,FALSE)),FALSE))</f>
        <v/>
      </c>
      <c r="N166" s="3" t="e">
        <f>VLOOKUP(E166,Enviroments!$A$3:$D$59,1,FALSE)</f>
        <v>#N/A</v>
      </c>
      <c r="O166" s="3" t="e">
        <f>VLOOKUP(E166,Enviroments!$A$3:$D$59,2,FALSE)</f>
        <v>#N/A</v>
      </c>
      <c r="P166" s="3" t="e">
        <f>VLOOKUP(E166,Enviroments!$A$3:$D$59,3,FALSE)</f>
        <v>#N/A</v>
      </c>
      <c r="Q166" s="3" t="e">
        <f>VLOOKUP(E166,Enviroments!$A$3:$D$59,4,FALSE)</f>
        <v>#N/A</v>
      </c>
      <c r="R166" s="3" t="e">
        <f>VLOOKUP(H166,AzureRegions!$A$4:$B$1493,1,FALSE)</f>
        <v>#N/A</v>
      </c>
      <c r="S166" s="3" t="e">
        <f>VLOOKUP(H166,AzureRegions!$A$4:$B$1493,2,FALSE)</f>
        <v>#N/A</v>
      </c>
      <c r="T166" s="3" t="e">
        <f>VLOOKUP(H166,AzureRegions!$A$4:$C$1493,3,FALSE)</f>
        <v>#N/A</v>
      </c>
      <c r="U166" s="3" t="e">
        <f>VLOOKUP(I166,Resources!$A$2:$AA$1503,2,FALSE)</f>
        <v>#N/A</v>
      </c>
      <c r="V166" s="3" t="e">
        <f>VLOOKUP(I166,Resources!$A$2:$H$1503,6,FALSE)</f>
        <v>#N/A</v>
      </c>
      <c r="W166" s="3" t="str">
        <f>VLOOKUP($H$2,Casing!$A$4:$A$60,1,FALSE)</f>
        <v>Lower</v>
      </c>
      <c r="X166" s="14" t="str">
        <f t="shared" si="5"/>
        <v>001</v>
      </c>
      <c r="Y166" s="3" t="str">
        <f>IFERROR(VLOOKUP(F166,Func!$A$4:$G$1500,2,FALSE),"none")</f>
        <v>none</v>
      </c>
      <c r="Z166" s="3" t="e">
        <f>VLOOKUP(I166,Resources!$A$2:$AA$1503,18,FALSE)</f>
        <v>#N/A</v>
      </c>
      <c r="AA166" s="3" t="str">
        <f>IFERROR(VLOOKUP(B166,Orgs!$A$4:$G$1500,2,FALSE),"none")</f>
        <v>none</v>
      </c>
      <c r="AB166" s="3" t="str">
        <f>IFERROR(VLOOKUP(C166,UnitsDepts!$A$4:$G$1500,2,FALSE),"none")</f>
        <v>none</v>
      </c>
      <c r="AC166" s="3" t="str">
        <f>IFERROR(VLOOKUP(D166,ProjAppSvc!$A$4:$G$1500,2,FALSE),"none")</f>
        <v>none</v>
      </c>
    </row>
    <row r="167" spans="1:29" x14ac:dyDescent="0.45">
      <c r="A167" s="14" t="s">
        <v>23</v>
      </c>
      <c r="B167" s="14"/>
      <c r="C167" s="14"/>
      <c r="D167" s="14"/>
      <c r="H167" s="8"/>
      <c r="I167" s="3"/>
      <c r="J167" s="3" t="str">
        <f t="shared" si="6"/>
        <v/>
      </c>
      <c r="K167" s="3" t="str">
        <f>IF(ISNUMBER(SEARCH("-",V167)),IFERROR(IF($H$2="Lower", LOWER(ComputeResourceName(Z167,#REF!,#REF!,G167,N167,O167,P167,Q167,S167,T167,V167,A167)), UPPER(ComputeResourceName(Z167,#REF!,#REF!,G167,N167,O167,P167,Q167,S167,T167,V167,A167))),""),SUBSTITUTE(IFERROR(IF($H$2="Lower", LOWER(ComputeResourceName(#REF!,#REF!,#REF!,G167,N167,O167,P167,Q167,S167,T167,V167,A167)), UPPER(ComputeResourceName(#REF!,#REF!,#REF!,G167,N167,O167,P167,Q167,S167,T167,V167,A167))),""), "-",""))</f>
        <v/>
      </c>
      <c r="L167" s="3" t="str">
        <f xml:space="preserve"> IF(K167="","",  IFERROR(VLOOKUP(I167,Resources!$B$1:$H$1503,5,FALSE)-LEN(K167),0))</f>
        <v/>
      </c>
      <c r="M167" s="3" t="str">
        <f>IF(K167="","",IFERROR(matches(K167,VLOOKUP(I167,Resources!$A$2:$AA$1503,16,FALSE)),FALSE))</f>
        <v/>
      </c>
      <c r="N167" s="3" t="e">
        <f>VLOOKUP(E167,Enviroments!$A$3:$D$59,1,FALSE)</f>
        <v>#N/A</v>
      </c>
      <c r="O167" s="3" t="e">
        <f>VLOOKUP(E167,Enviroments!$A$3:$D$59,2,FALSE)</f>
        <v>#N/A</v>
      </c>
      <c r="P167" s="3" t="e">
        <f>VLOOKUP(E167,Enviroments!$A$3:$D$59,3,FALSE)</f>
        <v>#N/A</v>
      </c>
      <c r="Q167" s="3" t="e">
        <f>VLOOKUP(E167,Enviroments!$A$3:$D$59,4,FALSE)</f>
        <v>#N/A</v>
      </c>
      <c r="R167" s="3" t="e">
        <f>VLOOKUP(H167,AzureRegions!$A$4:$B$1493,1,FALSE)</f>
        <v>#N/A</v>
      </c>
      <c r="S167" s="3" t="e">
        <f>VLOOKUP(H167,AzureRegions!$A$4:$B$1493,2,FALSE)</f>
        <v>#N/A</v>
      </c>
      <c r="T167" s="3" t="e">
        <f>VLOOKUP(H167,AzureRegions!$A$4:$C$1493,3,FALSE)</f>
        <v>#N/A</v>
      </c>
      <c r="U167" s="3" t="e">
        <f>VLOOKUP(I167,Resources!$A$2:$AA$1503,2,FALSE)</f>
        <v>#N/A</v>
      </c>
      <c r="V167" s="3" t="e">
        <f>VLOOKUP(I167,Resources!$A$2:$H$1503,6,FALSE)</f>
        <v>#N/A</v>
      </c>
      <c r="W167" s="3" t="str">
        <f>VLOOKUP($H$2,Casing!$A$4:$A$60,1,FALSE)</f>
        <v>Lower</v>
      </c>
      <c r="X167" s="14" t="str">
        <f t="shared" si="5"/>
        <v>001</v>
      </c>
      <c r="Y167" s="3" t="str">
        <f>IFERROR(VLOOKUP(F167,Func!$A$4:$G$1500,2,FALSE),"none")</f>
        <v>none</v>
      </c>
      <c r="Z167" s="3" t="e">
        <f>VLOOKUP(I167,Resources!$A$2:$AA$1503,18,FALSE)</f>
        <v>#N/A</v>
      </c>
      <c r="AA167" s="3" t="str">
        <f>IFERROR(VLOOKUP(B167,Orgs!$A$4:$G$1500,2,FALSE),"none")</f>
        <v>none</v>
      </c>
      <c r="AB167" s="3" t="str">
        <f>IFERROR(VLOOKUP(C167,UnitsDepts!$A$4:$G$1500,2,FALSE),"none")</f>
        <v>none</v>
      </c>
      <c r="AC167" s="3" t="str">
        <f>IFERROR(VLOOKUP(D167,ProjAppSvc!$A$4:$G$1500,2,FALSE),"none")</f>
        <v>none</v>
      </c>
    </row>
    <row r="168" spans="1:29" x14ac:dyDescent="0.45">
      <c r="A168" s="14" t="s">
        <v>23</v>
      </c>
      <c r="B168" s="14"/>
      <c r="C168" s="14"/>
      <c r="D168" s="14"/>
      <c r="H168" s="8"/>
      <c r="I168" s="3"/>
      <c r="J168" s="3" t="str">
        <f t="shared" si="6"/>
        <v/>
      </c>
      <c r="K168" s="3" t="str">
        <f>IF(ISNUMBER(SEARCH("-",V168)),IFERROR(IF($H$2="Lower", LOWER(ComputeResourceName(Z168,#REF!,#REF!,G168,N168,O168,P168,Q168,S168,T168,V168,A168)), UPPER(ComputeResourceName(Z168,#REF!,#REF!,G168,N168,O168,P168,Q168,S168,T168,V168,A168))),""),SUBSTITUTE(IFERROR(IF($H$2="Lower", LOWER(ComputeResourceName(#REF!,#REF!,#REF!,G168,N168,O168,P168,Q168,S168,T168,V168,A168)), UPPER(ComputeResourceName(#REF!,#REF!,#REF!,G168,N168,O168,P168,Q168,S168,T168,V168,A168))),""), "-",""))</f>
        <v/>
      </c>
      <c r="L168" s="3" t="str">
        <f xml:space="preserve"> IF(K168="","",  IFERROR(VLOOKUP(I168,Resources!$B$1:$H$1503,5,FALSE)-LEN(K168),0))</f>
        <v/>
      </c>
      <c r="M168" s="3" t="str">
        <f>IF(K168="","",IFERROR(matches(K168,VLOOKUP(I168,Resources!$A$2:$AA$1503,16,FALSE)),FALSE))</f>
        <v/>
      </c>
      <c r="N168" s="3" t="e">
        <f>VLOOKUP(E168,Enviroments!$A$3:$D$59,1,FALSE)</f>
        <v>#N/A</v>
      </c>
      <c r="O168" s="3" t="e">
        <f>VLOOKUP(E168,Enviroments!$A$3:$D$59,2,FALSE)</f>
        <v>#N/A</v>
      </c>
      <c r="P168" s="3" t="e">
        <f>VLOOKUP(E168,Enviroments!$A$3:$D$59,3,FALSE)</f>
        <v>#N/A</v>
      </c>
      <c r="Q168" s="3" t="e">
        <f>VLOOKUP(E168,Enviroments!$A$3:$D$59,4,FALSE)</f>
        <v>#N/A</v>
      </c>
      <c r="R168" s="3" t="e">
        <f>VLOOKUP(H168,AzureRegions!$A$4:$B$1493,1,FALSE)</f>
        <v>#N/A</v>
      </c>
      <c r="S168" s="3" t="e">
        <f>VLOOKUP(H168,AzureRegions!$A$4:$B$1493,2,FALSE)</f>
        <v>#N/A</v>
      </c>
      <c r="T168" s="3" t="e">
        <f>VLOOKUP(H168,AzureRegions!$A$4:$C$1493,3,FALSE)</f>
        <v>#N/A</v>
      </c>
      <c r="U168" s="3" t="e">
        <f>VLOOKUP(I168,Resources!$A$2:$AA$1503,2,FALSE)</f>
        <v>#N/A</v>
      </c>
      <c r="V168" s="3" t="e">
        <f>VLOOKUP(I168,Resources!$A$2:$H$1503,6,FALSE)</f>
        <v>#N/A</v>
      </c>
      <c r="W168" s="3" t="str">
        <f>VLOOKUP($H$2,Casing!$A$4:$A$60,1,FALSE)</f>
        <v>Lower</v>
      </c>
      <c r="X168" s="14" t="str">
        <f t="shared" si="5"/>
        <v>001</v>
      </c>
      <c r="Y168" s="3" t="str">
        <f>IFERROR(VLOOKUP(F168,Func!$A$4:$G$1500,2,FALSE),"none")</f>
        <v>none</v>
      </c>
      <c r="Z168" s="3" t="e">
        <f>VLOOKUP(I168,Resources!$A$2:$AA$1503,18,FALSE)</f>
        <v>#N/A</v>
      </c>
      <c r="AA168" s="3" t="str">
        <f>IFERROR(VLOOKUP(B168,Orgs!$A$4:$G$1500,2,FALSE),"none")</f>
        <v>none</v>
      </c>
      <c r="AB168" s="3" t="str">
        <f>IFERROR(VLOOKUP(C168,UnitsDepts!$A$4:$G$1500,2,FALSE),"none")</f>
        <v>none</v>
      </c>
      <c r="AC168" s="3" t="str">
        <f>IFERROR(VLOOKUP(D168,ProjAppSvc!$A$4:$G$1500,2,FALSE),"none")</f>
        <v>none</v>
      </c>
    </row>
    <row r="169" spans="1:29" x14ac:dyDescent="0.45">
      <c r="A169" s="14" t="s">
        <v>23</v>
      </c>
      <c r="B169" s="14"/>
      <c r="C169" s="14"/>
      <c r="D169" s="14"/>
      <c r="H169" s="8"/>
      <c r="I169" s="3"/>
      <c r="J169" s="3" t="str">
        <f t="shared" si="6"/>
        <v/>
      </c>
      <c r="K169" s="3" t="str">
        <f>IF(ISNUMBER(SEARCH("-",V169)),IFERROR(IF($H$2="Lower", LOWER(ComputeResourceName(Z169,#REF!,#REF!,G169,N169,O169,P169,Q169,S169,T169,V169,A169)), UPPER(ComputeResourceName(Z169,#REF!,#REF!,G169,N169,O169,P169,Q169,S169,T169,V169,A169))),""),SUBSTITUTE(IFERROR(IF($H$2="Lower", LOWER(ComputeResourceName(#REF!,#REF!,#REF!,G169,N169,O169,P169,Q169,S169,T169,V169,A169)), UPPER(ComputeResourceName(#REF!,#REF!,#REF!,G169,N169,O169,P169,Q169,S169,T169,V169,A169))),""), "-",""))</f>
        <v/>
      </c>
      <c r="L169" s="3" t="str">
        <f xml:space="preserve"> IF(K169="","",  IFERROR(VLOOKUP(I169,Resources!$B$1:$H$1503,5,FALSE)-LEN(K169),0))</f>
        <v/>
      </c>
      <c r="M169" s="3" t="str">
        <f>IF(K169="","",IFERROR(matches(K169,VLOOKUP(I169,Resources!$A$2:$AA$1503,16,FALSE)),FALSE))</f>
        <v/>
      </c>
      <c r="N169" s="3" t="e">
        <f>VLOOKUP(E169,Enviroments!$A$3:$D$59,1,FALSE)</f>
        <v>#N/A</v>
      </c>
      <c r="O169" s="3" t="e">
        <f>VLOOKUP(E169,Enviroments!$A$3:$D$59,2,FALSE)</f>
        <v>#N/A</v>
      </c>
      <c r="P169" s="3" t="e">
        <f>VLOOKUP(E169,Enviroments!$A$3:$D$59,3,FALSE)</f>
        <v>#N/A</v>
      </c>
      <c r="Q169" s="3" t="e">
        <f>VLOOKUP(E169,Enviroments!$A$3:$D$59,4,FALSE)</f>
        <v>#N/A</v>
      </c>
      <c r="R169" s="3" t="e">
        <f>VLOOKUP(H169,AzureRegions!$A$4:$B$1493,1,FALSE)</f>
        <v>#N/A</v>
      </c>
      <c r="S169" s="3" t="e">
        <f>VLOOKUP(H169,AzureRegions!$A$4:$B$1493,2,FALSE)</f>
        <v>#N/A</v>
      </c>
      <c r="T169" s="3" t="e">
        <f>VLOOKUP(H169,AzureRegions!$A$4:$C$1493,3,FALSE)</f>
        <v>#N/A</v>
      </c>
      <c r="U169" s="3" t="e">
        <f>VLOOKUP(I169,Resources!$A$2:$AA$1503,2,FALSE)</f>
        <v>#N/A</v>
      </c>
      <c r="V169" s="3" t="e">
        <f>VLOOKUP(I169,Resources!$A$2:$H$1503,6,FALSE)</f>
        <v>#N/A</v>
      </c>
      <c r="W169" s="3" t="str">
        <f>VLOOKUP($H$2,Casing!$A$4:$A$60,1,FALSE)</f>
        <v>Lower</v>
      </c>
      <c r="X169" s="14" t="str">
        <f t="shared" si="5"/>
        <v>001</v>
      </c>
      <c r="Y169" s="3" t="str">
        <f>IFERROR(VLOOKUP(F169,Func!$A$4:$G$1500,2,FALSE),"none")</f>
        <v>none</v>
      </c>
      <c r="Z169" s="3" t="e">
        <f>VLOOKUP(I169,Resources!$A$2:$AA$1503,18,FALSE)</f>
        <v>#N/A</v>
      </c>
      <c r="AA169" s="3" t="str">
        <f>IFERROR(VLOOKUP(B169,Orgs!$A$4:$G$1500,2,FALSE),"none")</f>
        <v>none</v>
      </c>
      <c r="AB169" s="3" t="str">
        <f>IFERROR(VLOOKUP(C169,UnitsDepts!$A$4:$G$1500,2,FALSE),"none")</f>
        <v>none</v>
      </c>
      <c r="AC169" s="3" t="str">
        <f>IFERROR(VLOOKUP(D169,ProjAppSvc!$A$4:$G$1500,2,FALSE),"none")</f>
        <v>none</v>
      </c>
    </row>
    <row r="170" spans="1:29" x14ac:dyDescent="0.45">
      <c r="A170" s="14" t="s">
        <v>23</v>
      </c>
      <c r="B170" s="14"/>
      <c r="C170" s="14"/>
      <c r="D170" s="14"/>
      <c r="H170" s="8"/>
      <c r="I170" s="3"/>
      <c r="J170" s="3" t="str">
        <f t="shared" si="6"/>
        <v/>
      </c>
      <c r="K170" s="3" t="str">
        <f>IF(ISNUMBER(SEARCH("-",V170)),IFERROR(IF($H$2="Lower", LOWER(ComputeResourceName(Z170,#REF!,#REF!,G170,N170,O170,P170,Q170,S170,T170,V170,A170)), UPPER(ComputeResourceName(Z170,#REF!,#REF!,G170,N170,O170,P170,Q170,S170,T170,V170,A170))),""),SUBSTITUTE(IFERROR(IF($H$2="Lower", LOWER(ComputeResourceName(#REF!,#REF!,#REF!,G170,N170,O170,P170,Q170,S170,T170,V170,A170)), UPPER(ComputeResourceName(#REF!,#REF!,#REF!,G170,N170,O170,P170,Q170,S170,T170,V170,A170))),""), "-",""))</f>
        <v/>
      </c>
      <c r="L170" s="3" t="str">
        <f xml:space="preserve"> IF(K170="","",  IFERROR(VLOOKUP(I170,Resources!$B$1:$H$1503,5,FALSE)-LEN(K170),0))</f>
        <v/>
      </c>
      <c r="M170" s="3" t="str">
        <f>IF(K170="","",IFERROR(matches(K170,VLOOKUP(I170,Resources!$A$2:$AA$1503,16,FALSE)),FALSE))</f>
        <v/>
      </c>
      <c r="N170" s="3" t="e">
        <f>VLOOKUP(E170,Enviroments!$A$3:$D$59,1,FALSE)</f>
        <v>#N/A</v>
      </c>
      <c r="O170" s="3" t="e">
        <f>VLOOKUP(E170,Enviroments!$A$3:$D$59,2,FALSE)</f>
        <v>#N/A</v>
      </c>
      <c r="P170" s="3" t="e">
        <f>VLOOKUP(E170,Enviroments!$A$3:$D$59,3,FALSE)</f>
        <v>#N/A</v>
      </c>
      <c r="Q170" s="3" t="e">
        <f>VLOOKUP(E170,Enviroments!$A$3:$D$59,4,FALSE)</f>
        <v>#N/A</v>
      </c>
      <c r="R170" s="3" t="e">
        <f>VLOOKUP(H170,AzureRegions!$A$4:$B$1493,1,FALSE)</f>
        <v>#N/A</v>
      </c>
      <c r="S170" s="3" t="e">
        <f>VLOOKUP(H170,AzureRegions!$A$4:$B$1493,2,FALSE)</f>
        <v>#N/A</v>
      </c>
      <c r="T170" s="3" t="e">
        <f>VLOOKUP(H170,AzureRegions!$A$4:$C$1493,3,FALSE)</f>
        <v>#N/A</v>
      </c>
      <c r="U170" s="3" t="e">
        <f>VLOOKUP(I170,Resources!$A$2:$AA$1503,2,FALSE)</f>
        <v>#N/A</v>
      </c>
      <c r="V170" s="3" t="e">
        <f>VLOOKUP(I170,Resources!$A$2:$H$1503,6,FALSE)</f>
        <v>#N/A</v>
      </c>
      <c r="W170" s="3" t="str">
        <f>VLOOKUP($H$2,Casing!$A$4:$A$60,1,FALSE)</f>
        <v>Lower</v>
      </c>
      <c r="X170" s="14" t="str">
        <f t="shared" si="5"/>
        <v>001</v>
      </c>
      <c r="Y170" s="3" t="str">
        <f>IFERROR(VLOOKUP(F170,Func!$A$4:$G$1500,2,FALSE),"none")</f>
        <v>none</v>
      </c>
      <c r="Z170" s="3" t="e">
        <f>VLOOKUP(I170,Resources!$A$2:$AA$1503,18,FALSE)</f>
        <v>#N/A</v>
      </c>
      <c r="AA170" s="3" t="str">
        <f>IFERROR(VLOOKUP(B170,Orgs!$A$4:$G$1500,2,FALSE),"none")</f>
        <v>none</v>
      </c>
      <c r="AB170" s="3" t="str">
        <f>IFERROR(VLOOKUP(C170,UnitsDepts!$A$4:$G$1500,2,FALSE),"none")</f>
        <v>none</v>
      </c>
      <c r="AC170" s="3" t="str">
        <f>IFERROR(VLOOKUP(D170,ProjAppSvc!$A$4:$G$1500,2,FALSE),"none")</f>
        <v>none</v>
      </c>
    </row>
    <row r="171" spans="1:29" x14ac:dyDescent="0.45">
      <c r="A171" s="14" t="s">
        <v>23</v>
      </c>
      <c r="B171" s="14"/>
      <c r="C171" s="14"/>
      <c r="D171" s="14"/>
      <c r="H171" s="8"/>
      <c r="I171" s="3"/>
      <c r="J171" s="3" t="str">
        <f t="shared" si="6"/>
        <v/>
      </c>
      <c r="K171" s="3" t="str">
        <f>IF(ISNUMBER(SEARCH("-",V171)),IFERROR(IF($H$2="Lower", LOWER(ComputeResourceName(Z171,#REF!,#REF!,G171,N171,O171,P171,Q171,S171,T171,V171,A171)), UPPER(ComputeResourceName(Z171,#REF!,#REF!,G171,N171,O171,P171,Q171,S171,T171,V171,A171))),""),SUBSTITUTE(IFERROR(IF($H$2="Lower", LOWER(ComputeResourceName(#REF!,#REF!,#REF!,G171,N171,O171,P171,Q171,S171,T171,V171,A171)), UPPER(ComputeResourceName(#REF!,#REF!,#REF!,G171,N171,O171,P171,Q171,S171,T171,V171,A171))),""), "-",""))</f>
        <v/>
      </c>
      <c r="L171" s="3" t="str">
        <f xml:space="preserve"> IF(K171="","",  IFERROR(VLOOKUP(I171,Resources!$B$1:$H$1503,5,FALSE)-LEN(K171),0))</f>
        <v/>
      </c>
      <c r="M171" s="3" t="str">
        <f>IF(K171="","",IFERROR(matches(K171,VLOOKUP(I171,Resources!$A$2:$AA$1503,16,FALSE)),FALSE))</f>
        <v/>
      </c>
      <c r="N171" s="3" t="e">
        <f>VLOOKUP(E171,Enviroments!$A$3:$D$59,1,FALSE)</f>
        <v>#N/A</v>
      </c>
      <c r="O171" s="3" t="e">
        <f>VLOOKUP(E171,Enviroments!$A$3:$D$59,2,FALSE)</f>
        <v>#N/A</v>
      </c>
      <c r="P171" s="3" t="e">
        <f>VLOOKUP(E171,Enviroments!$A$3:$D$59,3,FALSE)</f>
        <v>#N/A</v>
      </c>
      <c r="Q171" s="3" t="e">
        <f>VLOOKUP(E171,Enviroments!$A$3:$D$59,4,FALSE)</f>
        <v>#N/A</v>
      </c>
      <c r="R171" s="3" t="e">
        <f>VLOOKUP(H171,AzureRegions!$A$4:$B$1493,1,FALSE)</f>
        <v>#N/A</v>
      </c>
      <c r="S171" s="3" t="e">
        <f>VLOOKUP(H171,AzureRegions!$A$4:$B$1493,2,FALSE)</f>
        <v>#N/A</v>
      </c>
      <c r="T171" s="3" t="e">
        <f>VLOOKUP(H171,AzureRegions!$A$4:$C$1493,3,FALSE)</f>
        <v>#N/A</v>
      </c>
      <c r="U171" s="3" t="e">
        <f>VLOOKUP(I171,Resources!$A$2:$AA$1503,2,FALSE)</f>
        <v>#N/A</v>
      </c>
      <c r="V171" s="3" t="e">
        <f>VLOOKUP(I171,Resources!$A$2:$H$1503,6,FALSE)</f>
        <v>#N/A</v>
      </c>
      <c r="W171" s="3" t="str">
        <f>VLOOKUP($H$2,Casing!$A$4:$A$60,1,FALSE)</f>
        <v>Lower</v>
      </c>
      <c r="X171" s="14" t="str">
        <f t="shared" si="5"/>
        <v>001</v>
      </c>
      <c r="Y171" s="3" t="str">
        <f>IFERROR(VLOOKUP(F171,Func!$A$4:$G$1500,2,FALSE),"none")</f>
        <v>none</v>
      </c>
      <c r="Z171" s="3" t="e">
        <f>VLOOKUP(I171,Resources!$A$2:$AA$1503,18,FALSE)</f>
        <v>#N/A</v>
      </c>
      <c r="AA171" s="3" t="str">
        <f>IFERROR(VLOOKUP(B171,Orgs!$A$4:$G$1500,2,FALSE),"none")</f>
        <v>none</v>
      </c>
      <c r="AB171" s="3" t="str">
        <f>IFERROR(VLOOKUP(C171,UnitsDepts!$A$4:$G$1500,2,FALSE),"none")</f>
        <v>none</v>
      </c>
      <c r="AC171" s="3" t="str">
        <f>IFERROR(VLOOKUP(D171,ProjAppSvc!$A$4:$G$1500,2,FALSE),"none")</f>
        <v>none</v>
      </c>
    </row>
    <row r="172" spans="1:29" x14ac:dyDescent="0.45">
      <c r="A172" s="14" t="s">
        <v>23</v>
      </c>
      <c r="B172" s="14"/>
      <c r="C172" s="14"/>
      <c r="D172" s="14"/>
      <c r="H172" s="8"/>
      <c r="I172" s="3"/>
      <c r="J172" s="3" t="str">
        <f t="shared" si="6"/>
        <v/>
      </c>
      <c r="K172" s="3" t="str">
        <f>IF(ISNUMBER(SEARCH("-",V172)),IFERROR(IF($H$2="Lower", LOWER(ComputeResourceName(Z172,#REF!,#REF!,G172,N172,O172,P172,Q172,S172,T172,V172,A172)), UPPER(ComputeResourceName(Z172,#REF!,#REF!,G172,N172,O172,P172,Q172,S172,T172,V172,A172))),""),SUBSTITUTE(IFERROR(IF($H$2="Lower", LOWER(ComputeResourceName(#REF!,#REF!,#REF!,G172,N172,O172,P172,Q172,S172,T172,V172,A172)), UPPER(ComputeResourceName(#REF!,#REF!,#REF!,G172,N172,O172,P172,Q172,S172,T172,V172,A172))),""), "-",""))</f>
        <v/>
      </c>
      <c r="L172" s="3" t="str">
        <f xml:space="preserve"> IF(K172="","",  IFERROR(VLOOKUP(I172,Resources!$B$1:$H$1503,5,FALSE)-LEN(K172),0))</f>
        <v/>
      </c>
      <c r="M172" s="3" t="str">
        <f>IF(K172="","",IFERROR(matches(K172,VLOOKUP(I172,Resources!$A$2:$AA$1503,16,FALSE)),FALSE))</f>
        <v/>
      </c>
      <c r="N172" s="3" t="e">
        <f>VLOOKUP(E172,Enviroments!$A$3:$D$59,1,FALSE)</f>
        <v>#N/A</v>
      </c>
      <c r="O172" s="3" t="e">
        <f>VLOOKUP(E172,Enviroments!$A$3:$D$59,2,FALSE)</f>
        <v>#N/A</v>
      </c>
      <c r="P172" s="3" t="e">
        <f>VLOOKUP(E172,Enviroments!$A$3:$D$59,3,FALSE)</f>
        <v>#N/A</v>
      </c>
      <c r="Q172" s="3" t="e">
        <f>VLOOKUP(E172,Enviroments!$A$3:$D$59,4,FALSE)</f>
        <v>#N/A</v>
      </c>
      <c r="R172" s="3" t="e">
        <f>VLOOKUP(H172,AzureRegions!$A$4:$B$1493,1,FALSE)</f>
        <v>#N/A</v>
      </c>
      <c r="S172" s="3" t="e">
        <f>VLOOKUP(H172,AzureRegions!$A$4:$B$1493,2,FALSE)</f>
        <v>#N/A</v>
      </c>
      <c r="T172" s="3" t="e">
        <f>VLOOKUP(H172,AzureRegions!$A$4:$C$1493,3,FALSE)</f>
        <v>#N/A</v>
      </c>
      <c r="U172" s="3" t="e">
        <f>VLOOKUP(I172,Resources!$A$2:$AA$1503,2,FALSE)</f>
        <v>#N/A</v>
      </c>
      <c r="V172" s="3" t="e">
        <f>VLOOKUP(I172,Resources!$A$2:$H$1503,6,FALSE)</f>
        <v>#N/A</v>
      </c>
      <c r="W172" s="3" t="str">
        <f>VLOOKUP($H$2,Casing!$A$4:$A$60,1,FALSE)</f>
        <v>Lower</v>
      </c>
      <c r="X172" s="14" t="str">
        <f t="shared" si="5"/>
        <v>001</v>
      </c>
      <c r="Y172" s="3" t="str">
        <f>IFERROR(VLOOKUP(F172,Func!$A$4:$G$1500,2,FALSE),"none")</f>
        <v>none</v>
      </c>
      <c r="Z172" s="3" t="e">
        <f>VLOOKUP(I172,Resources!$A$2:$AA$1503,18,FALSE)</f>
        <v>#N/A</v>
      </c>
      <c r="AA172" s="3" t="str">
        <f>IFERROR(VLOOKUP(B172,Orgs!$A$4:$G$1500,2,FALSE),"none")</f>
        <v>none</v>
      </c>
      <c r="AB172" s="3" t="str">
        <f>IFERROR(VLOOKUP(C172,UnitsDepts!$A$4:$G$1500,2,FALSE),"none")</f>
        <v>none</v>
      </c>
      <c r="AC172" s="3" t="str">
        <f>IFERROR(VLOOKUP(D172,ProjAppSvc!$A$4:$G$1500,2,FALSE),"none")</f>
        <v>none</v>
      </c>
    </row>
    <row r="173" spans="1:29" x14ac:dyDescent="0.45">
      <c r="A173" s="14" t="s">
        <v>23</v>
      </c>
      <c r="B173" s="14"/>
      <c r="C173" s="14"/>
      <c r="D173" s="14"/>
      <c r="H173" s="8"/>
      <c r="I173" s="3"/>
      <c r="J173" s="3" t="str">
        <f t="shared" ref="J173:J189" si="7">IFERROR(Z173, "")</f>
        <v/>
      </c>
      <c r="K173" s="3" t="str">
        <f>IF(ISNUMBER(SEARCH("-",V173)),IFERROR(IF($H$2="Lower", LOWER(ComputeResourceName(Z173,#REF!,#REF!,G173,N173,O173,P173,Q173,S173,T173,V173,A173)), UPPER(ComputeResourceName(Z173,#REF!,#REF!,G173,N173,O173,P173,Q173,S173,T173,V173,A173))),""),SUBSTITUTE(IFERROR(IF($H$2="Lower", LOWER(ComputeResourceName(#REF!,#REF!,#REF!,G173,N173,O173,P173,Q173,S173,T173,V173,A173)), UPPER(ComputeResourceName(#REF!,#REF!,#REF!,G173,N173,O173,P173,Q173,S173,T173,V173,A173))),""), "-",""))</f>
        <v/>
      </c>
      <c r="L173" s="3" t="str">
        <f xml:space="preserve"> IF(K173="","",  IFERROR(VLOOKUP(I173,Resources!$B$1:$H$1503,5,FALSE)-LEN(K173),0))</f>
        <v/>
      </c>
      <c r="M173" s="3" t="str">
        <f>IF(K173="","",IFERROR(matches(K173,VLOOKUP(I173,Resources!$A$2:$AA$1503,16,FALSE)),FALSE))</f>
        <v/>
      </c>
      <c r="N173" s="3" t="e">
        <f>VLOOKUP(E173,Enviroments!$A$3:$D$59,1,FALSE)</f>
        <v>#N/A</v>
      </c>
      <c r="O173" s="3" t="e">
        <f>VLOOKUP(E173,Enviroments!$A$3:$D$59,2,FALSE)</f>
        <v>#N/A</v>
      </c>
      <c r="P173" s="3" t="e">
        <f>VLOOKUP(E173,Enviroments!$A$3:$D$59,3,FALSE)</f>
        <v>#N/A</v>
      </c>
      <c r="Q173" s="3" t="e">
        <f>VLOOKUP(E173,Enviroments!$A$3:$D$59,4,FALSE)</f>
        <v>#N/A</v>
      </c>
      <c r="R173" s="3" t="e">
        <f>VLOOKUP(H173,AzureRegions!$A$4:$B$1493,1,FALSE)</f>
        <v>#N/A</v>
      </c>
      <c r="S173" s="3" t="e">
        <f>VLOOKUP(H173,AzureRegions!$A$4:$B$1493,2,FALSE)</f>
        <v>#N/A</v>
      </c>
      <c r="T173" s="3" t="e">
        <f>VLOOKUP(H173,AzureRegions!$A$4:$C$1493,3,FALSE)</f>
        <v>#N/A</v>
      </c>
      <c r="U173" s="3" t="e">
        <f>VLOOKUP(I173,Resources!$A$2:$AA$1503,2,FALSE)</f>
        <v>#N/A</v>
      </c>
      <c r="V173" s="3" t="e">
        <f>VLOOKUP(I173,Resources!$A$2:$H$1503,6,FALSE)</f>
        <v>#N/A</v>
      </c>
      <c r="W173" s="3" t="str">
        <f>VLOOKUP($H$2,Casing!$A$4:$A$60,1,FALSE)</f>
        <v>Lower</v>
      </c>
      <c r="X173" s="14" t="str">
        <f t="shared" si="5"/>
        <v>001</v>
      </c>
      <c r="Y173" s="3" t="str">
        <f>IFERROR(VLOOKUP(F173,Func!$A$4:$G$1500,2,FALSE),"none")</f>
        <v>none</v>
      </c>
      <c r="Z173" s="3" t="e">
        <f>VLOOKUP(I173,Resources!$A$2:$AA$1503,18,FALSE)</f>
        <v>#N/A</v>
      </c>
      <c r="AA173" s="3" t="str">
        <f>IFERROR(VLOOKUP(B173,Orgs!$A$4:$G$1500,2,FALSE),"none")</f>
        <v>none</v>
      </c>
      <c r="AB173" s="3" t="str">
        <f>IFERROR(VLOOKUP(C173,UnitsDepts!$A$4:$G$1500,2,FALSE),"none")</f>
        <v>none</v>
      </c>
      <c r="AC173" s="3" t="str">
        <f>IFERROR(VLOOKUP(D173,ProjAppSvc!$A$4:$G$1500,2,FALSE),"none")</f>
        <v>none</v>
      </c>
    </row>
    <row r="174" spans="1:29" x14ac:dyDescent="0.45">
      <c r="A174" s="14" t="s">
        <v>23</v>
      </c>
      <c r="B174" s="14"/>
      <c r="C174" s="14"/>
      <c r="D174" s="14"/>
      <c r="H174" s="8"/>
      <c r="I174" s="3"/>
      <c r="J174" s="3" t="str">
        <f t="shared" si="7"/>
        <v/>
      </c>
      <c r="K174" s="3" t="str">
        <f>IF(ISNUMBER(SEARCH("-",V174)),IFERROR(IF($H$2="Lower", LOWER(ComputeResourceName(Z174,#REF!,#REF!,G174,N174,O174,P174,Q174,S174,T174,V174,A174)), UPPER(ComputeResourceName(Z174,#REF!,#REF!,G174,N174,O174,P174,Q174,S174,T174,V174,A174))),""),SUBSTITUTE(IFERROR(IF($H$2="Lower", LOWER(ComputeResourceName(#REF!,#REF!,#REF!,G174,N174,O174,P174,Q174,S174,T174,V174,A174)), UPPER(ComputeResourceName(#REF!,#REF!,#REF!,G174,N174,O174,P174,Q174,S174,T174,V174,A174))),""), "-",""))</f>
        <v/>
      </c>
      <c r="L174" s="3" t="str">
        <f xml:space="preserve"> IF(K174="","",  IFERROR(VLOOKUP(I174,Resources!$B$1:$H$1503,5,FALSE)-LEN(K174),0))</f>
        <v/>
      </c>
      <c r="M174" s="3" t="str">
        <f>IF(K174="","",IFERROR(matches(K174,VLOOKUP(I174,Resources!$A$2:$AA$1503,16,FALSE)),FALSE))</f>
        <v/>
      </c>
      <c r="N174" s="3" t="e">
        <f>VLOOKUP(E174,Enviroments!$A$3:$D$59,1,FALSE)</f>
        <v>#N/A</v>
      </c>
      <c r="O174" s="3" t="e">
        <f>VLOOKUP(E174,Enviroments!$A$3:$D$59,2,FALSE)</f>
        <v>#N/A</v>
      </c>
      <c r="P174" s="3" t="e">
        <f>VLOOKUP(E174,Enviroments!$A$3:$D$59,3,FALSE)</f>
        <v>#N/A</v>
      </c>
      <c r="Q174" s="3" t="e">
        <f>VLOOKUP(E174,Enviroments!$A$3:$D$59,4,FALSE)</f>
        <v>#N/A</v>
      </c>
      <c r="R174" s="3" t="e">
        <f>VLOOKUP(H174,AzureRegions!$A$4:$B$1493,1,FALSE)</f>
        <v>#N/A</v>
      </c>
      <c r="S174" s="3" t="e">
        <f>VLOOKUP(H174,AzureRegions!$A$4:$B$1493,2,FALSE)</f>
        <v>#N/A</v>
      </c>
      <c r="T174" s="3" t="e">
        <f>VLOOKUP(H174,AzureRegions!$A$4:$C$1493,3,FALSE)</f>
        <v>#N/A</v>
      </c>
      <c r="U174" s="3" t="e">
        <f>VLOOKUP(I174,Resources!$A$2:$AA$1503,2,FALSE)</f>
        <v>#N/A</v>
      </c>
      <c r="V174" s="3" t="e">
        <f>VLOOKUP(I174,Resources!$A$2:$H$1503,6,FALSE)</f>
        <v>#N/A</v>
      </c>
      <c r="W174" s="3" t="str">
        <f>VLOOKUP($H$2,Casing!$A$4:$A$60,1,FALSE)</f>
        <v>Lower</v>
      </c>
      <c r="X174" s="14" t="str">
        <f t="shared" si="5"/>
        <v>001</v>
      </c>
      <c r="Y174" s="3" t="str">
        <f>IFERROR(VLOOKUP(F174,Func!$A$4:$G$1500,2,FALSE),"none")</f>
        <v>none</v>
      </c>
      <c r="Z174" s="3" t="e">
        <f>VLOOKUP(I174,Resources!$A$2:$AA$1503,18,FALSE)</f>
        <v>#N/A</v>
      </c>
      <c r="AA174" s="3" t="str">
        <f>IFERROR(VLOOKUP(B174,Orgs!$A$4:$G$1500,2,FALSE),"none")</f>
        <v>none</v>
      </c>
      <c r="AB174" s="3" t="str">
        <f>IFERROR(VLOOKUP(C174,UnitsDepts!$A$4:$G$1500,2,FALSE),"none")</f>
        <v>none</v>
      </c>
      <c r="AC174" s="3" t="str">
        <f>IFERROR(VLOOKUP(D174,ProjAppSvc!$A$4:$G$1500,2,FALSE),"none")</f>
        <v>none</v>
      </c>
    </row>
    <row r="175" spans="1:29" x14ac:dyDescent="0.45">
      <c r="A175" s="14" t="s">
        <v>23</v>
      </c>
      <c r="B175" s="14"/>
      <c r="C175" s="14"/>
      <c r="D175" s="14"/>
      <c r="H175" s="8"/>
      <c r="I175" s="3"/>
      <c r="J175" s="3" t="str">
        <f t="shared" si="7"/>
        <v/>
      </c>
      <c r="K175" s="3" t="str">
        <f>IF(ISNUMBER(SEARCH("-",V175)),IFERROR(IF($H$2="Lower", LOWER(ComputeResourceName(Z175,#REF!,#REF!,G175,N175,O175,P175,Q175,S175,T175,V175,A175)), UPPER(ComputeResourceName(Z175,#REF!,#REF!,G175,N175,O175,P175,Q175,S175,T175,V175,A175))),""),SUBSTITUTE(IFERROR(IF($H$2="Lower", LOWER(ComputeResourceName(#REF!,#REF!,#REF!,G175,N175,O175,P175,Q175,S175,T175,V175,A175)), UPPER(ComputeResourceName(#REF!,#REF!,#REF!,G175,N175,O175,P175,Q175,S175,T175,V175,A175))),""), "-",""))</f>
        <v/>
      </c>
      <c r="L175" s="3" t="str">
        <f xml:space="preserve"> IF(K175="","",  IFERROR(VLOOKUP(I175,Resources!$B$1:$H$1503,5,FALSE)-LEN(K175),0))</f>
        <v/>
      </c>
      <c r="M175" s="3" t="str">
        <f>IF(K175="","",IFERROR(matches(K175,VLOOKUP(I175,Resources!$A$2:$AA$1503,16,FALSE)),FALSE))</f>
        <v/>
      </c>
      <c r="N175" s="3" t="e">
        <f>VLOOKUP(E175,Enviroments!$A$3:$D$59,1,FALSE)</f>
        <v>#N/A</v>
      </c>
      <c r="O175" s="3" t="e">
        <f>VLOOKUP(E175,Enviroments!$A$3:$D$59,2,FALSE)</f>
        <v>#N/A</v>
      </c>
      <c r="P175" s="3" t="e">
        <f>VLOOKUP(E175,Enviroments!$A$3:$D$59,3,FALSE)</f>
        <v>#N/A</v>
      </c>
      <c r="Q175" s="3" t="e">
        <f>VLOOKUP(E175,Enviroments!$A$3:$D$59,4,FALSE)</f>
        <v>#N/A</v>
      </c>
      <c r="R175" s="3" t="e">
        <f>VLOOKUP(H175,AzureRegions!$A$4:$B$1493,1,FALSE)</f>
        <v>#N/A</v>
      </c>
      <c r="S175" s="3" t="e">
        <f>VLOOKUP(H175,AzureRegions!$A$4:$B$1493,2,FALSE)</f>
        <v>#N/A</v>
      </c>
      <c r="T175" s="3" t="e">
        <f>VLOOKUP(H175,AzureRegions!$A$4:$C$1493,3,FALSE)</f>
        <v>#N/A</v>
      </c>
      <c r="U175" s="3" t="e">
        <f>VLOOKUP(I175,Resources!$A$2:$AA$1503,2,FALSE)</f>
        <v>#N/A</v>
      </c>
      <c r="V175" s="3" t="e">
        <f>VLOOKUP(I175,Resources!$A$2:$H$1503,6,FALSE)</f>
        <v>#N/A</v>
      </c>
      <c r="W175" s="3" t="str">
        <f>VLOOKUP($H$2,Casing!$A$4:$A$60,1,FALSE)</f>
        <v>Lower</v>
      </c>
      <c r="X175" s="14" t="str">
        <f t="shared" si="5"/>
        <v>001</v>
      </c>
      <c r="Y175" s="3" t="str">
        <f>IFERROR(VLOOKUP(F175,Func!$A$4:$G$1500,2,FALSE),"none")</f>
        <v>none</v>
      </c>
      <c r="Z175" s="3" t="e">
        <f>VLOOKUP(I175,Resources!$A$2:$AA$1503,18,FALSE)</f>
        <v>#N/A</v>
      </c>
      <c r="AA175" s="3" t="str">
        <f>IFERROR(VLOOKUP(B175,Orgs!$A$4:$G$1500,2,FALSE),"none")</f>
        <v>none</v>
      </c>
      <c r="AB175" s="3" t="str">
        <f>IFERROR(VLOOKUP(C175,UnitsDepts!$A$4:$G$1500,2,FALSE),"none")</f>
        <v>none</v>
      </c>
      <c r="AC175" s="3" t="str">
        <f>IFERROR(VLOOKUP(D175,ProjAppSvc!$A$4:$G$1500,2,FALSE),"none")</f>
        <v>none</v>
      </c>
    </row>
    <row r="176" spans="1:29" x14ac:dyDescent="0.45">
      <c r="A176" s="14" t="s">
        <v>23</v>
      </c>
      <c r="B176" s="14"/>
      <c r="C176" s="14"/>
      <c r="D176" s="14"/>
      <c r="H176" s="8"/>
      <c r="I176" s="3"/>
      <c r="J176" s="3" t="str">
        <f t="shared" si="7"/>
        <v/>
      </c>
      <c r="K176" s="3" t="str">
        <f>IF(ISNUMBER(SEARCH("-",V176)),IFERROR(IF($H$2="Lower", LOWER(ComputeResourceName(Z176,#REF!,#REF!,G176,N176,O176,P176,Q176,S176,T176,V176,A176)), UPPER(ComputeResourceName(Z176,#REF!,#REF!,G176,N176,O176,P176,Q176,S176,T176,V176,A176))),""),SUBSTITUTE(IFERROR(IF($H$2="Lower", LOWER(ComputeResourceName(#REF!,#REF!,#REF!,G176,N176,O176,P176,Q176,S176,T176,V176,A176)), UPPER(ComputeResourceName(#REF!,#REF!,#REF!,G176,N176,O176,P176,Q176,S176,T176,V176,A176))),""), "-",""))</f>
        <v/>
      </c>
      <c r="L176" s="3" t="str">
        <f xml:space="preserve"> IF(K176="","",  IFERROR(VLOOKUP(I176,Resources!$B$1:$H$1503,5,FALSE)-LEN(K176),0))</f>
        <v/>
      </c>
      <c r="M176" s="3" t="str">
        <f>IF(K176="","",IFERROR(matches(K176,VLOOKUP(I176,Resources!$A$2:$AA$1503,16,FALSE)),FALSE))</f>
        <v/>
      </c>
      <c r="N176" s="3" t="e">
        <f>VLOOKUP(E176,Enviroments!$A$3:$D$59,1,FALSE)</f>
        <v>#N/A</v>
      </c>
      <c r="O176" s="3" t="e">
        <f>VLOOKUP(E176,Enviroments!$A$3:$D$59,2,FALSE)</f>
        <v>#N/A</v>
      </c>
      <c r="P176" s="3" t="e">
        <f>VLOOKUP(E176,Enviroments!$A$3:$D$59,3,FALSE)</f>
        <v>#N/A</v>
      </c>
      <c r="Q176" s="3" t="e">
        <f>VLOOKUP(E176,Enviroments!$A$3:$D$59,4,FALSE)</f>
        <v>#N/A</v>
      </c>
      <c r="R176" s="3" t="e">
        <f>VLOOKUP(H176,AzureRegions!$A$4:$B$1493,1,FALSE)</f>
        <v>#N/A</v>
      </c>
      <c r="S176" s="3" t="e">
        <f>VLOOKUP(H176,AzureRegions!$A$4:$B$1493,2,FALSE)</f>
        <v>#N/A</v>
      </c>
      <c r="T176" s="3" t="e">
        <f>VLOOKUP(H176,AzureRegions!$A$4:$C$1493,3,FALSE)</f>
        <v>#N/A</v>
      </c>
      <c r="U176" s="3" t="e">
        <f>VLOOKUP(I176,Resources!$A$2:$AA$1503,2,FALSE)</f>
        <v>#N/A</v>
      </c>
      <c r="V176" s="3" t="e">
        <f>VLOOKUP(I176,Resources!$A$2:$H$1503,6,FALSE)</f>
        <v>#N/A</v>
      </c>
      <c r="W176" s="3" t="str">
        <f>VLOOKUP($H$2,Casing!$A$4:$A$60,1,FALSE)</f>
        <v>Lower</v>
      </c>
      <c r="X176" s="14" t="str">
        <f t="shared" si="5"/>
        <v>001</v>
      </c>
      <c r="Y176" s="3" t="str">
        <f>IFERROR(VLOOKUP(F176,Func!$A$4:$G$1500,2,FALSE),"none")</f>
        <v>none</v>
      </c>
      <c r="Z176" s="3" t="e">
        <f>VLOOKUP(I176,Resources!$A$2:$AA$1503,18,FALSE)</f>
        <v>#N/A</v>
      </c>
      <c r="AA176" s="3" t="str">
        <f>IFERROR(VLOOKUP(B176,Orgs!$A$4:$G$1500,2,FALSE),"none")</f>
        <v>none</v>
      </c>
      <c r="AB176" s="3" t="str">
        <f>IFERROR(VLOOKUP(C176,UnitsDepts!$A$4:$G$1500,2,FALSE),"none")</f>
        <v>none</v>
      </c>
      <c r="AC176" s="3" t="str">
        <f>IFERROR(VLOOKUP(D176,ProjAppSvc!$A$4:$G$1500,2,FALSE),"none")</f>
        <v>none</v>
      </c>
    </row>
    <row r="177" spans="1:29" x14ac:dyDescent="0.45">
      <c r="A177" s="14" t="s">
        <v>23</v>
      </c>
      <c r="B177" s="14"/>
      <c r="C177" s="14"/>
      <c r="D177" s="14"/>
      <c r="H177" s="8"/>
      <c r="I177" s="3"/>
      <c r="J177" s="3" t="str">
        <f t="shared" si="7"/>
        <v/>
      </c>
      <c r="K177" s="3" t="str">
        <f>IF(ISNUMBER(SEARCH("-",V177)),IFERROR(IF($H$2="Lower", LOWER(ComputeResourceName(Z177,#REF!,#REF!,G177,N177,O177,P177,Q177,S177,T177,V177,A177)), UPPER(ComputeResourceName(Z177,#REF!,#REF!,G177,N177,O177,P177,Q177,S177,T177,V177,A177))),""),SUBSTITUTE(IFERROR(IF($H$2="Lower", LOWER(ComputeResourceName(#REF!,#REF!,#REF!,G177,N177,O177,P177,Q177,S177,T177,V177,A177)), UPPER(ComputeResourceName(#REF!,#REF!,#REF!,G177,N177,O177,P177,Q177,S177,T177,V177,A177))),""), "-",""))</f>
        <v/>
      </c>
      <c r="L177" s="3" t="str">
        <f xml:space="preserve"> IF(K177="","",  IFERROR(VLOOKUP(I177,Resources!$B$1:$H$1503,5,FALSE)-LEN(K177),0))</f>
        <v/>
      </c>
      <c r="M177" s="3" t="str">
        <f>IF(K177="","",IFERROR(matches(K177,VLOOKUP(I177,Resources!$A$2:$AA$1503,16,FALSE)),FALSE))</f>
        <v/>
      </c>
      <c r="N177" s="3" t="e">
        <f>VLOOKUP(E177,Enviroments!$A$3:$D$59,1,FALSE)</f>
        <v>#N/A</v>
      </c>
      <c r="O177" s="3" t="e">
        <f>VLOOKUP(E177,Enviroments!$A$3:$D$59,2,FALSE)</f>
        <v>#N/A</v>
      </c>
      <c r="P177" s="3" t="e">
        <f>VLOOKUP(E177,Enviroments!$A$3:$D$59,3,FALSE)</f>
        <v>#N/A</v>
      </c>
      <c r="Q177" s="3" t="e">
        <f>VLOOKUP(E177,Enviroments!$A$3:$D$59,4,FALSE)</f>
        <v>#N/A</v>
      </c>
      <c r="R177" s="3" t="e">
        <f>VLOOKUP(H177,AzureRegions!$A$4:$B$1493,1,FALSE)</f>
        <v>#N/A</v>
      </c>
      <c r="S177" s="3" t="e">
        <f>VLOOKUP(H177,AzureRegions!$A$4:$B$1493,2,FALSE)</f>
        <v>#N/A</v>
      </c>
      <c r="T177" s="3" t="e">
        <f>VLOOKUP(H177,AzureRegions!$A$4:$C$1493,3,FALSE)</f>
        <v>#N/A</v>
      </c>
      <c r="U177" s="3" t="e">
        <f>VLOOKUP(I177,Resources!$A$2:$AA$1503,2,FALSE)</f>
        <v>#N/A</v>
      </c>
      <c r="V177" s="3" t="e">
        <f>VLOOKUP(I177,Resources!$A$2:$H$1503,6,FALSE)</f>
        <v>#N/A</v>
      </c>
      <c r="W177" s="3" t="str">
        <f>VLOOKUP($H$2,Casing!$A$4:$A$60,1,FALSE)</f>
        <v>Lower</v>
      </c>
      <c r="X177" s="14" t="str">
        <f t="shared" si="5"/>
        <v>001</v>
      </c>
      <c r="Y177" s="3" t="str">
        <f>IFERROR(VLOOKUP(F177,Func!$A$4:$G$1500,2,FALSE),"none")</f>
        <v>none</v>
      </c>
      <c r="Z177" s="3" t="e">
        <f>VLOOKUP(I177,Resources!$A$2:$AA$1503,18,FALSE)</f>
        <v>#N/A</v>
      </c>
      <c r="AA177" s="3" t="str">
        <f>IFERROR(VLOOKUP(B177,Orgs!$A$4:$G$1500,2,FALSE),"none")</f>
        <v>none</v>
      </c>
      <c r="AB177" s="3" t="str">
        <f>IFERROR(VLOOKUP(C177,UnitsDepts!$A$4:$G$1500,2,FALSE),"none")</f>
        <v>none</v>
      </c>
      <c r="AC177" s="3" t="str">
        <f>IFERROR(VLOOKUP(D177,ProjAppSvc!$A$4:$G$1500,2,FALSE),"none")</f>
        <v>none</v>
      </c>
    </row>
    <row r="178" spans="1:29" x14ac:dyDescent="0.45">
      <c r="A178" s="14" t="s">
        <v>23</v>
      </c>
      <c r="B178" s="14"/>
      <c r="C178" s="14"/>
      <c r="D178" s="14"/>
      <c r="H178" s="8"/>
      <c r="I178" s="3"/>
      <c r="J178" s="3" t="str">
        <f t="shared" si="7"/>
        <v/>
      </c>
      <c r="K178" s="3" t="str">
        <f>IF(ISNUMBER(SEARCH("-",V178)),IFERROR(IF($H$2="Lower", LOWER(ComputeResourceName(Z178,#REF!,#REF!,G178,N178,O178,P178,Q178,S178,T178,V178,A178)), UPPER(ComputeResourceName(Z178,#REF!,#REF!,G178,N178,O178,P178,Q178,S178,T178,V178,A178))),""),SUBSTITUTE(IFERROR(IF($H$2="Lower", LOWER(ComputeResourceName(#REF!,#REF!,#REF!,G178,N178,O178,P178,Q178,S178,T178,V178,A178)), UPPER(ComputeResourceName(#REF!,#REF!,#REF!,G178,N178,O178,P178,Q178,S178,T178,V178,A178))),""), "-",""))</f>
        <v/>
      </c>
      <c r="L178" s="3" t="str">
        <f xml:space="preserve"> IF(K178="","",  IFERROR(VLOOKUP(I178,Resources!$B$1:$H$1503,5,FALSE)-LEN(K178),0))</f>
        <v/>
      </c>
      <c r="M178" s="3" t="str">
        <f>IF(K178="","",IFERROR(matches(K178,VLOOKUP(I178,Resources!$A$2:$AA$1503,16,FALSE)),FALSE))</f>
        <v/>
      </c>
      <c r="N178" s="3" t="e">
        <f>VLOOKUP(E178,Enviroments!$A$3:$D$59,1,FALSE)</f>
        <v>#N/A</v>
      </c>
      <c r="O178" s="3" t="e">
        <f>VLOOKUP(E178,Enviroments!$A$3:$D$59,2,FALSE)</f>
        <v>#N/A</v>
      </c>
      <c r="P178" s="3" t="e">
        <f>VLOOKUP(E178,Enviroments!$A$3:$D$59,3,FALSE)</f>
        <v>#N/A</v>
      </c>
      <c r="Q178" s="3" t="e">
        <f>VLOOKUP(E178,Enviroments!$A$3:$D$59,4,FALSE)</f>
        <v>#N/A</v>
      </c>
      <c r="R178" s="3" t="e">
        <f>VLOOKUP(H178,AzureRegions!$A$4:$B$1493,1,FALSE)</f>
        <v>#N/A</v>
      </c>
      <c r="S178" s="3" t="e">
        <f>VLOOKUP(H178,AzureRegions!$A$4:$B$1493,2,FALSE)</f>
        <v>#N/A</v>
      </c>
      <c r="T178" s="3" t="e">
        <f>VLOOKUP(H178,AzureRegions!$A$4:$C$1493,3,FALSE)</f>
        <v>#N/A</v>
      </c>
      <c r="U178" s="3" t="e">
        <f>VLOOKUP(I178,Resources!$A$2:$AA$1503,2,FALSE)</f>
        <v>#N/A</v>
      </c>
      <c r="V178" s="3" t="e">
        <f>VLOOKUP(I178,Resources!$A$2:$H$1503,6,FALSE)</f>
        <v>#N/A</v>
      </c>
      <c r="W178" s="3" t="str">
        <f>VLOOKUP($H$2,Casing!$A$4:$A$60,1,FALSE)</f>
        <v>Lower</v>
      </c>
      <c r="X178" s="14" t="str">
        <f t="shared" si="5"/>
        <v>001</v>
      </c>
      <c r="Y178" s="3" t="str">
        <f>IFERROR(VLOOKUP(F178,Func!$A$4:$G$1500,2,FALSE),"none")</f>
        <v>none</v>
      </c>
      <c r="Z178" s="3" t="e">
        <f>VLOOKUP(I178,Resources!$A$2:$AA$1503,18,FALSE)</f>
        <v>#N/A</v>
      </c>
      <c r="AA178" s="3" t="str">
        <f>IFERROR(VLOOKUP(B178,Orgs!$A$4:$G$1500,2,FALSE),"none")</f>
        <v>none</v>
      </c>
      <c r="AB178" s="3" t="str">
        <f>IFERROR(VLOOKUP(C178,UnitsDepts!$A$4:$G$1500,2,FALSE),"none")</f>
        <v>none</v>
      </c>
      <c r="AC178" s="3" t="str">
        <f>IFERROR(VLOOKUP(D178,ProjAppSvc!$A$4:$G$1500,2,FALSE),"none")</f>
        <v>none</v>
      </c>
    </row>
    <row r="179" spans="1:29" x14ac:dyDescent="0.45">
      <c r="A179" s="14" t="s">
        <v>23</v>
      </c>
      <c r="B179" s="14"/>
      <c r="C179" s="14"/>
      <c r="D179" s="14"/>
      <c r="H179" s="8"/>
      <c r="I179" s="3"/>
      <c r="J179" s="3" t="str">
        <f t="shared" si="7"/>
        <v/>
      </c>
      <c r="K179" s="3" t="str">
        <f>IF(ISNUMBER(SEARCH("-",V179)),IFERROR(IF($H$2="Lower", LOWER(ComputeResourceName(Z179,#REF!,#REF!,G179,N179,O179,P179,Q179,S179,T179,V179,A179)), UPPER(ComputeResourceName(Z179,#REF!,#REF!,G179,N179,O179,P179,Q179,S179,T179,V179,A179))),""),SUBSTITUTE(IFERROR(IF($H$2="Lower", LOWER(ComputeResourceName(#REF!,#REF!,#REF!,G179,N179,O179,P179,Q179,S179,T179,V179,A179)), UPPER(ComputeResourceName(#REF!,#REF!,#REF!,G179,N179,O179,P179,Q179,S179,T179,V179,A179))),""), "-",""))</f>
        <v/>
      </c>
      <c r="L179" s="3" t="str">
        <f xml:space="preserve"> IF(K179="","",  IFERROR(VLOOKUP(I179,Resources!$B$1:$H$1503,5,FALSE)-LEN(K179),0))</f>
        <v/>
      </c>
      <c r="M179" s="3" t="str">
        <f>IF(K179="","",IFERROR(matches(K179,VLOOKUP(I179,Resources!$A$2:$AA$1503,16,FALSE)),FALSE))</f>
        <v/>
      </c>
      <c r="N179" s="3" t="e">
        <f>VLOOKUP(E179,Enviroments!$A$3:$D$59,1,FALSE)</f>
        <v>#N/A</v>
      </c>
      <c r="O179" s="3" t="e">
        <f>VLOOKUP(E179,Enviroments!$A$3:$D$59,2,FALSE)</f>
        <v>#N/A</v>
      </c>
      <c r="P179" s="3" t="e">
        <f>VLOOKUP(E179,Enviroments!$A$3:$D$59,3,FALSE)</f>
        <v>#N/A</v>
      </c>
      <c r="Q179" s="3" t="e">
        <f>VLOOKUP(E179,Enviroments!$A$3:$D$59,4,FALSE)</f>
        <v>#N/A</v>
      </c>
      <c r="R179" s="3" t="e">
        <f>VLOOKUP(H179,AzureRegions!$A$4:$B$1493,1,FALSE)</f>
        <v>#N/A</v>
      </c>
      <c r="S179" s="3" t="e">
        <f>VLOOKUP(H179,AzureRegions!$A$4:$B$1493,2,FALSE)</f>
        <v>#N/A</v>
      </c>
      <c r="T179" s="3" t="e">
        <f>VLOOKUP(H179,AzureRegions!$A$4:$C$1493,3,FALSE)</f>
        <v>#N/A</v>
      </c>
      <c r="U179" s="3" t="e">
        <f>VLOOKUP(I179,Resources!$A$2:$AA$1503,2,FALSE)</f>
        <v>#N/A</v>
      </c>
      <c r="V179" s="3" t="e">
        <f>VLOOKUP(I179,Resources!$A$2:$H$1503,6,FALSE)</f>
        <v>#N/A</v>
      </c>
      <c r="W179" s="3" t="str">
        <f>VLOOKUP($H$2,Casing!$A$4:$A$60,1,FALSE)</f>
        <v>Lower</v>
      </c>
      <c r="X179" s="14" t="str">
        <f t="shared" si="5"/>
        <v>001</v>
      </c>
      <c r="Y179" s="3" t="str">
        <f>IFERROR(VLOOKUP(F179,Func!$A$4:$G$1500,2,FALSE),"none")</f>
        <v>none</v>
      </c>
      <c r="Z179" s="3" t="e">
        <f>VLOOKUP(I179,Resources!$A$2:$AA$1503,18,FALSE)</f>
        <v>#N/A</v>
      </c>
      <c r="AA179" s="3" t="str">
        <f>IFERROR(VLOOKUP(B179,Orgs!$A$4:$G$1500,2,FALSE),"none")</f>
        <v>none</v>
      </c>
      <c r="AB179" s="3" t="str">
        <f>IFERROR(VLOOKUP(C179,UnitsDepts!$A$4:$G$1500,2,FALSE),"none")</f>
        <v>none</v>
      </c>
      <c r="AC179" s="3" t="str">
        <f>IFERROR(VLOOKUP(D179,ProjAppSvc!$A$4:$G$1500,2,FALSE),"none")</f>
        <v>none</v>
      </c>
    </row>
    <row r="180" spans="1:29" x14ac:dyDescent="0.45">
      <c r="A180" s="14" t="s">
        <v>23</v>
      </c>
      <c r="B180" s="14"/>
      <c r="C180" s="14"/>
      <c r="D180" s="14"/>
      <c r="H180" s="8"/>
      <c r="I180" s="3"/>
      <c r="J180" s="3" t="str">
        <f t="shared" si="7"/>
        <v/>
      </c>
      <c r="K180" s="3" t="str">
        <f>IF(ISNUMBER(SEARCH("-",V180)),IFERROR(IF($H$2="Lower", LOWER(ComputeResourceName(Z180,#REF!,#REF!,G180,N180,O180,P180,Q180,S180,T180,V180,A180)), UPPER(ComputeResourceName(Z180,#REF!,#REF!,G180,N180,O180,P180,Q180,S180,T180,V180,A180))),""),SUBSTITUTE(IFERROR(IF($H$2="Lower", LOWER(ComputeResourceName(#REF!,#REF!,#REF!,G180,N180,O180,P180,Q180,S180,T180,V180,A180)), UPPER(ComputeResourceName(#REF!,#REF!,#REF!,G180,N180,O180,P180,Q180,S180,T180,V180,A180))),""), "-",""))</f>
        <v/>
      </c>
      <c r="L180" s="3" t="str">
        <f xml:space="preserve"> IF(K180="","",  IFERROR(VLOOKUP(I180,Resources!$B$1:$H$1503,5,FALSE)-LEN(K180),0))</f>
        <v/>
      </c>
      <c r="M180" s="3" t="str">
        <f>IF(K180="","",IFERROR(matches(K180,VLOOKUP(I180,Resources!$A$2:$AA$1503,16,FALSE)),FALSE))</f>
        <v/>
      </c>
      <c r="N180" s="3" t="e">
        <f>VLOOKUP(E180,Enviroments!$A$3:$D$59,1,FALSE)</f>
        <v>#N/A</v>
      </c>
      <c r="O180" s="3" t="e">
        <f>VLOOKUP(E180,Enviroments!$A$3:$D$59,2,FALSE)</f>
        <v>#N/A</v>
      </c>
      <c r="P180" s="3" t="e">
        <f>VLOOKUP(E180,Enviroments!$A$3:$D$59,3,FALSE)</f>
        <v>#N/A</v>
      </c>
      <c r="Q180" s="3" t="e">
        <f>VLOOKUP(E180,Enviroments!$A$3:$D$59,4,FALSE)</f>
        <v>#N/A</v>
      </c>
      <c r="R180" s="3" t="e">
        <f>VLOOKUP(H180,AzureRegions!$A$4:$B$1493,1,FALSE)</f>
        <v>#N/A</v>
      </c>
      <c r="S180" s="3" t="e">
        <f>VLOOKUP(H180,AzureRegions!$A$4:$B$1493,2,FALSE)</f>
        <v>#N/A</v>
      </c>
      <c r="T180" s="3" t="e">
        <f>VLOOKUP(H180,AzureRegions!$A$4:$C$1493,3,FALSE)</f>
        <v>#N/A</v>
      </c>
      <c r="U180" s="3" t="e">
        <f>VLOOKUP(I180,Resources!$A$2:$AA$1503,2,FALSE)</f>
        <v>#N/A</v>
      </c>
      <c r="V180" s="3" t="e">
        <f>VLOOKUP(I180,Resources!$A$2:$H$1503,6,FALSE)</f>
        <v>#N/A</v>
      </c>
      <c r="W180" s="3" t="str">
        <f>VLOOKUP($H$2,Casing!$A$4:$A$60,1,FALSE)</f>
        <v>Lower</v>
      </c>
      <c r="X180" s="14" t="str">
        <f t="shared" si="5"/>
        <v>001</v>
      </c>
      <c r="Y180" s="3" t="str">
        <f>IFERROR(VLOOKUP(F180,Func!$A$4:$G$1500,2,FALSE),"none")</f>
        <v>none</v>
      </c>
      <c r="Z180" s="3" t="e">
        <f>VLOOKUP(I180,Resources!$A$2:$AA$1503,18,FALSE)</f>
        <v>#N/A</v>
      </c>
      <c r="AA180" s="3" t="str">
        <f>IFERROR(VLOOKUP(B180,Orgs!$A$4:$G$1500,2,FALSE),"none")</f>
        <v>none</v>
      </c>
      <c r="AB180" s="3" t="str">
        <f>IFERROR(VLOOKUP(C180,UnitsDepts!$A$4:$G$1500,2,FALSE),"none")</f>
        <v>none</v>
      </c>
      <c r="AC180" s="3" t="str">
        <f>IFERROR(VLOOKUP(D180,ProjAppSvc!$A$4:$G$1500,2,FALSE),"none")</f>
        <v>none</v>
      </c>
    </row>
    <row r="181" spans="1:29" x14ac:dyDescent="0.45">
      <c r="A181" s="14" t="s">
        <v>23</v>
      </c>
      <c r="B181" s="14"/>
      <c r="C181" s="14"/>
      <c r="D181" s="14"/>
      <c r="H181" s="8"/>
      <c r="I181" s="3"/>
      <c r="J181" s="3" t="str">
        <f t="shared" si="7"/>
        <v/>
      </c>
      <c r="K181" s="3" t="str">
        <f>IF(ISNUMBER(SEARCH("-",V181)),IFERROR(IF($H$2="Lower", LOWER(ComputeResourceName(Z181,#REF!,#REF!,G181,N181,O181,P181,Q181,S181,T181,V181,A181)), UPPER(ComputeResourceName(Z181,#REF!,#REF!,G181,N181,O181,P181,Q181,S181,T181,V181,A181))),""),SUBSTITUTE(IFERROR(IF($H$2="Lower", LOWER(ComputeResourceName(#REF!,#REF!,#REF!,G181,N181,O181,P181,Q181,S181,T181,V181,A181)), UPPER(ComputeResourceName(#REF!,#REF!,#REF!,G181,N181,O181,P181,Q181,S181,T181,V181,A181))),""), "-",""))</f>
        <v/>
      </c>
      <c r="L181" s="3" t="str">
        <f xml:space="preserve"> IF(K181="","",  IFERROR(VLOOKUP(I181,Resources!$B$1:$H$1503,5,FALSE)-LEN(K181),0))</f>
        <v/>
      </c>
      <c r="M181" s="3" t="str">
        <f>IF(K181="","",IFERROR(matches(K181,VLOOKUP(I181,Resources!$A$2:$AA$1503,16,FALSE)),FALSE))</f>
        <v/>
      </c>
      <c r="N181" s="3" t="e">
        <f>VLOOKUP(E181,Enviroments!$A$3:$D$59,1,FALSE)</f>
        <v>#N/A</v>
      </c>
      <c r="O181" s="3" t="e">
        <f>VLOOKUP(E181,Enviroments!$A$3:$D$59,2,FALSE)</f>
        <v>#N/A</v>
      </c>
      <c r="P181" s="3" t="e">
        <f>VLOOKUP(E181,Enviroments!$A$3:$D$59,3,FALSE)</f>
        <v>#N/A</v>
      </c>
      <c r="Q181" s="3" t="e">
        <f>VLOOKUP(E181,Enviroments!$A$3:$D$59,4,FALSE)</f>
        <v>#N/A</v>
      </c>
      <c r="R181" s="3" t="e">
        <f>VLOOKUP(H181,AzureRegions!$A$4:$B$1493,1,FALSE)</f>
        <v>#N/A</v>
      </c>
      <c r="S181" s="3" t="e">
        <f>VLOOKUP(H181,AzureRegions!$A$4:$B$1493,2,FALSE)</f>
        <v>#N/A</v>
      </c>
      <c r="T181" s="3" t="e">
        <f>VLOOKUP(H181,AzureRegions!$A$4:$C$1493,3,FALSE)</f>
        <v>#N/A</v>
      </c>
      <c r="U181" s="3" t="e">
        <f>VLOOKUP(I181,Resources!$A$2:$AA$1503,2,FALSE)</f>
        <v>#N/A</v>
      </c>
      <c r="V181" s="3" t="e">
        <f>VLOOKUP(I181,Resources!$A$2:$H$1503,6,FALSE)</f>
        <v>#N/A</v>
      </c>
      <c r="W181" s="3" t="str">
        <f>VLOOKUP($H$2,Casing!$A$4:$A$60,1,FALSE)</f>
        <v>Lower</v>
      </c>
      <c r="X181" s="14" t="str">
        <f t="shared" si="5"/>
        <v>001</v>
      </c>
      <c r="Y181" s="3" t="str">
        <f>IFERROR(VLOOKUP(F181,Func!$A$4:$G$1500,2,FALSE),"none")</f>
        <v>none</v>
      </c>
      <c r="Z181" s="3" t="e">
        <f>VLOOKUP(I181,Resources!$A$2:$AA$1503,18,FALSE)</f>
        <v>#N/A</v>
      </c>
      <c r="AA181" s="3" t="str">
        <f>IFERROR(VLOOKUP(B181,Orgs!$A$4:$G$1500,2,FALSE),"none")</f>
        <v>none</v>
      </c>
      <c r="AB181" s="3" t="str">
        <f>IFERROR(VLOOKUP(C181,UnitsDepts!$A$4:$G$1500,2,FALSE),"none")</f>
        <v>none</v>
      </c>
      <c r="AC181" s="3" t="str">
        <f>IFERROR(VLOOKUP(D181,ProjAppSvc!$A$4:$G$1500,2,FALSE),"none")</f>
        <v>none</v>
      </c>
    </row>
    <row r="182" spans="1:29" x14ac:dyDescent="0.45">
      <c r="A182" s="14" t="s">
        <v>23</v>
      </c>
      <c r="B182" s="14"/>
      <c r="C182" s="14"/>
      <c r="D182" s="14"/>
      <c r="H182" s="8"/>
      <c r="I182" s="3"/>
      <c r="J182" s="3" t="str">
        <f t="shared" si="7"/>
        <v/>
      </c>
      <c r="K182" s="3" t="str">
        <f>IF(ISNUMBER(SEARCH("-",V182)),IFERROR(IF($H$2="Lower", LOWER(ComputeResourceName(Z182,#REF!,#REF!,G182,N182,O182,P182,Q182,S182,T182,V182,A182)), UPPER(ComputeResourceName(Z182,#REF!,#REF!,G182,N182,O182,P182,Q182,S182,T182,V182,A182))),""),SUBSTITUTE(IFERROR(IF($H$2="Lower", LOWER(ComputeResourceName(#REF!,#REF!,#REF!,G182,N182,O182,P182,Q182,S182,T182,V182,A182)), UPPER(ComputeResourceName(#REF!,#REF!,#REF!,G182,N182,O182,P182,Q182,S182,T182,V182,A182))),""), "-",""))</f>
        <v/>
      </c>
      <c r="L182" s="3" t="str">
        <f xml:space="preserve"> IF(K182="","",  IFERROR(VLOOKUP(I182,Resources!$B$1:$H$1503,5,FALSE)-LEN(K182),0))</f>
        <v/>
      </c>
      <c r="M182" s="3" t="str">
        <f>IF(K182="","",IFERROR(matches(K182,VLOOKUP(I182,Resources!$A$2:$AA$1503,16,FALSE)),FALSE))</f>
        <v/>
      </c>
      <c r="N182" s="3" t="e">
        <f>VLOOKUP(E182,Enviroments!$A$3:$D$59,1,FALSE)</f>
        <v>#N/A</v>
      </c>
      <c r="O182" s="3" t="e">
        <f>VLOOKUP(E182,Enviroments!$A$3:$D$59,2,FALSE)</f>
        <v>#N/A</v>
      </c>
      <c r="P182" s="3" t="e">
        <f>VLOOKUP(E182,Enviroments!$A$3:$D$59,3,FALSE)</f>
        <v>#N/A</v>
      </c>
      <c r="Q182" s="3" t="e">
        <f>VLOOKUP(E182,Enviroments!$A$3:$D$59,4,FALSE)</f>
        <v>#N/A</v>
      </c>
      <c r="R182" s="3" t="e">
        <f>VLOOKUP(H182,AzureRegions!$A$4:$B$1493,1,FALSE)</f>
        <v>#N/A</v>
      </c>
      <c r="S182" s="3" t="e">
        <f>VLOOKUP(H182,AzureRegions!$A$4:$B$1493,2,FALSE)</f>
        <v>#N/A</v>
      </c>
      <c r="T182" s="3" t="e">
        <f>VLOOKUP(H182,AzureRegions!$A$4:$C$1493,3,FALSE)</f>
        <v>#N/A</v>
      </c>
      <c r="U182" s="3" t="e">
        <f>VLOOKUP(I182,Resources!$A$2:$AA$1503,2,FALSE)</f>
        <v>#N/A</v>
      </c>
      <c r="V182" s="3" t="e">
        <f>VLOOKUP(I182,Resources!$A$2:$H$1503,6,FALSE)</f>
        <v>#N/A</v>
      </c>
      <c r="W182" s="3" t="str">
        <f>VLOOKUP($H$2,Casing!$A$4:$A$60,1,FALSE)</f>
        <v>Lower</v>
      </c>
      <c r="X182" s="14" t="str">
        <f t="shared" si="5"/>
        <v>001</v>
      </c>
      <c r="Y182" s="3" t="str">
        <f>IFERROR(VLOOKUP(F182,Func!$A$4:$G$1500,2,FALSE),"none")</f>
        <v>none</v>
      </c>
      <c r="Z182" s="3" t="e">
        <f>VLOOKUP(I182,Resources!$A$2:$AA$1503,18,FALSE)</f>
        <v>#N/A</v>
      </c>
      <c r="AA182" s="3" t="str">
        <f>IFERROR(VLOOKUP(B182,Orgs!$A$4:$G$1500,2,FALSE),"none")</f>
        <v>none</v>
      </c>
      <c r="AB182" s="3" t="str">
        <f>IFERROR(VLOOKUP(C182,UnitsDepts!$A$4:$G$1500,2,FALSE),"none")</f>
        <v>none</v>
      </c>
      <c r="AC182" s="3" t="str">
        <f>IFERROR(VLOOKUP(D182,ProjAppSvc!$A$4:$G$1500,2,FALSE),"none")</f>
        <v>none</v>
      </c>
    </row>
    <row r="183" spans="1:29" x14ac:dyDescent="0.45">
      <c r="A183" s="14" t="s">
        <v>23</v>
      </c>
      <c r="B183" s="14"/>
      <c r="C183" s="14"/>
      <c r="D183" s="14"/>
      <c r="H183" s="8"/>
      <c r="I183" s="3"/>
      <c r="J183" s="3" t="str">
        <f t="shared" si="7"/>
        <v/>
      </c>
      <c r="K183" s="3" t="str">
        <f>IF(ISNUMBER(SEARCH("-",V183)),IFERROR(IF($H$2="Lower", LOWER(ComputeResourceName(Z183,#REF!,#REF!,G183,N183,O183,P183,Q183,S183,T183,V183,A183)), UPPER(ComputeResourceName(Z183,#REF!,#REF!,G183,N183,O183,P183,Q183,S183,T183,V183,A183))),""),SUBSTITUTE(IFERROR(IF($H$2="Lower", LOWER(ComputeResourceName(#REF!,#REF!,#REF!,G183,N183,O183,P183,Q183,S183,T183,V183,A183)), UPPER(ComputeResourceName(#REF!,#REF!,#REF!,G183,N183,O183,P183,Q183,S183,T183,V183,A183))),""), "-",""))</f>
        <v/>
      </c>
      <c r="L183" s="3" t="str">
        <f xml:space="preserve"> IF(K183="","",  IFERROR(VLOOKUP(I183,Resources!$B$1:$H$1503,5,FALSE)-LEN(K183),0))</f>
        <v/>
      </c>
      <c r="M183" s="3" t="str">
        <f>IF(K183="","",IFERROR(matches(K183,VLOOKUP(I183,Resources!$A$2:$AA$1503,16,FALSE)),FALSE))</f>
        <v/>
      </c>
      <c r="N183" s="3" t="e">
        <f>VLOOKUP(E183,Enviroments!$A$3:$D$59,1,FALSE)</f>
        <v>#N/A</v>
      </c>
      <c r="O183" s="3" t="e">
        <f>VLOOKUP(E183,Enviroments!$A$3:$D$59,2,FALSE)</f>
        <v>#N/A</v>
      </c>
      <c r="P183" s="3" t="e">
        <f>VLOOKUP(E183,Enviroments!$A$3:$D$59,3,FALSE)</f>
        <v>#N/A</v>
      </c>
      <c r="Q183" s="3" t="e">
        <f>VLOOKUP(E183,Enviroments!$A$3:$D$59,4,FALSE)</f>
        <v>#N/A</v>
      </c>
      <c r="R183" s="3" t="e">
        <f>VLOOKUP(H183,AzureRegions!$A$4:$B$1493,1,FALSE)</f>
        <v>#N/A</v>
      </c>
      <c r="S183" s="3" t="e">
        <f>VLOOKUP(H183,AzureRegions!$A$4:$B$1493,2,FALSE)</f>
        <v>#N/A</v>
      </c>
      <c r="T183" s="3" t="e">
        <f>VLOOKUP(H183,AzureRegions!$A$4:$C$1493,3,FALSE)</f>
        <v>#N/A</v>
      </c>
      <c r="U183" s="3" t="e">
        <f>VLOOKUP(I183,Resources!$A$2:$AA$1503,2,FALSE)</f>
        <v>#N/A</v>
      </c>
      <c r="V183" s="3" t="e">
        <f>VLOOKUP(I183,Resources!$A$2:$H$1503,6,FALSE)</f>
        <v>#N/A</v>
      </c>
      <c r="W183" s="3" t="str">
        <f>VLOOKUP($H$2,Casing!$A$4:$A$60,1,FALSE)</f>
        <v>Lower</v>
      </c>
      <c r="X183" s="14" t="str">
        <f t="shared" si="5"/>
        <v>001</v>
      </c>
      <c r="Y183" s="3" t="str">
        <f>IFERROR(VLOOKUP(F183,Func!$A$4:$G$1500,2,FALSE),"none")</f>
        <v>none</v>
      </c>
      <c r="Z183" s="3" t="e">
        <f>VLOOKUP(I183,Resources!$A$2:$AA$1503,18,FALSE)</f>
        <v>#N/A</v>
      </c>
      <c r="AA183" s="3" t="str">
        <f>IFERROR(VLOOKUP(B183,Orgs!$A$4:$G$1500,2,FALSE),"none")</f>
        <v>none</v>
      </c>
      <c r="AB183" s="3" t="str">
        <f>IFERROR(VLOOKUP(C183,UnitsDepts!$A$4:$G$1500,2,FALSE),"none")</f>
        <v>none</v>
      </c>
      <c r="AC183" s="3" t="str">
        <f>IFERROR(VLOOKUP(D183,ProjAppSvc!$A$4:$G$1500,2,FALSE),"none")</f>
        <v>none</v>
      </c>
    </row>
    <row r="184" spans="1:29" x14ac:dyDescent="0.45">
      <c r="A184" s="14" t="s">
        <v>23</v>
      </c>
      <c r="B184" s="14"/>
      <c r="C184" s="14"/>
      <c r="D184" s="14"/>
      <c r="H184" s="8"/>
      <c r="I184" s="3"/>
      <c r="J184" s="3" t="str">
        <f t="shared" si="7"/>
        <v/>
      </c>
      <c r="K184" s="3" t="str">
        <f>IF(ISNUMBER(SEARCH("-",V184)),IFERROR(IF($H$2="Lower", LOWER(ComputeResourceName(Z184,#REF!,#REF!,G184,N184,O184,P184,Q184,S184,T184,V184,A184)), UPPER(ComputeResourceName(Z184,#REF!,#REF!,G184,N184,O184,P184,Q184,S184,T184,V184,A184))),""),SUBSTITUTE(IFERROR(IF($H$2="Lower", LOWER(ComputeResourceName(#REF!,#REF!,#REF!,G184,N184,O184,P184,Q184,S184,T184,V184,A184)), UPPER(ComputeResourceName(#REF!,#REF!,#REF!,G184,N184,O184,P184,Q184,S184,T184,V184,A184))),""), "-",""))</f>
        <v/>
      </c>
      <c r="L184" s="3" t="str">
        <f xml:space="preserve"> IF(K184="","",  IFERROR(VLOOKUP(I184,Resources!$B$1:$H$1503,5,FALSE)-LEN(K184),0))</f>
        <v/>
      </c>
      <c r="M184" s="3" t="str">
        <f>IF(K184="","",IFERROR(matches(K184,VLOOKUP(I184,Resources!$A$2:$AA$1503,16,FALSE)),FALSE))</f>
        <v/>
      </c>
      <c r="N184" s="3" t="e">
        <f>VLOOKUP(E184,Enviroments!$A$3:$D$59,1,FALSE)</f>
        <v>#N/A</v>
      </c>
      <c r="O184" s="3" t="e">
        <f>VLOOKUP(E184,Enviroments!$A$3:$D$59,2,FALSE)</f>
        <v>#N/A</v>
      </c>
      <c r="P184" s="3" t="e">
        <f>VLOOKUP(E184,Enviroments!$A$3:$D$59,3,FALSE)</f>
        <v>#N/A</v>
      </c>
      <c r="Q184" s="3" t="e">
        <f>VLOOKUP(E184,Enviroments!$A$3:$D$59,4,FALSE)</f>
        <v>#N/A</v>
      </c>
      <c r="R184" s="3" t="e">
        <f>VLOOKUP(H184,AzureRegions!$A$4:$B$1493,1,FALSE)</f>
        <v>#N/A</v>
      </c>
      <c r="S184" s="3" t="e">
        <f>VLOOKUP(H184,AzureRegions!$A$4:$B$1493,2,FALSE)</f>
        <v>#N/A</v>
      </c>
      <c r="T184" s="3" t="e">
        <f>VLOOKUP(H184,AzureRegions!$A$4:$C$1493,3,FALSE)</f>
        <v>#N/A</v>
      </c>
      <c r="U184" s="3" t="e">
        <f>VLOOKUP(I184,Resources!$A$2:$AA$1503,2,FALSE)</f>
        <v>#N/A</v>
      </c>
      <c r="V184" s="3" t="e">
        <f>VLOOKUP(I184,Resources!$A$2:$H$1503,6,FALSE)</f>
        <v>#N/A</v>
      </c>
      <c r="W184" s="3" t="str">
        <f>VLOOKUP($H$2,Casing!$A$4:$A$60,1,FALSE)</f>
        <v>Lower</v>
      </c>
      <c r="X184" s="14" t="str">
        <f t="shared" si="5"/>
        <v>001</v>
      </c>
      <c r="Y184" s="3" t="str">
        <f>IFERROR(VLOOKUP(F184,Func!$A$4:$G$1500,2,FALSE),"none")</f>
        <v>none</v>
      </c>
      <c r="Z184" s="3" t="e">
        <f>VLOOKUP(I184,Resources!$A$2:$AA$1503,18,FALSE)</f>
        <v>#N/A</v>
      </c>
      <c r="AA184" s="3" t="str">
        <f>IFERROR(VLOOKUP(B184,Orgs!$A$4:$G$1500,2,FALSE),"none")</f>
        <v>none</v>
      </c>
      <c r="AB184" s="3" t="str">
        <f>IFERROR(VLOOKUP(C184,UnitsDepts!$A$4:$G$1500,2,FALSE),"none")</f>
        <v>none</v>
      </c>
      <c r="AC184" s="3" t="str">
        <f>IFERROR(VLOOKUP(D184,ProjAppSvc!$A$4:$G$1500,2,FALSE),"none")</f>
        <v>none</v>
      </c>
    </row>
    <row r="185" spans="1:29" x14ac:dyDescent="0.45">
      <c r="A185" s="14" t="s">
        <v>23</v>
      </c>
      <c r="B185" s="14"/>
      <c r="C185" s="14"/>
      <c r="D185" s="14"/>
      <c r="H185" s="8"/>
      <c r="I185" s="3"/>
      <c r="J185" s="3" t="str">
        <f t="shared" si="7"/>
        <v/>
      </c>
      <c r="K185" s="3" t="str">
        <f>IF(ISNUMBER(SEARCH("-",V185)),IFERROR(IF($H$2="Lower", LOWER(ComputeResourceName(Z185,#REF!,#REF!,G185,N185,O185,P185,Q185,S185,T185,V185,A185)), UPPER(ComputeResourceName(Z185,#REF!,#REF!,G185,N185,O185,P185,Q185,S185,T185,V185,A185))),""),SUBSTITUTE(IFERROR(IF($H$2="Lower", LOWER(ComputeResourceName(#REF!,#REF!,#REF!,G185,N185,O185,P185,Q185,S185,T185,V185,A185)), UPPER(ComputeResourceName(#REF!,#REF!,#REF!,G185,N185,O185,P185,Q185,S185,T185,V185,A185))),""), "-",""))</f>
        <v/>
      </c>
      <c r="L185" s="3" t="str">
        <f xml:space="preserve"> IF(K185="","",  IFERROR(VLOOKUP(I185,Resources!$B$1:$H$1503,5,FALSE)-LEN(K185),0))</f>
        <v/>
      </c>
      <c r="M185" s="3" t="str">
        <f>IF(K185="","",IFERROR(matches(K185,VLOOKUP(I185,Resources!$A$2:$AA$1503,16,FALSE)),FALSE))</f>
        <v/>
      </c>
      <c r="N185" s="3" t="e">
        <f>VLOOKUP(E185,Enviroments!$A$3:$D$59,1,FALSE)</f>
        <v>#N/A</v>
      </c>
      <c r="O185" s="3" t="e">
        <f>VLOOKUP(E185,Enviroments!$A$3:$D$59,2,FALSE)</f>
        <v>#N/A</v>
      </c>
      <c r="P185" s="3" t="e">
        <f>VLOOKUP(E185,Enviroments!$A$3:$D$59,3,FALSE)</f>
        <v>#N/A</v>
      </c>
      <c r="Q185" s="3" t="e">
        <f>VLOOKUP(E185,Enviroments!$A$3:$D$59,4,FALSE)</f>
        <v>#N/A</v>
      </c>
      <c r="R185" s="3" t="e">
        <f>VLOOKUP(H185,AzureRegions!$A$4:$B$1493,1,FALSE)</f>
        <v>#N/A</v>
      </c>
      <c r="S185" s="3" t="e">
        <f>VLOOKUP(H185,AzureRegions!$A$4:$B$1493,2,FALSE)</f>
        <v>#N/A</v>
      </c>
      <c r="T185" s="3" t="e">
        <f>VLOOKUP(H185,AzureRegions!$A$4:$C$1493,3,FALSE)</f>
        <v>#N/A</v>
      </c>
      <c r="U185" s="3" t="e">
        <f>VLOOKUP(I185,Resources!$A$2:$AA$1503,2,FALSE)</f>
        <v>#N/A</v>
      </c>
      <c r="V185" s="3" t="e">
        <f>VLOOKUP(I185,Resources!$A$2:$H$1503,6,FALSE)</f>
        <v>#N/A</v>
      </c>
      <c r="W185" s="3" t="str">
        <f>VLOOKUP($H$2,Casing!$A$4:$A$60,1,FALSE)</f>
        <v>Lower</v>
      </c>
      <c r="X185" s="14" t="str">
        <f t="shared" si="5"/>
        <v>001</v>
      </c>
      <c r="Y185" s="3" t="str">
        <f>IFERROR(VLOOKUP(F185,Func!$A$4:$G$1500,2,FALSE),"none")</f>
        <v>none</v>
      </c>
      <c r="Z185" s="3" t="e">
        <f>VLOOKUP(I185,Resources!$A$2:$AA$1503,18,FALSE)</f>
        <v>#N/A</v>
      </c>
      <c r="AA185" s="3" t="str">
        <f>IFERROR(VLOOKUP(B185,Orgs!$A$4:$G$1500,2,FALSE),"none")</f>
        <v>none</v>
      </c>
      <c r="AB185" s="3" t="str">
        <f>IFERROR(VLOOKUP(C185,UnitsDepts!$A$4:$G$1500,2,FALSE),"none")</f>
        <v>none</v>
      </c>
      <c r="AC185" s="3" t="str">
        <f>IFERROR(VLOOKUP(D185,ProjAppSvc!$A$4:$G$1500,2,FALSE),"none")</f>
        <v>none</v>
      </c>
    </row>
    <row r="186" spans="1:29" x14ac:dyDescent="0.45">
      <c r="A186" s="14" t="s">
        <v>23</v>
      </c>
      <c r="B186" s="14"/>
      <c r="C186" s="14"/>
      <c r="D186" s="14"/>
      <c r="H186" s="8"/>
      <c r="I186" s="3"/>
      <c r="J186" s="3" t="str">
        <f t="shared" si="7"/>
        <v/>
      </c>
      <c r="K186" s="3" t="str">
        <f>IF(ISNUMBER(SEARCH("-",V186)),IFERROR(IF($H$2="Lower", LOWER(ComputeResourceName(Z186,#REF!,#REF!,G186,N186,O186,P186,Q186,S186,T186,V186,A186)), UPPER(ComputeResourceName(Z186,#REF!,#REF!,G186,N186,O186,P186,Q186,S186,T186,V186,A186))),""),SUBSTITUTE(IFERROR(IF($H$2="Lower", LOWER(ComputeResourceName(#REF!,#REF!,#REF!,G186,N186,O186,P186,Q186,S186,T186,V186,A186)), UPPER(ComputeResourceName(#REF!,#REF!,#REF!,G186,N186,O186,P186,Q186,S186,T186,V186,A186))),""), "-",""))</f>
        <v/>
      </c>
      <c r="L186" s="3" t="str">
        <f xml:space="preserve"> IF(K186="","",  IFERROR(VLOOKUP(I186,Resources!$B$1:$H$1503,5,FALSE)-LEN(K186),0))</f>
        <v/>
      </c>
      <c r="M186" s="3" t="str">
        <f>IF(K186="","",IFERROR(matches(K186,VLOOKUP(I186,Resources!$A$2:$AA$1503,16,FALSE)),FALSE))</f>
        <v/>
      </c>
      <c r="N186" s="3" t="e">
        <f>VLOOKUP(E186,Enviroments!$A$3:$D$59,1,FALSE)</f>
        <v>#N/A</v>
      </c>
      <c r="O186" s="3" t="e">
        <f>VLOOKUP(E186,Enviroments!$A$3:$D$59,2,FALSE)</f>
        <v>#N/A</v>
      </c>
      <c r="P186" s="3" t="e">
        <f>VLOOKUP(E186,Enviroments!$A$3:$D$59,3,FALSE)</f>
        <v>#N/A</v>
      </c>
      <c r="Q186" s="3" t="e">
        <f>VLOOKUP(E186,Enviroments!$A$3:$D$59,4,FALSE)</f>
        <v>#N/A</v>
      </c>
      <c r="R186" s="3" t="e">
        <f>VLOOKUP(H186,AzureRegions!$A$4:$B$1493,1,FALSE)</f>
        <v>#N/A</v>
      </c>
      <c r="S186" s="3" t="e">
        <f>VLOOKUP(H186,AzureRegions!$A$4:$B$1493,2,FALSE)</f>
        <v>#N/A</v>
      </c>
      <c r="T186" s="3" t="e">
        <f>VLOOKUP(H186,AzureRegions!$A$4:$C$1493,3,FALSE)</f>
        <v>#N/A</v>
      </c>
      <c r="U186" s="3" t="e">
        <f>VLOOKUP(I186,Resources!$A$2:$AA$1503,2,FALSE)</f>
        <v>#N/A</v>
      </c>
      <c r="V186" s="3" t="e">
        <f>VLOOKUP(I186,Resources!$A$2:$H$1503,6,FALSE)</f>
        <v>#N/A</v>
      </c>
      <c r="W186" s="3" t="str">
        <f>VLOOKUP($H$2,Casing!$A$4:$A$60,1,FALSE)</f>
        <v>Lower</v>
      </c>
      <c r="X186" s="14" t="str">
        <f t="shared" si="5"/>
        <v>001</v>
      </c>
      <c r="Y186" s="3" t="str">
        <f>IFERROR(VLOOKUP(F186,Func!$A$4:$G$1500,2,FALSE),"none")</f>
        <v>none</v>
      </c>
      <c r="Z186" s="3" t="e">
        <f>VLOOKUP(I186,Resources!$A$2:$AA$1503,18,FALSE)</f>
        <v>#N/A</v>
      </c>
      <c r="AA186" s="3" t="str">
        <f>IFERROR(VLOOKUP(B186,Orgs!$A$4:$G$1500,2,FALSE),"none")</f>
        <v>none</v>
      </c>
      <c r="AB186" s="3" t="str">
        <f>IFERROR(VLOOKUP(C186,UnitsDepts!$A$4:$G$1500,2,FALSE),"none")</f>
        <v>none</v>
      </c>
      <c r="AC186" s="3" t="str">
        <f>IFERROR(VLOOKUP(D186,ProjAppSvc!$A$4:$G$1500,2,FALSE),"none")</f>
        <v>none</v>
      </c>
    </row>
    <row r="187" spans="1:29" x14ac:dyDescent="0.45">
      <c r="A187" s="14" t="s">
        <v>23</v>
      </c>
      <c r="B187" s="14"/>
      <c r="C187" s="14"/>
      <c r="D187" s="14"/>
      <c r="H187" s="8"/>
      <c r="I187" s="3"/>
      <c r="J187" s="3" t="str">
        <f t="shared" si="7"/>
        <v/>
      </c>
      <c r="K187" s="3" t="str">
        <f>IF(ISNUMBER(SEARCH("-",V187)),IFERROR(IF($H$2="Lower", LOWER(ComputeResourceName(Z187,#REF!,#REF!,G187,N187,O187,P187,Q187,S187,T187,V187,A187)), UPPER(ComputeResourceName(Z187,#REF!,#REF!,G187,N187,O187,P187,Q187,S187,T187,V187,A187))),""),SUBSTITUTE(IFERROR(IF($H$2="Lower", LOWER(ComputeResourceName(#REF!,#REF!,#REF!,G187,N187,O187,P187,Q187,S187,T187,V187,A187)), UPPER(ComputeResourceName(#REF!,#REF!,#REF!,G187,N187,O187,P187,Q187,S187,T187,V187,A187))),""), "-",""))</f>
        <v/>
      </c>
      <c r="L187" s="3" t="str">
        <f xml:space="preserve"> IF(K187="","",  IFERROR(VLOOKUP(I187,Resources!$B$1:$H$1503,5,FALSE)-LEN(K187),0))</f>
        <v/>
      </c>
      <c r="M187" s="3" t="str">
        <f>IF(K187="","",IFERROR(matches(K187,VLOOKUP(I187,Resources!$A$2:$AA$1503,16,FALSE)),FALSE))</f>
        <v/>
      </c>
      <c r="N187" s="3" t="e">
        <f>VLOOKUP(E187,Enviroments!$A$3:$D$59,1,FALSE)</f>
        <v>#N/A</v>
      </c>
      <c r="O187" s="3" t="e">
        <f>VLOOKUP(E187,Enviroments!$A$3:$D$59,2,FALSE)</f>
        <v>#N/A</v>
      </c>
      <c r="P187" s="3" t="e">
        <f>VLOOKUP(E187,Enviroments!$A$3:$D$59,3,FALSE)</f>
        <v>#N/A</v>
      </c>
      <c r="Q187" s="3" t="e">
        <f>VLOOKUP(E187,Enviroments!$A$3:$D$59,4,FALSE)</f>
        <v>#N/A</v>
      </c>
      <c r="R187" s="3" t="e">
        <f>VLOOKUP(H187,AzureRegions!$A$4:$B$1493,1,FALSE)</f>
        <v>#N/A</v>
      </c>
      <c r="S187" s="3" t="e">
        <f>VLOOKUP(H187,AzureRegions!$A$4:$B$1493,2,FALSE)</f>
        <v>#N/A</v>
      </c>
      <c r="T187" s="3" t="e">
        <f>VLOOKUP(H187,AzureRegions!$A$4:$C$1493,3,FALSE)</f>
        <v>#N/A</v>
      </c>
      <c r="U187" s="3" t="e">
        <f>VLOOKUP(I187,Resources!$A$2:$AA$1503,2,FALSE)</f>
        <v>#N/A</v>
      </c>
      <c r="V187" s="3" t="e">
        <f>VLOOKUP(I187,Resources!$A$2:$H$1503,6,FALSE)</f>
        <v>#N/A</v>
      </c>
      <c r="W187" s="3" t="str">
        <f>VLOOKUP($H$2,Casing!$A$4:$A$60,1,FALSE)</f>
        <v>Lower</v>
      </c>
      <c r="X187" s="14" t="str">
        <f t="shared" si="5"/>
        <v>001</v>
      </c>
      <c r="Y187" s="3" t="str">
        <f>IFERROR(VLOOKUP(F187,Func!$A$4:$G$1500,2,FALSE),"none")</f>
        <v>none</v>
      </c>
      <c r="Z187" s="3" t="e">
        <f>VLOOKUP(I187,Resources!$A$2:$AA$1503,18,FALSE)</f>
        <v>#N/A</v>
      </c>
      <c r="AA187" s="3" t="str">
        <f>IFERROR(VLOOKUP(B187,Orgs!$A$4:$G$1500,2,FALSE),"none")</f>
        <v>none</v>
      </c>
      <c r="AB187" s="3" t="str">
        <f>IFERROR(VLOOKUP(C187,UnitsDepts!$A$4:$G$1500,2,FALSE),"none")</f>
        <v>none</v>
      </c>
      <c r="AC187" s="3" t="str">
        <f>IFERROR(VLOOKUP(D187,ProjAppSvc!$A$4:$G$1500,2,FALSE),"none")</f>
        <v>none</v>
      </c>
    </row>
    <row r="188" spans="1:29" x14ac:dyDescent="0.45">
      <c r="A188" s="14" t="s">
        <v>23</v>
      </c>
      <c r="B188" s="14"/>
      <c r="C188" s="14"/>
      <c r="D188" s="14"/>
      <c r="H188" s="8"/>
      <c r="I188" s="3"/>
      <c r="J188" s="3" t="str">
        <f t="shared" si="7"/>
        <v/>
      </c>
      <c r="K188" s="3" t="str">
        <f>IF(ISNUMBER(SEARCH("-",V188)),IFERROR(IF($H$2="Lower", LOWER(ComputeResourceName(Z188,#REF!,#REF!,G188,N188,O188,P188,Q188,S188,T188,V188,A188)), UPPER(ComputeResourceName(Z188,#REF!,#REF!,G188,N188,O188,P188,Q188,S188,T188,V188,A188))),""),SUBSTITUTE(IFERROR(IF($H$2="Lower", LOWER(ComputeResourceName(#REF!,#REF!,#REF!,G188,N188,O188,P188,Q188,S188,T188,V188,A188)), UPPER(ComputeResourceName(#REF!,#REF!,#REF!,G188,N188,O188,P188,Q188,S188,T188,V188,A188))),""), "-",""))</f>
        <v/>
      </c>
      <c r="L188" s="3" t="str">
        <f xml:space="preserve"> IF(K188="","",  IFERROR(VLOOKUP(I188,Resources!$B$1:$H$1503,5,FALSE)-LEN(K188),0))</f>
        <v/>
      </c>
      <c r="M188" s="3" t="str">
        <f>IF(K188="","",IFERROR(matches(K188,VLOOKUP(I188,Resources!$A$2:$AA$1503,16,FALSE)),FALSE))</f>
        <v/>
      </c>
      <c r="N188" s="3" t="e">
        <f>VLOOKUP(E188,Enviroments!$A$3:$D$59,1,FALSE)</f>
        <v>#N/A</v>
      </c>
      <c r="O188" s="3" t="e">
        <f>VLOOKUP(E188,Enviroments!$A$3:$D$59,2,FALSE)</f>
        <v>#N/A</v>
      </c>
      <c r="P188" s="3" t="e">
        <f>VLOOKUP(E188,Enviroments!$A$3:$D$59,3,FALSE)</f>
        <v>#N/A</v>
      </c>
      <c r="Q188" s="3" t="e">
        <f>VLOOKUP(E188,Enviroments!$A$3:$D$59,4,FALSE)</f>
        <v>#N/A</v>
      </c>
      <c r="R188" s="3" t="e">
        <f>VLOOKUP(H188,AzureRegions!$A$4:$B$1493,1,FALSE)</f>
        <v>#N/A</v>
      </c>
      <c r="S188" s="3" t="e">
        <f>VLOOKUP(H188,AzureRegions!$A$4:$B$1493,2,FALSE)</f>
        <v>#N/A</v>
      </c>
      <c r="T188" s="3" t="e">
        <f>VLOOKUP(H188,AzureRegions!$A$4:$C$1493,3,FALSE)</f>
        <v>#N/A</v>
      </c>
      <c r="U188" s="3" t="e">
        <f>VLOOKUP(I188,Resources!$A$2:$AA$1503,2,FALSE)</f>
        <v>#N/A</v>
      </c>
      <c r="V188" s="3" t="e">
        <f>VLOOKUP(I188,Resources!$A$2:$H$1503,6,FALSE)</f>
        <v>#N/A</v>
      </c>
      <c r="W188" s="3" t="str">
        <f>VLOOKUP($H$2,Casing!$A$4:$A$60,1,FALSE)</f>
        <v>Lower</v>
      </c>
      <c r="X188" s="14" t="str">
        <f t="shared" si="5"/>
        <v>001</v>
      </c>
      <c r="Y188" s="3" t="str">
        <f>IFERROR(VLOOKUP(F188,Func!$A$4:$G$1500,2,FALSE),"none")</f>
        <v>none</v>
      </c>
      <c r="Z188" s="3" t="e">
        <f>VLOOKUP(I188,Resources!$A$2:$AA$1503,18,FALSE)</f>
        <v>#N/A</v>
      </c>
      <c r="AA188" s="3" t="str">
        <f>IFERROR(VLOOKUP(B188,Orgs!$A$4:$G$1500,2,FALSE),"none")</f>
        <v>none</v>
      </c>
      <c r="AB188" s="3" t="str">
        <f>IFERROR(VLOOKUP(C188,UnitsDepts!$A$4:$G$1500,2,FALSE),"none")</f>
        <v>none</v>
      </c>
      <c r="AC188" s="3" t="str">
        <f>IFERROR(VLOOKUP(D188,ProjAppSvc!$A$4:$G$1500,2,FALSE),"none")</f>
        <v>none</v>
      </c>
    </row>
    <row r="189" spans="1:29" x14ac:dyDescent="0.45">
      <c r="A189" s="14" t="s">
        <v>23</v>
      </c>
      <c r="B189" s="14"/>
      <c r="C189" s="14"/>
      <c r="D189" s="14"/>
      <c r="H189" s="8"/>
      <c r="I189" s="3"/>
      <c r="J189" s="3" t="str">
        <f t="shared" si="7"/>
        <v/>
      </c>
      <c r="K189" s="3" t="str">
        <f>IF(ISNUMBER(SEARCH("-",V189)),IFERROR(IF($H$2="Lower", LOWER(ComputeResourceName(Z189,#REF!,#REF!,G189,N189,O189,P189,Q189,S189,T189,V189,A189)), UPPER(ComputeResourceName(Z189,#REF!,#REF!,G189,N189,O189,P189,Q189,S189,T189,V189,A189))),""),SUBSTITUTE(IFERROR(IF($H$2="Lower", LOWER(ComputeResourceName(#REF!,#REF!,#REF!,G189,N189,O189,P189,Q189,S189,T189,V189,A189)), UPPER(ComputeResourceName(#REF!,#REF!,#REF!,G189,N189,O189,P189,Q189,S189,T189,V189,A189))),""), "-",""))</f>
        <v/>
      </c>
      <c r="L189" s="3" t="str">
        <f xml:space="preserve"> IF(K189="","",  IFERROR(VLOOKUP(I189,Resources!$B$1:$H$1503,5,FALSE)-LEN(K189),0))</f>
        <v/>
      </c>
      <c r="M189" s="3" t="str">
        <f>IF(K189="","",IFERROR(matches(K189,VLOOKUP(I189,Resources!$A$2:$AA$1503,16,FALSE)),FALSE))</f>
        <v/>
      </c>
      <c r="N189" s="3" t="e">
        <f>VLOOKUP(E189,Enviroments!$A$3:$D$59,1,FALSE)</f>
        <v>#N/A</v>
      </c>
      <c r="O189" s="3" t="e">
        <f>VLOOKUP(E189,Enviroments!$A$3:$D$59,2,FALSE)</f>
        <v>#N/A</v>
      </c>
      <c r="P189" s="3" t="e">
        <f>VLOOKUP(E189,Enviroments!$A$3:$D$59,3,FALSE)</f>
        <v>#N/A</v>
      </c>
      <c r="Q189" s="3" t="e">
        <f>VLOOKUP(E189,Enviroments!$A$3:$D$59,4,FALSE)</f>
        <v>#N/A</v>
      </c>
      <c r="R189" s="3" t="e">
        <f>VLOOKUP(H189,AzureRegions!$A$4:$B$1493,1,FALSE)</f>
        <v>#N/A</v>
      </c>
      <c r="S189" s="3" t="e">
        <f>VLOOKUP(H189,AzureRegions!$A$4:$B$1493,2,FALSE)</f>
        <v>#N/A</v>
      </c>
      <c r="T189" s="3" t="e">
        <f>VLOOKUP(H189,AzureRegions!$A$4:$C$1493,3,FALSE)</f>
        <v>#N/A</v>
      </c>
      <c r="U189" s="3" t="e">
        <f>VLOOKUP(I189,Resources!$A$2:$AA$1503,2,FALSE)</f>
        <v>#N/A</v>
      </c>
      <c r="V189" s="3" t="e">
        <f>VLOOKUP(I189,Resources!$A$2:$H$1503,6,FALSE)</f>
        <v>#N/A</v>
      </c>
      <c r="W189" s="3" t="str">
        <f>VLOOKUP($H$2,Casing!$A$4:$A$60,1,FALSE)</f>
        <v>Lower</v>
      </c>
      <c r="X189" s="14" t="str">
        <f t="shared" si="5"/>
        <v>001</v>
      </c>
      <c r="Y189" s="3" t="str">
        <f>IFERROR(VLOOKUP(F189,Func!$A$4:$G$1500,2,FALSE),"none")</f>
        <v>none</v>
      </c>
      <c r="Z189" s="3" t="e">
        <f>VLOOKUP(I189,Resources!$A$2:$AA$1503,18,FALSE)</f>
        <v>#N/A</v>
      </c>
      <c r="AA189" s="3" t="str">
        <f>IFERROR(VLOOKUP(B189,Orgs!$A$4:$G$1500,2,FALSE),"none")</f>
        <v>none</v>
      </c>
      <c r="AB189" s="3" t="str">
        <f>IFERROR(VLOOKUP(C189,UnitsDepts!$A$4:$G$1500,2,FALSE),"none")</f>
        <v>none</v>
      </c>
      <c r="AC189" s="3" t="str">
        <f>IFERROR(VLOOKUP(D189,ProjAppSvc!$A$4:$G$1500,2,FALSE),"none")</f>
        <v>none</v>
      </c>
    </row>
    <row r="190" spans="1:29" x14ac:dyDescent="0.45">
      <c r="J190" s="3"/>
    </row>
    <row r="191" spans="1:29" x14ac:dyDescent="0.45">
      <c r="J191" s="3"/>
    </row>
    <row r="192" spans="1:29" x14ac:dyDescent="0.45">
      <c r="J192" s="3"/>
    </row>
    <row r="193" spans="10:10" x14ac:dyDescent="0.45">
      <c r="J193" s="3"/>
    </row>
    <row r="194" spans="10:10" x14ac:dyDescent="0.45">
      <c r="J194" s="3"/>
    </row>
    <row r="195" spans="10:10" x14ac:dyDescent="0.45">
      <c r="J195" s="3"/>
    </row>
    <row r="196" spans="10:10" x14ac:dyDescent="0.45">
      <c r="J196" s="3"/>
    </row>
    <row r="197" spans="10:10" x14ac:dyDescent="0.45">
      <c r="J197" s="3"/>
    </row>
    <row r="198" spans="10:10" x14ac:dyDescent="0.45">
      <c r="J198" s="3"/>
    </row>
    <row r="199" spans="10:10" x14ac:dyDescent="0.45">
      <c r="J199" s="3"/>
    </row>
    <row r="200" spans="10:10" x14ac:dyDescent="0.45">
      <c r="J200" s="3"/>
    </row>
    <row r="201" spans="10:10" x14ac:dyDescent="0.45">
      <c r="J201" s="3"/>
    </row>
    <row r="202" spans="10:10" x14ac:dyDescent="0.45">
      <c r="J202" s="3"/>
    </row>
    <row r="203" spans="10:10" x14ac:dyDescent="0.45">
      <c r="J203" s="3"/>
    </row>
    <row r="204" spans="10:10" x14ac:dyDescent="0.45">
      <c r="J204" s="3"/>
    </row>
    <row r="205" spans="10:10" x14ac:dyDescent="0.45">
      <c r="J205" s="3"/>
    </row>
    <row r="206" spans="10:10" x14ac:dyDescent="0.45">
      <c r="J206" s="3"/>
    </row>
    <row r="207" spans="10:10" x14ac:dyDescent="0.45">
      <c r="J207" s="3"/>
    </row>
    <row r="208" spans="10:10" x14ac:dyDescent="0.45">
      <c r="J208" s="3"/>
    </row>
    <row r="209" spans="10:10" x14ac:dyDescent="0.45">
      <c r="J209" s="3"/>
    </row>
    <row r="210" spans="10:10" x14ac:dyDescent="0.45">
      <c r="J210" s="3"/>
    </row>
    <row r="211" spans="10:10" x14ac:dyDescent="0.45">
      <c r="J211" s="3"/>
    </row>
    <row r="212" spans="10:10" x14ac:dyDescent="0.45">
      <c r="J212" s="3"/>
    </row>
    <row r="213" spans="10:10" x14ac:dyDescent="0.45">
      <c r="J213" s="3"/>
    </row>
    <row r="214" spans="10:10" x14ac:dyDescent="0.45">
      <c r="J214" s="3"/>
    </row>
    <row r="215" spans="10:10" x14ac:dyDescent="0.45">
      <c r="J215" s="3"/>
    </row>
    <row r="216" spans="10:10" x14ac:dyDescent="0.45">
      <c r="J216" s="3"/>
    </row>
    <row r="217" spans="10:10" x14ac:dyDescent="0.45">
      <c r="J217" s="3"/>
    </row>
    <row r="218" spans="10:10" x14ac:dyDescent="0.45">
      <c r="J218" s="3"/>
    </row>
    <row r="219" spans="10:10" x14ac:dyDescent="0.45">
      <c r="J219" s="3"/>
    </row>
    <row r="220" spans="10:10" x14ac:dyDescent="0.45">
      <c r="J220" s="3"/>
    </row>
    <row r="221" spans="10:10" x14ac:dyDescent="0.45">
      <c r="J221" s="3"/>
    </row>
    <row r="222" spans="10:10" x14ac:dyDescent="0.45">
      <c r="J222" s="3"/>
    </row>
    <row r="223" spans="10:10" x14ac:dyDescent="0.45">
      <c r="J223" s="3"/>
    </row>
    <row r="224" spans="10:10" x14ac:dyDescent="0.45">
      <c r="J224" s="3"/>
    </row>
    <row r="225" spans="10:10" x14ac:dyDescent="0.45">
      <c r="J225" s="3"/>
    </row>
    <row r="226" spans="10:10" x14ac:dyDescent="0.45">
      <c r="J226" s="3"/>
    </row>
    <row r="227" spans="10:10" x14ac:dyDescent="0.45">
      <c r="J227" s="3"/>
    </row>
    <row r="228" spans="10:10" x14ac:dyDescent="0.45">
      <c r="J228" s="3"/>
    </row>
    <row r="229" spans="10:10" x14ac:dyDescent="0.45">
      <c r="J229" s="3"/>
    </row>
    <row r="230" spans="10:10" x14ac:dyDescent="0.45">
      <c r="J230" s="3"/>
    </row>
    <row r="231" spans="10:10" x14ac:dyDescent="0.45">
      <c r="J231" s="3"/>
    </row>
    <row r="232" spans="10:10" x14ac:dyDescent="0.45">
      <c r="J232" s="3"/>
    </row>
    <row r="233" spans="10:10" x14ac:dyDescent="0.45">
      <c r="J233" s="3"/>
    </row>
    <row r="234" spans="10:10" x14ac:dyDescent="0.45">
      <c r="J234" s="3"/>
    </row>
    <row r="235" spans="10:10" x14ac:dyDescent="0.45">
      <c r="J235" s="3"/>
    </row>
    <row r="236" spans="10:10" x14ac:dyDescent="0.45">
      <c r="J236" s="3"/>
    </row>
    <row r="237" spans="10:10" x14ac:dyDescent="0.45">
      <c r="J237" s="3"/>
    </row>
    <row r="238" spans="10:10" x14ac:dyDescent="0.45">
      <c r="J238" s="3"/>
    </row>
    <row r="239" spans="10:10" x14ac:dyDescent="0.45">
      <c r="J239" s="3"/>
    </row>
    <row r="240" spans="10:10" x14ac:dyDescent="0.45">
      <c r="J240" s="3"/>
    </row>
    <row r="241" spans="10:10" x14ac:dyDescent="0.45">
      <c r="J241" s="3"/>
    </row>
    <row r="242" spans="10:10" x14ac:dyDescent="0.45">
      <c r="J242" s="3"/>
    </row>
    <row r="243" spans="10:10" x14ac:dyDescent="0.45">
      <c r="J243" s="3"/>
    </row>
    <row r="244" spans="10:10" x14ac:dyDescent="0.45">
      <c r="J244" s="3"/>
    </row>
    <row r="245" spans="10:10" x14ac:dyDescent="0.45">
      <c r="J245" s="3"/>
    </row>
    <row r="246" spans="10:10" x14ac:dyDescent="0.45">
      <c r="J246" s="3"/>
    </row>
    <row r="247" spans="10:10" x14ac:dyDescent="0.45">
      <c r="J247" s="3"/>
    </row>
    <row r="248" spans="10:10" x14ac:dyDescent="0.45">
      <c r="J248" s="3"/>
    </row>
    <row r="249" spans="10:10" x14ac:dyDescent="0.45">
      <c r="J249" s="3"/>
    </row>
    <row r="250" spans="10:10" x14ac:dyDescent="0.45">
      <c r="J250" s="3"/>
    </row>
    <row r="251" spans="10:10" x14ac:dyDescent="0.45">
      <c r="J251" s="3"/>
    </row>
    <row r="252" spans="10:10" x14ac:dyDescent="0.45">
      <c r="J252" s="3"/>
    </row>
    <row r="253" spans="10:10" x14ac:dyDescent="0.45">
      <c r="J253" s="3"/>
    </row>
    <row r="254" spans="10:10" x14ac:dyDescent="0.45">
      <c r="J254" s="3"/>
    </row>
    <row r="255" spans="10:10" x14ac:dyDescent="0.45">
      <c r="J255" s="3"/>
    </row>
    <row r="256" spans="10:10" x14ac:dyDescent="0.45">
      <c r="J256" s="3"/>
    </row>
    <row r="257" spans="10:10" x14ac:dyDescent="0.45">
      <c r="J257" s="3"/>
    </row>
    <row r="258" spans="10:10" x14ac:dyDescent="0.45">
      <c r="J258" s="3"/>
    </row>
    <row r="259" spans="10:10" x14ac:dyDescent="0.45">
      <c r="J259" s="3"/>
    </row>
    <row r="260" spans="10:10" x14ac:dyDescent="0.45">
      <c r="J260" s="3"/>
    </row>
    <row r="261" spans="10:10" x14ac:dyDescent="0.45">
      <c r="J261" s="3"/>
    </row>
    <row r="262" spans="10:10" x14ac:dyDescent="0.45">
      <c r="J262" s="3"/>
    </row>
    <row r="263" spans="10:10" x14ac:dyDescent="0.45">
      <c r="J263" s="3"/>
    </row>
    <row r="264" spans="10:10" x14ac:dyDescent="0.45">
      <c r="J264" s="3"/>
    </row>
    <row r="265" spans="10:10" x14ac:dyDescent="0.45">
      <c r="J265" s="3"/>
    </row>
    <row r="266" spans="10:10" x14ac:dyDescent="0.45">
      <c r="J266" s="3"/>
    </row>
    <row r="267" spans="10:10" x14ac:dyDescent="0.45">
      <c r="J267" s="3"/>
    </row>
    <row r="268" spans="10:10" x14ac:dyDescent="0.45">
      <c r="J268" s="3"/>
    </row>
    <row r="269" spans="10:10" x14ac:dyDescent="0.45">
      <c r="J269" s="3"/>
    </row>
    <row r="270" spans="10:10" x14ac:dyDescent="0.45">
      <c r="J270" s="3"/>
    </row>
    <row r="271" spans="10:10" x14ac:dyDescent="0.45">
      <c r="J271" s="3"/>
    </row>
    <row r="272" spans="10:10" x14ac:dyDescent="0.45">
      <c r="J272" s="3"/>
    </row>
    <row r="273" spans="10:10" x14ac:dyDescent="0.45">
      <c r="J273" s="3"/>
    </row>
    <row r="274" spans="10:10" x14ac:dyDescent="0.45">
      <c r="J274" s="3"/>
    </row>
    <row r="275" spans="10:10" x14ac:dyDescent="0.45">
      <c r="J275" s="3"/>
    </row>
    <row r="276" spans="10:10" x14ac:dyDescent="0.45">
      <c r="J276" s="3"/>
    </row>
    <row r="277" spans="10:10" x14ac:dyDescent="0.45">
      <c r="J277" s="3"/>
    </row>
    <row r="278" spans="10:10" x14ac:dyDescent="0.45">
      <c r="J278" s="3"/>
    </row>
    <row r="279" spans="10:10" x14ac:dyDescent="0.45">
      <c r="J279" s="3"/>
    </row>
    <row r="280" spans="10:10" x14ac:dyDescent="0.45">
      <c r="J280" s="3"/>
    </row>
  </sheetData>
  <dataConsolidate/>
  <mergeCells count="4">
    <mergeCell ref="A2:G2"/>
    <mergeCell ref="A3:G3"/>
    <mergeCell ref="O3:X3"/>
    <mergeCell ref="A1:L1"/>
  </mergeCells>
  <conditionalFormatting sqref="L5:L189">
    <cfRule type="cellIs" dxfId="7" priority="2" operator="lessThan">
      <formula>0</formula>
    </cfRule>
  </conditionalFormatting>
  <conditionalFormatting sqref="M5:M189">
    <cfRule type="cellIs" dxfId="6" priority="1" operator="equal">
      <formula>FALSE</formula>
    </cfRule>
  </conditionalFormatting>
  <dataValidations count="1">
    <dataValidation type="list" allowBlank="1" showInputMessage="1" showErrorMessage="1" sqref="H2" xr:uid="{DFF15F76-940B-42FF-ABF1-37715F469B77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899C2FB-2241-4234-BDFB-C7A6CE35D95C}">
          <x14:formula1>
            <xm:f>Enviroments!$A$4:$A$43</xm:f>
          </x14:formula1>
          <xm:sqref>E5:E189</xm:sqref>
        </x14:dataValidation>
        <x14:dataValidation type="list" allowBlank="1" showInputMessage="1" showErrorMessage="1" xr:uid="{2FCC1AEF-CD8C-465F-8457-AE8C53987395}">
          <x14:formula1>
            <xm:f>AzureRegions!$A$4:$A$1493</xm:f>
          </x14:formula1>
          <xm:sqref>H5:H189</xm:sqref>
        </x14:dataValidation>
        <x14:dataValidation type="list" allowBlank="1" showInputMessage="1" showErrorMessage="1" xr:uid="{EA8D4097-DAAB-4FDF-8B3C-76584DCD88D5}">
          <x14:formula1>
            <xm:f>Func!$A$4:$A$430</xm:f>
          </x14:formula1>
          <xm:sqref>F5:F189</xm:sqref>
        </x14:dataValidation>
        <x14:dataValidation type="list" allowBlank="1" showInputMessage="1" showErrorMessage="1" xr:uid="{08C98942-C4E3-4859-B3F8-AC2B6B20DADB}">
          <x14:formula1>
            <xm:f>Orgs!$A$4:$A$450</xm:f>
          </x14:formula1>
          <xm:sqref>B5:B189</xm:sqref>
        </x14:dataValidation>
        <x14:dataValidation type="list" allowBlank="1" showInputMessage="1" showErrorMessage="1" xr:uid="{E2E5F705-540D-42BE-8708-51401354A11A}">
          <x14:formula1>
            <xm:f>UnitsDepts!$A$4:$A$450</xm:f>
          </x14:formula1>
          <xm:sqref>C5:C189</xm:sqref>
        </x14:dataValidation>
        <x14:dataValidation type="list" allowBlank="1" showInputMessage="1" showErrorMessage="1" xr:uid="{97357243-6B24-470E-94A9-D9B28087B241}">
          <x14:formula1>
            <xm:f>ProjAppSvc!$A$4:$A$450</xm:f>
          </x14:formula1>
          <xm:sqref>D5:D189</xm:sqref>
        </x14:dataValidation>
        <x14:dataValidation type="list" errorStyle="information" allowBlank="1" showInputMessage="1" showErrorMessage="1" xr:uid="{50314D5C-AE91-4045-9BEE-0DF1A798650B}">
          <x14:formula1>
            <xm:f>Resources!$A$2:$A$1503</xm:f>
          </x14:formula1>
          <xm:sqref>I5:I189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940C6-80A9-4D36-B2EE-B328FFC94452}">
  <sheetPr codeName="Sheet19"/>
  <dimension ref="A1:AC280"/>
  <sheetViews>
    <sheetView workbookViewId="0">
      <selection activeCell="A34" sqref="A34"/>
    </sheetView>
  </sheetViews>
  <sheetFormatPr defaultColWidth="9.1796875" defaultRowHeight="16.5" x14ac:dyDescent="0.45"/>
  <cols>
    <col min="1" max="1" width="19.453125" style="3" customWidth="1"/>
    <col min="2" max="4" width="28" style="3" customWidth="1"/>
    <col min="5" max="6" width="13.54296875" style="3" customWidth="1"/>
    <col min="7" max="7" width="38.81640625" style="3" customWidth="1"/>
    <col min="8" max="8" width="40" style="3" customWidth="1"/>
    <col min="9" max="9" width="40" style="8" customWidth="1"/>
    <col min="10" max="10" width="92.08984375" style="8" customWidth="1"/>
    <col min="11" max="11" width="43.453125" style="3" customWidth="1"/>
    <col min="12" max="12" width="104.453125" style="3" customWidth="1"/>
    <col min="13" max="13" width="28.54296875" style="3" customWidth="1"/>
    <col min="14" max="14" width="33.1796875" style="3" hidden="1" customWidth="1"/>
    <col min="15" max="18" width="22.54296875" style="3" hidden="1" customWidth="1"/>
    <col min="19" max="25" width="23.453125" style="3" hidden="1" customWidth="1"/>
    <col min="26" max="26" width="34.1796875" style="3" hidden="1" customWidth="1"/>
    <col min="27" max="27" width="0" style="3" hidden="1" customWidth="1"/>
    <col min="28" max="28" width="12.08984375" style="3" hidden="1" customWidth="1"/>
    <col min="29" max="29" width="17.81640625" style="3" hidden="1" customWidth="1"/>
    <col min="30" max="16384" width="9.1796875" style="3"/>
  </cols>
  <sheetData>
    <row r="1" spans="1:29" ht="68" x14ac:dyDescent="1.65">
      <c r="A1" s="25" t="s">
        <v>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15"/>
    </row>
    <row r="2" spans="1:29" ht="16.5" customHeight="1" x14ac:dyDescent="0.55000000000000004">
      <c r="A2" s="23" t="s">
        <v>5</v>
      </c>
      <c r="B2" s="23"/>
      <c r="C2" s="23"/>
      <c r="D2" s="23"/>
      <c r="E2" s="23"/>
      <c r="F2" s="23"/>
      <c r="G2" s="23"/>
      <c r="H2" s="9" t="s">
        <v>6</v>
      </c>
      <c r="I2" s="16"/>
      <c r="J2" s="16"/>
      <c r="K2" s="9"/>
      <c r="L2" s="9"/>
      <c r="M2" s="9"/>
    </row>
    <row r="3" spans="1:29" ht="21" x14ac:dyDescent="0.55000000000000004">
      <c r="A3" s="23"/>
      <c r="B3" s="23"/>
      <c r="C3" s="23"/>
      <c r="D3" s="23"/>
      <c r="E3" s="23"/>
      <c r="F3" s="23"/>
      <c r="G3" s="23"/>
      <c r="H3" s="9"/>
      <c r="I3" s="16"/>
      <c r="J3" s="16"/>
      <c r="K3" s="9"/>
      <c r="L3" s="9"/>
      <c r="M3" s="9"/>
      <c r="O3" s="24" t="s">
        <v>7</v>
      </c>
      <c r="P3" s="24"/>
      <c r="Q3" s="24"/>
      <c r="R3" s="24"/>
      <c r="S3" s="24"/>
      <c r="T3" s="24"/>
      <c r="U3" s="24"/>
      <c r="V3" s="24"/>
      <c r="W3" s="24"/>
      <c r="X3" s="24"/>
      <c r="Y3" s="2"/>
    </row>
    <row r="4" spans="1:29" ht="21" x14ac:dyDescent="0.55000000000000004">
      <c r="A4" s="7" t="s">
        <v>1265</v>
      </c>
      <c r="B4" s="7" t="s">
        <v>3</v>
      </c>
      <c r="C4" s="7" t="s">
        <v>225</v>
      </c>
      <c r="D4" s="7" t="s">
        <v>233</v>
      </c>
      <c r="E4" s="7" t="s">
        <v>9</v>
      </c>
      <c r="F4" s="7" t="s">
        <v>234</v>
      </c>
      <c r="G4" s="7" t="s">
        <v>10</v>
      </c>
      <c r="H4" s="10" t="s">
        <v>11</v>
      </c>
      <c r="I4" s="7" t="s">
        <v>241</v>
      </c>
      <c r="J4" s="7" t="s">
        <v>219</v>
      </c>
      <c r="K4" s="7" t="s">
        <v>13</v>
      </c>
      <c r="L4" s="7" t="s">
        <v>14</v>
      </c>
      <c r="M4" s="7" t="s">
        <v>15</v>
      </c>
      <c r="N4" s="2" t="s">
        <v>16</v>
      </c>
      <c r="O4" s="2" t="s">
        <v>17</v>
      </c>
      <c r="P4" s="2" t="s">
        <v>18</v>
      </c>
      <c r="Q4" s="2" t="s">
        <v>19</v>
      </c>
      <c r="R4" s="2" t="s">
        <v>11</v>
      </c>
      <c r="S4" s="2" t="s">
        <v>20</v>
      </c>
      <c r="T4" s="2" t="s">
        <v>21</v>
      </c>
      <c r="U4" s="3" t="s">
        <v>12</v>
      </c>
      <c r="V4" s="3" t="s">
        <v>22</v>
      </c>
      <c r="W4" s="3" t="s">
        <v>5</v>
      </c>
      <c r="X4" s="3" t="s">
        <v>8</v>
      </c>
      <c r="Y4" s="3" t="s">
        <v>234</v>
      </c>
      <c r="Z4" s="3" t="s">
        <v>220</v>
      </c>
      <c r="AA4" s="3" t="s">
        <v>221</v>
      </c>
      <c r="AB4" s="3" t="s">
        <v>235</v>
      </c>
      <c r="AC4" s="3" t="s">
        <v>236</v>
      </c>
    </row>
    <row r="5" spans="1:29" x14ac:dyDescent="0.45">
      <c r="A5" s="14" t="s">
        <v>23</v>
      </c>
      <c r="B5" s="14"/>
      <c r="C5" s="14"/>
      <c r="D5" s="14"/>
      <c r="E5" s="3" t="s">
        <v>24</v>
      </c>
      <c r="G5" s="3" t="s">
        <v>33</v>
      </c>
      <c r="H5" s="8" t="s">
        <v>26</v>
      </c>
      <c r="I5" s="3" t="s">
        <v>1260</v>
      </c>
      <c r="J5" s="3" t="str">
        <f>IFERROR(Z5, "")</f>
        <v>{azSrvAbbr}{Component}</v>
      </c>
      <c r="K5" s="3" t="str">
        <f>IF(ISNUMBER(SEARCH("-",V5)),IFERROR(IF($H$2="Lower", LOWER(ComputeResourceName(Z5,AC5,AA5,G5,N5,O5,P5,Q5,S5,T5,V5,A5,Y5,AB5)), UPPER(ComputeResourceName(Z5,AC5,AA5,G5,N5,O5,P5,Q5,S5,T5,V5,A5,Y5,AB5))),""),SUBSTITUTE(IFERROR(IF($H$2="Lower", LOWER(ComputeResourceName(Z5,AC5,AA5,G5,N5,O5,P5,Q5,S5,T5,V5,A5,Y5,AB5)), UPPER(ComputeResourceName(Z5,AC5,AA5,G5,N5,O5,P5,Q5,S5,T5,V5,A5,Y5,AB5))),""), "-",""))</f>
        <v>mg-connectivity</v>
      </c>
      <c r="L5" s="3">
        <f xml:space="preserve"> IF(K5="","",  IFERROR(VLOOKUP(I5,Resources!$A$2:$AA$1500,9,FALSE)-LEN(K5),0))</f>
        <v>85</v>
      </c>
      <c r="M5" s="3" t="b">
        <f>IF(K5="","",IFERROR(matches(K5,VLOOKUP(I5,Resources!$A$2:$AA$1503,16,FALSE)),FALSE))</f>
        <v>1</v>
      </c>
      <c r="N5" s="3" t="str">
        <f>VLOOKUP(E5,Enviroments!$A$3:$D$59,1,FALSE)</f>
        <v>Production</v>
      </c>
      <c r="O5" s="3" t="str">
        <f>VLOOKUP(E5,Enviroments!$A$3:$D$59,2,FALSE)</f>
        <v>p</v>
      </c>
      <c r="P5" s="3" t="str">
        <f>VLOOKUP(E5,Enviroments!$A$3:$D$59,3,FALSE)</f>
        <v>prd</v>
      </c>
      <c r="Q5" s="3">
        <f>VLOOKUP(E5,Enviroments!$A$3:$D$59,4,FALSE)</f>
        <v>2</v>
      </c>
      <c r="R5" s="3" t="str">
        <f>VLOOKUP(H5,AzureRegions!$A$4:$B$1493,1,FALSE)</f>
        <v>North Europe</v>
      </c>
      <c r="S5" s="3" t="str">
        <f>VLOOKUP(H5,AzureRegions!$A$4:$B$1493,2,FALSE)</f>
        <v>northeurope</v>
      </c>
      <c r="T5" s="3" t="str">
        <f>VLOOKUP(H5,AzureRegions!$A$4:$C$1493,3,FALSE)</f>
        <v>NE</v>
      </c>
      <c r="U5" s="3" t="str">
        <f>VLOOKUP(I5,Resources!$A$2:$AA$1503,2,FALSE)</f>
        <v>Management/managementGroups</v>
      </c>
      <c r="V5" s="3" t="str">
        <f>VLOOKUP(I5,Resources!$A$2:$H$1503,6,FALSE)</f>
        <v>mg-</v>
      </c>
      <c r="W5" s="3" t="str">
        <f>VLOOKUP($H$2,Casing!$A$4:$A$60,1,FALSE)</f>
        <v>Lower</v>
      </c>
      <c r="X5" s="14" t="str">
        <f>A5</f>
        <v>001</v>
      </c>
      <c r="Y5" s="3" t="str">
        <f>IFERROR(VLOOKUP(F5,Func!$A$4:$G$1500,2,FALSE),"none")</f>
        <v>none</v>
      </c>
      <c r="Z5" s="3" t="str">
        <f>VLOOKUP(I5,Resources!$A$2:$AA$1503,18,FALSE)</f>
        <v>{azSrvAbbr}{Component}</v>
      </c>
      <c r="AA5" s="3" t="str">
        <f>IFERROR(VLOOKUP(B5,Orgs!$A$4:$G$1500,2,FALSE),"none")</f>
        <v>none</v>
      </c>
      <c r="AB5" s="3" t="str">
        <f>IFERROR(VLOOKUP(C5,UnitsDepts!$A$4:$G$1500,2,FALSE),"none")</f>
        <v>none</v>
      </c>
      <c r="AC5" s="3" t="str">
        <f>IFERROR(VLOOKUP(D5,ProjAppSvc!$A$4:$G$1500,2,FALSE),"none")</f>
        <v>none</v>
      </c>
    </row>
    <row r="6" spans="1:29" x14ac:dyDescent="0.45">
      <c r="A6" s="14" t="s">
        <v>23</v>
      </c>
      <c r="B6" s="14"/>
      <c r="C6" s="14"/>
      <c r="D6" s="14"/>
      <c r="E6" s="3" t="s">
        <v>24</v>
      </c>
      <c r="G6" s="3" t="s">
        <v>35</v>
      </c>
      <c r="H6" s="8" t="s">
        <v>26</v>
      </c>
      <c r="I6" s="3" t="s">
        <v>1260</v>
      </c>
      <c r="J6" s="3" t="str">
        <f t="shared" ref="J6:J10" si="0">IFERROR(Z6, "")</f>
        <v>{azSrvAbbr}{Component}</v>
      </c>
      <c r="K6" s="3" t="str">
        <f>IF(ISNUMBER(SEARCH("-",V6)),IFERROR(IF($H$2="Lower", LOWER(ComputeResourceName(Z6,AC6,AA6,G6,N6,O6,P6,Q6,S6,T6,V6,A6,Y6,AB6)), UPPER(ComputeResourceName(Z6,AC6,AA6,G6,N6,O6,P6,Q6,S6,T6,V6,A6,Y6,AB6))),""),SUBSTITUTE(IFERROR(IF($H$2="Lower", LOWER(ComputeResourceName(Z6,AC6,AA6,G6,N6,O6,P6,Q6,S6,T6,V6,A6,Y6,AB6)), UPPER(ComputeResourceName(Z6,AC6,AA6,G6,N6,O6,P6,Q6,S6,T6,V6,A6,Y6,AB6))),""), "-",""))</f>
        <v>mg-identity</v>
      </c>
      <c r="L6" s="3">
        <f xml:space="preserve"> IF(K6="","",  IFERROR(VLOOKUP(I6,Resources!$A$2:$AA$1500,9,FALSE)-LEN(K6),0))</f>
        <v>89</v>
      </c>
      <c r="M6" s="3" t="b">
        <f>IF(K6="","",IFERROR(matches(K6,VLOOKUP(I6,Resources!$A$2:$AA$1503,16,FALSE)),FALSE))</f>
        <v>1</v>
      </c>
      <c r="N6" s="3" t="str">
        <f>VLOOKUP(E6,Enviroments!$A$3:$D$59,1,FALSE)</f>
        <v>Production</v>
      </c>
      <c r="O6" s="3" t="str">
        <f>VLOOKUP(E6,Enviroments!$A$3:$D$59,2,FALSE)</f>
        <v>p</v>
      </c>
      <c r="P6" s="3" t="str">
        <f>VLOOKUP(E6,Enviroments!$A$3:$D$59,3,FALSE)</f>
        <v>prd</v>
      </c>
      <c r="Q6" s="3">
        <f>VLOOKUP(E6,Enviroments!$A$3:$D$59,4,FALSE)</f>
        <v>2</v>
      </c>
      <c r="R6" s="3" t="str">
        <f>VLOOKUP(H6,AzureRegions!$A$4:$B$1493,1,FALSE)</f>
        <v>North Europe</v>
      </c>
      <c r="S6" s="3" t="str">
        <f>VLOOKUP(H6,AzureRegions!$A$4:$B$1493,2,FALSE)</f>
        <v>northeurope</v>
      </c>
      <c r="T6" s="3" t="str">
        <f>VLOOKUP(H6,AzureRegions!$A$4:$C$1493,3,FALSE)</f>
        <v>NE</v>
      </c>
      <c r="U6" s="3" t="str">
        <f>VLOOKUP(I6,Resources!$A$2:$AA$1503,2,FALSE)</f>
        <v>Management/managementGroups</v>
      </c>
      <c r="V6" s="3" t="str">
        <f>VLOOKUP(I6,Resources!$A$2:$H$1503,6,FALSE)</f>
        <v>mg-</v>
      </c>
      <c r="W6" s="3" t="str">
        <f>VLOOKUP($H$2,Casing!$A$4:$A$60,1,FALSE)</f>
        <v>Lower</v>
      </c>
      <c r="X6" s="14" t="str">
        <f>A6</f>
        <v>001</v>
      </c>
      <c r="Y6" s="3" t="str">
        <f>IFERROR(VLOOKUP(F6,Func!$A$4:$G$1500,2,FALSE),"none")</f>
        <v>none</v>
      </c>
      <c r="Z6" s="3" t="str">
        <f>VLOOKUP(I6,Resources!$A$2:$AA$1503,18,FALSE)</f>
        <v>{azSrvAbbr}{Component}</v>
      </c>
      <c r="AA6" s="3" t="str">
        <f>IFERROR(VLOOKUP(B6,Orgs!$A$4:$G$1500,2,FALSE),"none")</f>
        <v>none</v>
      </c>
      <c r="AB6" s="3" t="str">
        <f>IFERROR(VLOOKUP(C6,UnitsDepts!$A$4:$G$1500,2,FALSE),"none")</f>
        <v>none</v>
      </c>
      <c r="AC6" s="3" t="str">
        <f>IFERROR(VLOOKUP(D6,ProjAppSvc!$A$4:$G$1500,2,FALSE),"none")</f>
        <v>none</v>
      </c>
    </row>
    <row r="7" spans="1:29" x14ac:dyDescent="0.45">
      <c r="A7" s="14" t="s">
        <v>23</v>
      </c>
      <c r="B7" s="14"/>
      <c r="C7" s="14"/>
      <c r="D7" s="14"/>
      <c r="E7" s="3" t="s">
        <v>24</v>
      </c>
      <c r="G7" s="3" t="s">
        <v>34</v>
      </c>
      <c r="H7" s="8" t="s">
        <v>26</v>
      </c>
      <c r="I7" s="3" t="s">
        <v>1260</v>
      </c>
      <c r="J7" s="3" t="str">
        <f t="shared" si="0"/>
        <v>{azSrvAbbr}{Component}</v>
      </c>
      <c r="K7" s="3" t="str">
        <f>IF(ISNUMBER(SEARCH("-",V7)),IFERROR(IF($H$2="Lower", LOWER(ComputeResourceName(Z7,AC7,AA7,G7,N7,O7,P7,Q7,S7,T7,V7,A7,Y7,AB7)), UPPER(ComputeResourceName(Z7,AC7,AA7,G7,N7,O7,P7,Q7,S7,T7,V7,A7,Y7,AB7))),""),SUBSTITUTE(IFERROR(IF($H$2="Lower", LOWER(ComputeResourceName(Z7,AC7,AA7,G7,N7,O7,P7,Q7,S7,T7,V7,A7,Y7,AB7)), UPPER(ComputeResourceName(Z7,AC7,AA7,G7,N7,O7,P7,Q7,S7,T7,V7,A7,Y7,AB7))),""), "-",""))</f>
        <v>mg-management</v>
      </c>
      <c r="L7" s="3">
        <f xml:space="preserve"> IF(K7="","",  IFERROR(VLOOKUP(I7,Resources!$A$2:$AA$1500,9,FALSE)-LEN(K7),0))</f>
        <v>87</v>
      </c>
      <c r="M7" s="3" t="b">
        <f>IF(K7="","",IFERROR(matches(K7,VLOOKUP(I7,Resources!$A$2:$AA$1503,16,FALSE)),FALSE))</f>
        <v>1</v>
      </c>
      <c r="N7" s="3" t="str">
        <f>VLOOKUP(E7,Enviroments!$A$3:$D$59,1,FALSE)</f>
        <v>Production</v>
      </c>
      <c r="O7" s="3" t="str">
        <f>VLOOKUP(E7,Enviroments!$A$3:$D$59,2,FALSE)</f>
        <v>p</v>
      </c>
      <c r="P7" s="3" t="str">
        <f>VLOOKUP(E7,Enviroments!$A$3:$D$59,3,FALSE)</f>
        <v>prd</v>
      </c>
      <c r="Q7" s="3">
        <f>VLOOKUP(E7,Enviroments!$A$3:$D$59,4,FALSE)</f>
        <v>2</v>
      </c>
      <c r="R7" s="3" t="str">
        <f>VLOOKUP(H7,AzureRegions!$A$4:$B$1493,1,FALSE)</f>
        <v>North Europe</v>
      </c>
      <c r="S7" s="3" t="str">
        <f>VLOOKUP(H7,AzureRegions!$A$4:$B$1493,2,FALSE)</f>
        <v>northeurope</v>
      </c>
      <c r="T7" s="3" t="str">
        <f>VLOOKUP(H7,AzureRegions!$A$4:$C$1493,3,FALSE)</f>
        <v>NE</v>
      </c>
      <c r="U7" s="3" t="str">
        <f>VLOOKUP(I7,Resources!$A$2:$AA$1503,2,FALSE)</f>
        <v>Management/managementGroups</v>
      </c>
      <c r="V7" s="3" t="str">
        <f>VLOOKUP(I7,Resources!$A$2:$H$1503,6,FALSE)</f>
        <v>mg-</v>
      </c>
      <c r="W7" s="3" t="str">
        <f>VLOOKUP($H$2,Casing!$A$4:$A$60,1,FALSE)</f>
        <v>Lower</v>
      </c>
      <c r="X7" s="14" t="str">
        <f t="shared" ref="X7:X70" si="1">A7</f>
        <v>001</v>
      </c>
      <c r="Y7" s="3" t="str">
        <f>IFERROR(VLOOKUP(F7,Func!$A$4:$G$1500,2,FALSE),"none")</f>
        <v>none</v>
      </c>
      <c r="Z7" s="3" t="str">
        <f>VLOOKUP(I7,Resources!$A$2:$AA$1503,18,FALSE)</f>
        <v>{azSrvAbbr}{Component}</v>
      </c>
      <c r="AA7" s="3" t="str">
        <f>IFERROR(VLOOKUP(B7,Orgs!$A$4:$G$1500,2,FALSE),"none")</f>
        <v>none</v>
      </c>
      <c r="AB7" s="3" t="str">
        <f>IFERROR(VLOOKUP(C7,UnitsDepts!$A$4:$G$1500,2,FALSE),"none")</f>
        <v>none</v>
      </c>
      <c r="AC7" s="3" t="str">
        <f>IFERROR(VLOOKUP(D7,ProjAppSvc!$A$4:$G$1500,2,FALSE),"none")</f>
        <v>none</v>
      </c>
    </row>
    <row r="8" spans="1:29" x14ac:dyDescent="0.45">
      <c r="A8" s="14" t="s">
        <v>23</v>
      </c>
      <c r="B8" s="14"/>
      <c r="C8" s="14"/>
      <c r="D8" s="14"/>
      <c r="H8" s="8"/>
      <c r="I8" s="3"/>
      <c r="J8" s="3" t="str">
        <f t="shared" si="0"/>
        <v/>
      </c>
      <c r="K8" s="3" t="str">
        <f>IF(ISNUMBER(SEARCH("-",V8)),IFERROR(IF($H$2="Lower", LOWER(ComputeResourceName(Z8,AC8,AA8,G8,N8,O8,P8,Q8,S8,T8,V8,A8,Y8,AB8)), UPPER(ComputeResourceName(Z8,AC8,AA8,G8,N8,O8,P8,Q8,S8,T8,V8,A8,Y8,AB8))),""),SUBSTITUTE(IFERROR(IF($H$2="Lower", LOWER(ComputeResourceName(Z8,AC8,AA8,G8,N8,O8,P8,Q8,S8,T8,V8,A8,Y8,AB8)), UPPER(ComputeResourceName(Z8,AC8,AA8,G8,N8,O8,P8,Q8,S8,T8,V8,A8,Y8,AB8))),""), "-",""))</f>
        <v/>
      </c>
      <c r="L8" s="3" t="str">
        <f xml:space="preserve"> IF(K8="","",  IFERROR(VLOOKUP(I8,Resources!$A$2:$AA$1500,9,FALSE)-LEN(K8),0))</f>
        <v/>
      </c>
      <c r="M8" s="3" t="str">
        <f>IF(K8="","",IFERROR(matches(K8,VLOOKUP(I8,Resources!$A$2:$AA$1503,16,FALSE)),FALSE))</f>
        <v/>
      </c>
      <c r="N8" s="3" t="e">
        <f>VLOOKUP(E8,Enviroments!$A$3:$D$59,1,FALSE)</f>
        <v>#N/A</v>
      </c>
      <c r="O8" s="3" t="e">
        <f>VLOOKUP(E8,Enviroments!$A$3:$D$59,2,FALSE)</f>
        <v>#N/A</v>
      </c>
      <c r="P8" s="3" t="e">
        <f>VLOOKUP(E8,Enviroments!$A$3:$D$59,3,FALSE)</f>
        <v>#N/A</v>
      </c>
      <c r="Q8" s="3" t="e">
        <f>VLOOKUP(E8,Enviroments!$A$3:$D$59,4,FALSE)</f>
        <v>#N/A</v>
      </c>
      <c r="R8" s="3" t="e">
        <f>VLOOKUP(H8,AzureRegions!$A$4:$B$1493,1,FALSE)</f>
        <v>#N/A</v>
      </c>
      <c r="S8" s="3" t="e">
        <f>VLOOKUP(H8,AzureRegions!$A$4:$B$1493,2,FALSE)</f>
        <v>#N/A</v>
      </c>
      <c r="T8" s="3" t="e">
        <f>VLOOKUP(H8,AzureRegions!$A$4:$C$1493,3,FALSE)</f>
        <v>#N/A</v>
      </c>
      <c r="U8" s="3" t="e">
        <f>VLOOKUP(I8,Resources!$A$2:$AA$1503,2,FALSE)</f>
        <v>#N/A</v>
      </c>
      <c r="V8" s="3" t="e">
        <f>VLOOKUP(I8,Resources!$A$2:$H$1503,6,FALSE)</f>
        <v>#N/A</v>
      </c>
      <c r="W8" s="3" t="str">
        <f>VLOOKUP($H$2,Casing!$A$4:$A$60,1,FALSE)</f>
        <v>Lower</v>
      </c>
      <c r="X8" s="14" t="str">
        <f t="shared" si="1"/>
        <v>001</v>
      </c>
      <c r="Y8" s="3" t="str">
        <f>IFERROR(VLOOKUP(F8,Func!$A$4:$G$1500,2,FALSE),"none")</f>
        <v>none</v>
      </c>
      <c r="Z8" s="3" t="e">
        <f>VLOOKUP(I8,Resources!$A$2:$AA$1503,18,FALSE)</f>
        <v>#N/A</v>
      </c>
      <c r="AA8" s="3" t="str">
        <f>IFERROR(VLOOKUP(B8,Orgs!$A$4:$G$1500,2,FALSE),"none")</f>
        <v>none</v>
      </c>
      <c r="AB8" s="3" t="str">
        <f>IFERROR(VLOOKUP(C8,UnitsDepts!$A$4:$G$1500,2,FALSE),"none")</f>
        <v>none</v>
      </c>
      <c r="AC8" s="3" t="str">
        <f>IFERROR(VLOOKUP(D8,ProjAppSvc!$A$4:$G$1500,2,FALSE),"none")</f>
        <v>none</v>
      </c>
    </row>
    <row r="9" spans="1:29" x14ac:dyDescent="0.45">
      <c r="A9" s="14" t="s">
        <v>23</v>
      </c>
      <c r="B9" s="14"/>
      <c r="C9" s="14"/>
      <c r="D9" s="14"/>
      <c r="H9" s="8"/>
      <c r="I9" s="3"/>
      <c r="J9" s="3" t="str">
        <f t="shared" si="0"/>
        <v/>
      </c>
      <c r="K9" s="3" t="str">
        <f>IF(ISNUMBER(SEARCH("-",V9)),IFERROR(IF($H$2="Lower", LOWER(ComputeResourceName(Z9,AC9,AA9,G9,N9,O9,P9,Q9,S9,T9,V9,A9,Y9,AB9)), UPPER(ComputeResourceName(Z9,AC9,AA9,G9,N9,O9,P9,Q9,S9,T9,V9,A9,Y9,AB9))),""),SUBSTITUTE(IFERROR(IF($H$2="Lower", LOWER(ComputeResourceName(Z9,AC9,AA9,G9,N9,O9,P9,Q9,S9,T9,V9,A9,Y9,AB9)), UPPER(ComputeResourceName(Z9,AC9,AA9,G9,N9,O9,P9,Q9,S9,T9,V9,A9,Y9,AB9))),""), "-",""))</f>
        <v/>
      </c>
      <c r="L9" s="3" t="str">
        <f xml:space="preserve"> IF(K9="","",  IFERROR(VLOOKUP(I9,Resources!$A$2:$AA$1500,9,FALSE)-LEN(K9),0))</f>
        <v/>
      </c>
      <c r="M9" s="3" t="str">
        <f>IF(K9="","",IFERROR(matches(K9,VLOOKUP(I9,Resources!$A$2:$AA$1503,16,FALSE)),FALSE))</f>
        <v/>
      </c>
      <c r="N9" s="3" t="e">
        <f>VLOOKUP(E9,Enviroments!$A$3:$D$59,1,FALSE)</f>
        <v>#N/A</v>
      </c>
      <c r="O9" s="3" t="e">
        <f>VLOOKUP(E9,Enviroments!$A$3:$D$59,2,FALSE)</f>
        <v>#N/A</v>
      </c>
      <c r="P9" s="3" t="e">
        <f>VLOOKUP(E9,Enviroments!$A$3:$D$59,3,FALSE)</f>
        <v>#N/A</v>
      </c>
      <c r="Q9" s="3" t="e">
        <f>VLOOKUP(E9,Enviroments!$A$3:$D$59,4,FALSE)</f>
        <v>#N/A</v>
      </c>
      <c r="R9" s="3" t="e">
        <f>VLOOKUP(H9,AzureRegions!$A$4:$B$1493,1,FALSE)</f>
        <v>#N/A</v>
      </c>
      <c r="S9" s="3" t="e">
        <f>VLOOKUP(H9,AzureRegions!$A$4:$B$1493,2,FALSE)</f>
        <v>#N/A</v>
      </c>
      <c r="T9" s="3" t="e">
        <f>VLOOKUP(H9,AzureRegions!$A$4:$C$1493,3,FALSE)</f>
        <v>#N/A</v>
      </c>
      <c r="U9" s="3" t="e">
        <f>VLOOKUP(I9,Resources!$A$2:$AA$1503,2,FALSE)</f>
        <v>#N/A</v>
      </c>
      <c r="V9" s="3" t="e">
        <f>VLOOKUP(I9,Resources!$A$2:$H$1503,6,FALSE)</f>
        <v>#N/A</v>
      </c>
      <c r="W9" s="3" t="str">
        <f>VLOOKUP($H$2,Casing!$A$4:$A$60,1,FALSE)</f>
        <v>Lower</v>
      </c>
      <c r="X9" s="14" t="str">
        <f t="shared" si="1"/>
        <v>001</v>
      </c>
      <c r="Y9" s="3" t="str">
        <f>IFERROR(VLOOKUP(F9,Func!$A$4:$G$1500,2,FALSE),"none")</f>
        <v>none</v>
      </c>
      <c r="Z9" s="3" t="e">
        <f>VLOOKUP(I9,Resources!$A$2:$AA$1503,18,FALSE)</f>
        <v>#N/A</v>
      </c>
      <c r="AA9" s="3" t="str">
        <f>IFERROR(VLOOKUP(B9,Orgs!$A$4:$G$1500,2,FALSE),"none")</f>
        <v>none</v>
      </c>
      <c r="AB9" s="3" t="str">
        <f>IFERROR(VLOOKUP(C9,UnitsDepts!$A$4:$G$1500,2,FALSE),"none")</f>
        <v>none</v>
      </c>
      <c r="AC9" s="3" t="str">
        <f>IFERROR(VLOOKUP(D9,ProjAppSvc!$A$4:$G$1500,2,FALSE),"none")</f>
        <v>none</v>
      </c>
    </row>
    <row r="10" spans="1:29" x14ac:dyDescent="0.45">
      <c r="A10" s="14" t="s">
        <v>23</v>
      </c>
      <c r="B10" s="14"/>
      <c r="C10" s="14"/>
      <c r="D10" s="14"/>
      <c r="H10" s="8"/>
      <c r="I10" s="3"/>
      <c r="J10" s="3" t="str">
        <f t="shared" si="0"/>
        <v/>
      </c>
      <c r="K10" s="3" t="str">
        <f>IF(ISNUMBER(SEARCH("-",V10)),IFERROR(IF($H$2="Lower", LOWER(ComputeResourceName(Z10,AC10,AA10,G10,N10,O10,P10,Q10,S10,T10,V10,A10,Y10,AB10)), UPPER(ComputeResourceName(Z10,AC10,AA10,G10,N10,O10,P10,Q10,S10,T10,V10,A10,Y10,AB10))),""),SUBSTITUTE(IFERROR(IF($H$2="Lower", LOWER(ComputeResourceName(Z10,AC10,AA10,G10,N10,O10,P10,Q10,S10,T10,V10,A10,Y10,AB10)), UPPER(ComputeResourceName(Z10,AC10,AA10,G10,N10,O10,P10,Q10,S10,T10,V10,A10,Y10,AB10))),""), "-",""))</f>
        <v/>
      </c>
      <c r="L10" s="3" t="str">
        <f xml:space="preserve"> IF(K10="","",  IFERROR(VLOOKUP(I10,Resources!$A$2:$AA$1500,9,FALSE)-LEN(K10),0))</f>
        <v/>
      </c>
      <c r="M10" s="3" t="str">
        <f>IF(K10="","",IFERROR(matches(K10,VLOOKUP(I10,Resources!$A$2:$AA$1503,16,FALSE)),FALSE))</f>
        <v/>
      </c>
      <c r="N10" s="3" t="e">
        <f>VLOOKUP(E10,Enviroments!$A$3:$D$59,1,FALSE)</f>
        <v>#N/A</v>
      </c>
      <c r="O10" s="3" t="e">
        <f>VLOOKUP(E10,Enviroments!$A$3:$D$59,2,FALSE)</f>
        <v>#N/A</v>
      </c>
      <c r="P10" s="3" t="e">
        <f>VLOOKUP(E10,Enviroments!$A$3:$D$59,3,FALSE)</f>
        <v>#N/A</v>
      </c>
      <c r="Q10" s="3" t="e">
        <f>VLOOKUP(E10,Enviroments!$A$3:$D$59,4,FALSE)</f>
        <v>#N/A</v>
      </c>
      <c r="R10" s="3" t="e">
        <f>VLOOKUP(H10,AzureRegions!$A$4:$B$1493,1,FALSE)</f>
        <v>#N/A</v>
      </c>
      <c r="S10" s="3" t="e">
        <f>VLOOKUP(H10,AzureRegions!$A$4:$B$1493,2,FALSE)</f>
        <v>#N/A</v>
      </c>
      <c r="T10" s="3" t="e">
        <f>VLOOKUP(H10,AzureRegions!$A$4:$C$1493,3,FALSE)</f>
        <v>#N/A</v>
      </c>
      <c r="U10" s="3" t="e">
        <f>VLOOKUP(I10,Resources!$A$2:$AA$1503,2,FALSE)</f>
        <v>#N/A</v>
      </c>
      <c r="V10" s="3" t="e">
        <f>VLOOKUP(I10,Resources!$A$2:$H$1503,6,FALSE)</f>
        <v>#N/A</v>
      </c>
      <c r="W10" s="3" t="str">
        <f>VLOOKUP($H$2,Casing!$A$4:$A$60,1,FALSE)</f>
        <v>Lower</v>
      </c>
      <c r="X10" s="14" t="str">
        <f t="shared" si="1"/>
        <v>001</v>
      </c>
      <c r="Y10" s="3" t="str">
        <f>IFERROR(VLOOKUP(F10,Func!$A$4:$G$1500,2,FALSE),"none")</f>
        <v>none</v>
      </c>
      <c r="Z10" s="3" t="e">
        <f>VLOOKUP(I10,Resources!$A$2:$AA$1503,18,FALSE)</f>
        <v>#N/A</v>
      </c>
      <c r="AA10" s="3" t="str">
        <f>IFERROR(VLOOKUP(B10,Orgs!$A$4:$G$1500,2,FALSE),"none")</f>
        <v>none</v>
      </c>
      <c r="AB10" s="3" t="str">
        <f>IFERROR(VLOOKUP(C10,UnitsDepts!$A$4:$G$1500,2,FALSE),"none")</f>
        <v>none</v>
      </c>
      <c r="AC10" s="3" t="str">
        <f>IFERROR(VLOOKUP(D10,ProjAppSvc!$A$4:$G$1500,2,FALSE),"none")</f>
        <v>none</v>
      </c>
    </row>
    <row r="11" spans="1:29" x14ac:dyDescent="0.45">
      <c r="A11" s="14" t="s">
        <v>23</v>
      </c>
      <c r="B11" s="14"/>
      <c r="C11" s="14"/>
      <c r="D11" s="14"/>
      <c r="H11" s="8"/>
      <c r="I11" s="3"/>
      <c r="J11" s="3" t="str">
        <f>IFERROR(Z11, "")</f>
        <v/>
      </c>
      <c r="K11" s="3" t="str">
        <f>IF(ISNUMBER(SEARCH("-",V11)),IFERROR(IF($H$2="Lower", LOWER(ComputeResourceName(Z11,AC11,AA11,G11,N11,O11,P11,Q11,S11,T11,V11,A11,Y11,AB11)), UPPER(ComputeResourceName(Z11,AC11,AA11,G11,N11,O11,P11,Q11,S11,T11,V11,A11,Y11,AB11))),""),SUBSTITUTE(IFERROR(IF($H$2="Lower", LOWER(ComputeResourceName(Z11,AC11,AA11,G11,N11,O11,P11,Q11,S11,T11,V11,A11,Y11,AB11)), UPPER(ComputeResourceName(Z11,AC11,AA11,G11,N11,O11,P11,Q11,S11,T11,V11,A11,Y11,AB11))),""), "-",""))</f>
        <v/>
      </c>
      <c r="L11" s="3" t="str">
        <f xml:space="preserve"> IF(K11="","",  IFERROR(VLOOKUP(I11,Resources!$A$2:$AA$1500,9,FALSE)-LEN(K11),0))</f>
        <v/>
      </c>
      <c r="M11" s="3" t="str">
        <f>IF(K11="","",IFERROR(matches(K11,VLOOKUP(I11,Resources!$A$2:$AA$1503,16,FALSE)),FALSE))</f>
        <v/>
      </c>
      <c r="N11" s="3" t="e">
        <f>VLOOKUP(E11,Enviroments!$A$3:$D$59,1,FALSE)</f>
        <v>#N/A</v>
      </c>
      <c r="O11" s="3" t="e">
        <f>VLOOKUP(E11,Enviroments!$A$3:$D$59,2,FALSE)</f>
        <v>#N/A</v>
      </c>
      <c r="P11" s="3" t="e">
        <f>VLOOKUP(E11,Enviroments!$A$3:$D$59,3,FALSE)</f>
        <v>#N/A</v>
      </c>
      <c r="Q11" s="3" t="e">
        <f>VLOOKUP(E11,Enviroments!$A$3:$D$59,4,FALSE)</f>
        <v>#N/A</v>
      </c>
      <c r="R11" s="3" t="e">
        <f>VLOOKUP(H11,AzureRegions!$A$4:$B$1493,1,FALSE)</f>
        <v>#N/A</v>
      </c>
      <c r="S11" s="3" t="e">
        <f>VLOOKUP(H11,AzureRegions!$A$4:$B$1493,2,FALSE)</f>
        <v>#N/A</v>
      </c>
      <c r="T11" s="3" t="e">
        <f>VLOOKUP(H11,AzureRegions!$A$4:$C$1493,3,FALSE)</f>
        <v>#N/A</v>
      </c>
      <c r="U11" s="3" t="e">
        <f>VLOOKUP(I11,Resources!$A$2:$AA$1503,2,FALSE)</f>
        <v>#N/A</v>
      </c>
      <c r="V11" s="3" t="e">
        <f>VLOOKUP(I11,Resources!$A$2:$H$1503,6,FALSE)</f>
        <v>#N/A</v>
      </c>
      <c r="W11" s="3" t="str">
        <f>VLOOKUP($H$2,Casing!$A$4:$A$60,1,FALSE)</f>
        <v>Lower</v>
      </c>
      <c r="X11" s="14" t="str">
        <f t="shared" si="1"/>
        <v>001</v>
      </c>
      <c r="Y11" s="3" t="str">
        <f>IFERROR(VLOOKUP(F11,Func!$A$4:$G$1500,2,FALSE),"none")</f>
        <v>none</v>
      </c>
      <c r="Z11" s="3" t="e">
        <f>VLOOKUP(I11,Resources!$A$2:$AA$1503,18,FALSE)</f>
        <v>#N/A</v>
      </c>
      <c r="AA11" s="3" t="str">
        <f>IFERROR(VLOOKUP(B11,Orgs!$A$4:$G$1500,2,FALSE),"none")</f>
        <v>none</v>
      </c>
      <c r="AB11" s="3" t="str">
        <f>IFERROR(VLOOKUP(C11,UnitsDepts!$A$4:$G$1500,2,FALSE),"none")</f>
        <v>none</v>
      </c>
      <c r="AC11" s="3" t="str">
        <f>IFERROR(VLOOKUP(D11,ProjAppSvc!$A$4:$G$1500,2,FALSE),"none")</f>
        <v>none</v>
      </c>
    </row>
    <row r="12" spans="1:29" x14ac:dyDescent="0.45">
      <c r="A12" s="14" t="s">
        <v>23</v>
      </c>
      <c r="B12" s="14"/>
      <c r="C12" s="14"/>
      <c r="D12" s="14"/>
      <c r="H12" s="8"/>
      <c r="I12" s="3"/>
      <c r="J12" s="3" t="str">
        <f>IFERROR(Z12, "")</f>
        <v/>
      </c>
      <c r="K12" s="3" t="str">
        <f>IF(ISNUMBER(SEARCH("-",V12)),IFERROR(IF($H$2="Lower", LOWER(ComputeResourceName(Z12,#REF!,#REF!,G12,N12,O12,P12,Q12,S12,T12,V12,A12)), UPPER(ComputeResourceName(Z12,#REF!,#REF!,G12,N12,O12,P12,Q12,S12,T12,V12,A12))),""),SUBSTITUTE(IFERROR(IF($H$2="Lower", LOWER(ComputeResourceName(#REF!,#REF!,#REF!,G12,N12,O12,P12,Q12,S12,T12,V12,A12)), UPPER(ComputeResourceName(#REF!,#REF!,#REF!,G12,N12,O12,P12,Q12,S12,T12,V12,A12))),""), "-",""))</f>
        <v/>
      </c>
      <c r="L12" s="3" t="str">
        <f xml:space="preserve"> IF(K12="","",  IFERROR(VLOOKUP(I12,Resources!$B$1:$H$1503,5,FALSE)-LEN(K12),0))</f>
        <v/>
      </c>
      <c r="M12" s="3" t="str">
        <f>IF(K12="","",IFERROR(matches(K12,VLOOKUP(I12,Resources!$A$2:$AA$1503,16,FALSE)),FALSE))</f>
        <v/>
      </c>
      <c r="N12" s="3" t="e">
        <f>VLOOKUP(E12,Enviroments!$A$3:$D$59,1,FALSE)</f>
        <v>#N/A</v>
      </c>
      <c r="O12" s="3" t="e">
        <f>VLOOKUP(E12,Enviroments!$A$3:$D$59,2,FALSE)</f>
        <v>#N/A</v>
      </c>
      <c r="P12" s="3" t="e">
        <f>VLOOKUP(E12,Enviroments!$A$3:$D$59,3,FALSE)</f>
        <v>#N/A</v>
      </c>
      <c r="Q12" s="3" t="e">
        <f>VLOOKUP(E12,Enviroments!$A$3:$D$59,4,FALSE)</f>
        <v>#N/A</v>
      </c>
      <c r="R12" s="3" t="e">
        <f>VLOOKUP(H12,AzureRegions!$A$4:$B$1493,1,FALSE)</f>
        <v>#N/A</v>
      </c>
      <c r="S12" s="3" t="e">
        <f>VLOOKUP(H12,AzureRegions!$A$4:$B$1493,2,FALSE)</f>
        <v>#N/A</v>
      </c>
      <c r="T12" s="3" t="e">
        <f>VLOOKUP(H12,AzureRegions!$A$4:$C$1493,3,FALSE)</f>
        <v>#N/A</v>
      </c>
      <c r="U12" s="3" t="e">
        <f>VLOOKUP(I12,Resources!$A$2:$AA$1503,2,FALSE)</f>
        <v>#N/A</v>
      </c>
      <c r="V12" s="3" t="e">
        <f>VLOOKUP(I12,Resources!$A$2:$H$1503,6,FALSE)</f>
        <v>#N/A</v>
      </c>
      <c r="W12" s="3" t="str">
        <f>VLOOKUP($H$2,Casing!$A$4:$A$60,1,FALSE)</f>
        <v>Lower</v>
      </c>
      <c r="X12" s="14" t="str">
        <f t="shared" si="1"/>
        <v>001</v>
      </c>
      <c r="Y12" s="3" t="str">
        <f>IFERROR(VLOOKUP(F12,Func!$A$4:$G$1500,2,FALSE),"none")</f>
        <v>none</v>
      </c>
      <c r="Z12" s="3" t="e">
        <f>VLOOKUP(I12,Resources!$A$2:$AA$1503,18,FALSE)</f>
        <v>#N/A</v>
      </c>
      <c r="AA12" s="3" t="str">
        <f>IFERROR(VLOOKUP(B12,Orgs!$A$4:$G$1500,2,FALSE),"none")</f>
        <v>none</v>
      </c>
      <c r="AB12" s="3" t="str">
        <f>IFERROR(VLOOKUP(C12,UnitsDepts!$A$4:$G$1500,2,FALSE),"none")</f>
        <v>none</v>
      </c>
      <c r="AC12" s="3" t="str">
        <f>IFERROR(VLOOKUP(D12,ProjAppSvc!$A$4:$G$1500,2,FALSE),"none")</f>
        <v>none</v>
      </c>
    </row>
    <row r="13" spans="1:29" x14ac:dyDescent="0.45">
      <c r="A13" s="14" t="s">
        <v>23</v>
      </c>
      <c r="B13" s="14"/>
      <c r="C13" s="14"/>
      <c r="D13" s="14"/>
      <c r="H13" s="8"/>
      <c r="I13" s="14"/>
      <c r="J13" s="3" t="str">
        <f t="shared" ref="J13:J76" si="2">IFERROR(Z13, "")</f>
        <v/>
      </c>
      <c r="K13" s="3" t="str">
        <f>IF(ISNUMBER(SEARCH("-",V13)),IFERROR(IF($H$2="Lower", LOWER(ComputeResourceName(Z13,#REF!,#REF!,G13,N13,O13,P13,Q13,S13,T13,V13,A13)), UPPER(ComputeResourceName(Z13,#REF!,#REF!,G13,N13,O13,P13,Q13,S13,T13,V13,A13))),""),SUBSTITUTE(IFERROR(IF($H$2="Lower", LOWER(ComputeResourceName(#REF!,#REF!,#REF!,G13,N13,O13,P13,Q13,S13,T13,V13,A13)), UPPER(ComputeResourceName(#REF!,#REF!,#REF!,G13,N13,O13,P13,Q13,S13,T13,V13,A13))),""), "-",""))</f>
        <v/>
      </c>
      <c r="L13" s="3" t="str">
        <f xml:space="preserve"> IF(K13="","",  IFERROR(VLOOKUP(I13,Resources!$B$1:$H$1503,5,FALSE)-LEN(K13),0))</f>
        <v/>
      </c>
      <c r="M13" s="3" t="str">
        <f>IF(K13="","",IFERROR(matches(K13,VLOOKUP(I13,Resources!$A$2:$AA$1503,16,FALSE)),FALSE))</f>
        <v/>
      </c>
      <c r="N13" s="3" t="e">
        <f>VLOOKUP(E13,Enviroments!$A$3:$D$59,1,FALSE)</f>
        <v>#N/A</v>
      </c>
      <c r="O13" s="3" t="e">
        <f>VLOOKUP(E13,Enviroments!$A$3:$D$59,2,FALSE)</f>
        <v>#N/A</v>
      </c>
      <c r="P13" s="3" t="e">
        <f>VLOOKUP(E13,Enviroments!$A$3:$D$59,3,FALSE)</f>
        <v>#N/A</v>
      </c>
      <c r="Q13" s="3" t="e">
        <f>VLOOKUP(E13,Enviroments!$A$3:$D$59,4,FALSE)</f>
        <v>#N/A</v>
      </c>
      <c r="R13" s="3" t="e">
        <f>VLOOKUP(H13,AzureRegions!$A$4:$B$1493,1,FALSE)</f>
        <v>#N/A</v>
      </c>
      <c r="S13" s="3" t="e">
        <f>VLOOKUP(H13,AzureRegions!$A$4:$B$1493,2,FALSE)</f>
        <v>#N/A</v>
      </c>
      <c r="T13" s="3" t="e">
        <f>VLOOKUP(H13,AzureRegions!$A$4:$C$1493,3,FALSE)</f>
        <v>#N/A</v>
      </c>
      <c r="U13" s="3" t="e">
        <f>VLOOKUP(I13,Resources!$A$2:$AA$1503,2,FALSE)</f>
        <v>#N/A</v>
      </c>
      <c r="V13" s="3" t="e">
        <f>VLOOKUP(I13,Resources!$A$2:$H$1503,6,FALSE)</f>
        <v>#N/A</v>
      </c>
      <c r="W13" s="3" t="str">
        <f>VLOOKUP($H$2,Casing!$A$4:$A$60,1,FALSE)</f>
        <v>Lower</v>
      </c>
      <c r="X13" s="14" t="str">
        <f t="shared" si="1"/>
        <v>001</v>
      </c>
      <c r="Y13" s="3" t="str">
        <f>IFERROR(VLOOKUP(F13,Func!$A$4:$G$1500,2,FALSE),"none")</f>
        <v>none</v>
      </c>
      <c r="Z13" s="3" t="e">
        <f>VLOOKUP(I13,Resources!$A$2:$AA$1503,18,FALSE)</f>
        <v>#N/A</v>
      </c>
      <c r="AA13" s="3" t="str">
        <f>IFERROR(VLOOKUP(B13,Orgs!$A$4:$G$1500,2,FALSE),"none")</f>
        <v>none</v>
      </c>
      <c r="AB13" s="3" t="str">
        <f>IFERROR(VLOOKUP(C13,UnitsDepts!$A$4:$G$1500,2,FALSE),"none")</f>
        <v>none</v>
      </c>
      <c r="AC13" s="3" t="str">
        <f>IFERROR(VLOOKUP(D13,ProjAppSvc!$A$4:$G$1500,2,FALSE),"none")</f>
        <v>none</v>
      </c>
    </row>
    <row r="14" spans="1:29" x14ac:dyDescent="0.45">
      <c r="A14" s="14" t="s">
        <v>23</v>
      </c>
      <c r="B14" s="14"/>
      <c r="C14" s="14"/>
      <c r="D14" s="14"/>
      <c r="H14" s="8"/>
      <c r="I14" s="3"/>
      <c r="J14" s="3" t="str">
        <f t="shared" si="2"/>
        <v/>
      </c>
      <c r="K14" s="3" t="str">
        <f>IF(ISNUMBER(SEARCH("-",V14)),IFERROR(IF($H$2="Lower", LOWER(ComputeResourceName(Z14,#REF!,#REF!,G14,N14,O14,P14,Q14,S14,T14,V14,A14)), UPPER(ComputeResourceName(Z14,#REF!,#REF!,G14,N14,O14,P14,Q14,S14,T14,V14,A14))),""),SUBSTITUTE(IFERROR(IF($H$2="Lower", LOWER(ComputeResourceName(#REF!,#REF!,#REF!,G14,N14,O14,P14,Q14,S14,T14,V14,A14)), UPPER(ComputeResourceName(#REF!,#REF!,#REF!,G14,N14,O14,P14,Q14,S14,T14,V14,A14))),""), "-",""))</f>
        <v/>
      </c>
      <c r="L14" s="3" t="str">
        <f xml:space="preserve"> IF(K14="","",  IFERROR(VLOOKUP(I14,Resources!$B$1:$H$1503,5,FALSE)-LEN(K14),0))</f>
        <v/>
      </c>
      <c r="M14" s="3" t="str">
        <f>IF(K14="","",IFERROR(matches(K14,VLOOKUP(I14,Resources!$A$2:$AA$1503,16,FALSE)),FALSE))</f>
        <v/>
      </c>
      <c r="N14" s="3" t="e">
        <f>VLOOKUP(E14,Enviroments!$A$3:$D$59,1,FALSE)</f>
        <v>#N/A</v>
      </c>
      <c r="O14" s="3" t="e">
        <f>VLOOKUP(E14,Enviroments!$A$3:$D$59,2,FALSE)</f>
        <v>#N/A</v>
      </c>
      <c r="P14" s="3" t="e">
        <f>VLOOKUP(E14,Enviroments!$A$3:$D$59,3,FALSE)</f>
        <v>#N/A</v>
      </c>
      <c r="Q14" s="3" t="e">
        <f>VLOOKUP(E14,Enviroments!$A$3:$D$59,4,FALSE)</f>
        <v>#N/A</v>
      </c>
      <c r="R14" s="3" t="e">
        <f>VLOOKUP(H14,AzureRegions!$A$4:$B$1493,1,FALSE)</f>
        <v>#N/A</v>
      </c>
      <c r="S14" s="3" t="e">
        <f>VLOOKUP(H14,AzureRegions!$A$4:$B$1493,2,FALSE)</f>
        <v>#N/A</v>
      </c>
      <c r="T14" s="3" t="e">
        <f>VLOOKUP(H14,AzureRegions!$A$4:$C$1493,3,FALSE)</f>
        <v>#N/A</v>
      </c>
      <c r="U14" s="3" t="e">
        <f>VLOOKUP(I14,Resources!$A$2:$AA$1503,2,FALSE)</f>
        <v>#N/A</v>
      </c>
      <c r="V14" s="3" t="e">
        <f>VLOOKUP(I14,Resources!$A$2:$H$1503,6,FALSE)</f>
        <v>#N/A</v>
      </c>
      <c r="W14" s="3" t="str">
        <f>VLOOKUP($H$2,Casing!$A$4:$A$60,1,FALSE)</f>
        <v>Lower</v>
      </c>
      <c r="X14" s="14" t="str">
        <f t="shared" si="1"/>
        <v>001</v>
      </c>
      <c r="Y14" s="3" t="str">
        <f>IFERROR(VLOOKUP(F14,Func!$A$4:$G$1500,2,FALSE),"none")</f>
        <v>none</v>
      </c>
      <c r="Z14" s="3" t="e">
        <f>VLOOKUP(I14,Resources!$A$2:$AA$1503,18,FALSE)</f>
        <v>#N/A</v>
      </c>
      <c r="AA14" s="3" t="str">
        <f>IFERROR(VLOOKUP(B14,Orgs!$A$4:$G$1500,2,FALSE),"none")</f>
        <v>none</v>
      </c>
      <c r="AB14" s="3" t="str">
        <f>IFERROR(VLOOKUP(C14,UnitsDepts!$A$4:$G$1500,2,FALSE),"none")</f>
        <v>none</v>
      </c>
      <c r="AC14" s="3" t="str">
        <f>IFERROR(VLOOKUP(D14,ProjAppSvc!$A$4:$G$1500,2,FALSE),"none")</f>
        <v>none</v>
      </c>
    </row>
    <row r="15" spans="1:29" x14ac:dyDescent="0.45">
      <c r="A15" s="14" t="s">
        <v>23</v>
      </c>
      <c r="B15" s="14"/>
      <c r="C15" s="14"/>
      <c r="D15" s="14"/>
      <c r="H15" s="8"/>
      <c r="I15" s="14"/>
      <c r="J15" s="3" t="str">
        <f t="shared" si="2"/>
        <v/>
      </c>
      <c r="K15" s="3" t="str">
        <f>IF(ISNUMBER(SEARCH("-",V15)),IFERROR(IF($H$2="Lower", LOWER(ComputeResourceName(Z15,#REF!,#REF!,G15,N15,O15,P15,Q15,S15,T15,V15,A15)), UPPER(ComputeResourceName(Z15,#REF!,#REF!,G15,N15,O15,P15,Q15,S15,T15,V15,A15))),""),SUBSTITUTE(IFERROR(IF($H$2="Lower", LOWER(ComputeResourceName(#REF!,#REF!,#REF!,G15,N15,O15,P15,Q15,S15,T15,V15,A15)), UPPER(ComputeResourceName(#REF!,#REF!,#REF!,G15,N15,O15,P15,Q15,S15,T15,V15,A15))),""), "-",""))</f>
        <v/>
      </c>
      <c r="L15" s="3" t="str">
        <f xml:space="preserve"> IF(K15="","",  IFERROR(VLOOKUP(I15,Resources!$B$1:$H$1503,5,FALSE)-LEN(K15),0))</f>
        <v/>
      </c>
      <c r="M15" s="3" t="str">
        <f>IF(K15="","",IFERROR(matches(K15,VLOOKUP(I15,Resources!$A$2:$AA$1503,16,FALSE)),FALSE))</f>
        <v/>
      </c>
      <c r="N15" s="3" t="e">
        <f>VLOOKUP(E15,Enviroments!$A$3:$D$59,1,FALSE)</f>
        <v>#N/A</v>
      </c>
      <c r="O15" s="3" t="e">
        <f>VLOOKUP(E15,Enviroments!$A$3:$D$59,2,FALSE)</f>
        <v>#N/A</v>
      </c>
      <c r="P15" s="3" t="e">
        <f>VLOOKUP(E15,Enviroments!$A$3:$D$59,3,FALSE)</f>
        <v>#N/A</v>
      </c>
      <c r="Q15" s="3" t="e">
        <f>VLOOKUP(E15,Enviroments!$A$3:$D$59,4,FALSE)</f>
        <v>#N/A</v>
      </c>
      <c r="R15" s="3" t="e">
        <f>VLOOKUP(H15,AzureRegions!$A$4:$B$1493,1,FALSE)</f>
        <v>#N/A</v>
      </c>
      <c r="S15" s="3" t="e">
        <f>VLOOKUP(H15,AzureRegions!$A$4:$B$1493,2,FALSE)</f>
        <v>#N/A</v>
      </c>
      <c r="T15" s="3" t="e">
        <f>VLOOKUP(H15,AzureRegions!$A$4:$C$1493,3,FALSE)</f>
        <v>#N/A</v>
      </c>
      <c r="U15" s="3" t="e">
        <f>VLOOKUP(I15,Resources!$A$2:$AA$1503,2,FALSE)</f>
        <v>#N/A</v>
      </c>
      <c r="V15" s="3" t="e">
        <f>VLOOKUP(I15,Resources!$A$2:$H$1503,6,FALSE)</f>
        <v>#N/A</v>
      </c>
      <c r="W15" s="3" t="str">
        <f>VLOOKUP($H$2,Casing!$A$4:$A$60,1,FALSE)</f>
        <v>Lower</v>
      </c>
      <c r="X15" s="14" t="str">
        <f t="shared" si="1"/>
        <v>001</v>
      </c>
      <c r="Y15" s="3" t="str">
        <f>IFERROR(VLOOKUP(F15,Func!$A$4:$G$1500,2,FALSE),"none")</f>
        <v>none</v>
      </c>
      <c r="Z15" s="3" t="e">
        <f>VLOOKUP(I15,Resources!$A$2:$AA$1503,18,FALSE)</f>
        <v>#N/A</v>
      </c>
      <c r="AA15" s="3" t="str">
        <f>IFERROR(VLOOKUP(B15,Orgs!$A$4:$G$1500,2,FALSE),"none")</f>
        <v>none</v>
      </c>
      <c r="AB15" s="3" t="str">
        <f>IFERROR(VLOOKUP(C15,UnitsDepts!$A$4:$G$1500,2,FALSE),"none")</f>
        <v>none</v>
      </c>
      <c r="AC15" s="3" t="str">
        <f>IFERROR(VLOOKUP(D15,ProjAppSvc!$A$4:$G$1500,2,FALSE),"none")</f>
        <v>none</v>
      </c>
    </row>
    <row r="16" spans="1:29" x14ac:dyDescent="0.45">
      <c r="A16" s="14" t="s">
        <v>23</v>
      </c>
      <c r="B16" s="14"/>
      <c r="C16" s="14"/>
      <c r="D16" s="14"/>
      <c r="H16" s="8"/>
      <c r="I16" s="3"/>
      <c r="J16" s="3" t="str">
        <f t="shared" si="2"/>
        <v/>
      </c>
      <c r="K16" s="3" t="str">
        <f>IF(ISNUMBER(SEARCH("-",V16)),IFERROR(IF($H$2="Lower", LOWER(ComputeResourceName(Z16,#REF!,#REF!,G16,N16,O16,P16,Q16,S16,T16,V16,A16)), UPPER(ComputeResourceName(Z16,#REF!,#REF!,G16,N16,O16,P16,Q16,S16,T16,V16,A16))),""),SUBSTITUTE(IFERROR(IF($H$2="Lower", LOWER(ComputeResourceName(#REF!,#REF!,#REF!,G16,N16,O16,P16,Q16,S16,T16,V16,A16)), UPPER(ComputeResourceName(#REF!,#REF!,#REF!,G16,N16,O16,P16,Q16,S16,T16,V16,A16))),""), "-",""))</f>
        <v/>
      </c>
      <c r="L16" s="3" t="str">
        <f xml:space="preserve"> IF(K16="","",  IFERROR(VLOOKUP(I16,Resources!$B$1:$H$1503,5,FALSE)-LEN(K16),0))</f>
        <v/>
      </c>
      <c r="M16" s="3" t="str">
        <f>IF(K16="","",IFERROR(matches(K16,VLOOKUP(I16,Resources!$A$2:$AA$1503,16,FALSE)),FALSE))</f>
        <v/>
      </c>
      <c r="N16" s="3" t="e">
        <f>VLOOKUP(E16,Enviroments!$A$3:$D$59,1,FALSE)</f>
        <v>#N/A</v>
      </c>
      <c r="O16" s="3" t="e">
        <f>VLOOKUP(E16,Enviroments!$A$3:$D$59,2,FALSE)</f>
        <v>#N/A</v>
      </c>
      <c r="P16" s="3" t="e">
        <f>VLOOKUP(E16,Enviroments!$A$3:$D$59,3,FALSE)</f>
        <v>#N/A</v>
      </c>
      <c r="Q16" s="3" t="e">
        <f>VLOOKUP(E16,Enviroments!$A$3:$D$59,4,FALSE)</f>
        <v>#N/A</v>
      </c>
      <c r="R16" s="3" t="e">
        <f>VLOOKUP(H16,AzureRegions!$A$4:$B$1493,1,FALSE)</f>
        <v>#N/A</v>
      </c>
      <c r="S16" s="3" t="e">
        <f>VLOOKUP(H16,AzureRegions!$A$4:$B$1493,2,FALSE)</f>
        <v>#N/A</v>
      </c>
      <c r="T16" s="3" t="e">
        <f>VLOOKUP(H16,AzureRegions!$A$4:$C$1493,3,FALSE)</f>
        <v>#N/A</v>
      </c>
      <c r="U16" s="3" t="e">
        <f>VLOOKUP(I16,Resources!$A$2:$AA$1503,2,FALSE)</f>
        <v>#N/A</v>
      </c>
      <c r="V16" s="3" t="e">
        <f>VLOOKUP(I16,Resources!$A$2:$H$1503,6,FALSE)</f>
        <v>#N/A</v>
      </c>
      <c r="W16" s="3" t="str">
        <f>VLOOKUP($H$2,Casing!$A$4:$A$60,1,FALSE)</f>
        <v>Lower</v>
      </c>
      <c r="X16" s="14" t="str">
        <f t="shared" si="1"/>
        <v>001</v>
      </c>
      <c r="Y16" s="3" t="str">
        <f>IFERROR(VLOOKUP(F16,Func!$A$4:$G$1500,2,FALSE),"none")</f>
        <v>none</v>
      </c>
      <c r="Z16" s="3" t="e">
        <f>VLOOKUP(I16,Resources!$A$2:$AA$1503,18,FALSE)</f>
        <v>#N/A</v>
      </c>
      <c r="AA16" s="3" t="str">
        <f>IFERROR(VLOOKUP(B16,Orgs!$A$4:$G$1500,2,FALSE),"none")</f>
        <v>none</v>
      </c>
      <c r="AB16" s="3" t="str">
        <f>IFERROR(VLOOKUP(C16,UnitsDepts!$A$4:$G$1500,2,FALSE),"none")</f>
        <v>none</v>
      </c>
      <c r="AC16" s="3" t="str">
        <f>IFERROR(VLOOKUP(D16,ProjAppSvc!$A$4:$G$1500,2,FALSE),"none")</f>
        <v>none</v>
      </c>
    </row>
    <row r="17" spans="1:29" x14ac:dyDescent="0.45">
      <c r="A17" s="14" t="s">
        <v>23</v>
      </c>
      <c r="B17" s="14"/>
      <c r="C17" s="14"/>
      <c r="D17" s="14"/>
      <c r="H17" s="8"/>
      <c r="I17" s="3"/>
      <c r="J17" s="3" t="str">
        <f t="shared" si="2"/>
        <v/>
      </c>
      <c r="K17" s="3" t="str">
        <f>IF(ISNUMBER(SEARCH("-",V17)),IFERROR(IF($H$2="Lower", LOWER(ComputeResourceName(Z17,#REF!,#REF!,G17,N17,O17,P17,Q17,S17,T17,V17,A17)), UPPER(ComputeResourceName(Z17,#REF!,#REF!,G17,N17,O17,P17,Q17,S17,T17,V17,A17))),""),SUBSTITUTE(IFERROR(IF($H$2="Lower", LOWER(ComputeResourceName(#REF!,#REF!,#REF!,G17,N17,O17,P17,Q17,S17,T17,V17,A17)), UPPER(ComputeResourceName(#REF!,#REF!,#REF!,G17,N17,O17,P17,Q17,S17,T17,V17,A17))),""), "-",""))</f>
        <v/>
      </c>
      <c r="L17" s="3" t="str">
        <f xml:space="preserve"> IF(K17="","",  IFERROR(VLOOKUP(I17,Resources!$B$1:$H$1503,5,FALSE)-LEN(K17),0))</f>
        <v/>
      </c>
      <c r="M17" s="3" t="str">
        <f>IF(K17="","",IFERROR(matches(K17,VLOOKUP(I17,Resources!$A$2:$AA$1503,16,FALSE)),FALSE))</f>
        <v/>
      </c>
      <c r="N17" s="3" t="e">
        <f>VLOOKUP(E17,Enviroments!$A$3:$D$59,1,FALSE)</f>
        <v>#N/A</v>
      </c>
      <c r="O17" s="3" t="e">
        <f>VLOOKUP(E17,Enviroments!$A$3:$D$59,2,FALSE)</f>
        <v>#N/A</v>
      </c>
      <c r="P17" s="3" t="e">
        <f>VLOOKUP(E17,Enviroments!$A$3:$D$59,3,FALSE)</f>
        <v>#N/A</v>
      </c>
      <c r="Q17" s="3" t="e">
        <f>VLOOKUP(E17,Enviroments!$A$3:$D$59,4,FALSE)</f>
        <v>#N/A</v>
      </c>
      <c r="R17" s="3" t="e">
        <f>VLOOKUP(H17,AzureRegions!$A$4:$B$1493,1,FALSE)</f>
        <v>#N/A</v>
      </c>
      <c r="S17" s="3" t="e">
        <f>VLOOKUP(H17,AzureRegions!$A$4:$B$1493,2,FALSE)</f>
        <v>#N/A</v>
      </c>
      <c r="T17" s="3" t="e">
        <f>VLOOKUP(H17,AzureRegions!$A$4:$C$1493,3,FALSE)</f>
        <v>#N/A</v>
      </c>
      <c r="U17" s="3" t="e">
        <f>VLOOKUP(I17,Resources!$A$2:$AA$1503,2,FALSE)</f>
        <v>#N/A</v>
      </c>
      <c r="V17" s="3" t="e">
        <f>VLOOKUP(I17,Resources!$A$2:$H$1503,6,FALSE)</f>
        <v>#N/A</v>
      </c>
      <c r="W17" s="3" t="str">
        <f>VLOOKUP($H$2,Casing!$A$4:$A$60,1,FALSE)</f>
        <v>Lower</v>
      </c>
      <c r="X17" s="14" t="str">
        <f t="shared" si="1"/>
        <v>001</v>
      </c>
      <c r="Y17" s="3" t="str">
        <f>IFERROR(VLOOKUP(F17,Func!$A$4:$G$1500,2,FALSE),"none")</f>
        <v>none</v>
      </c>
      <c r="Z17" s="3" t="e">
        <f>VLOOKUP(I17,Resources!$A$2:$AA$1503,18,FALSE)</f>
        <v>#N/A</v>
      </c>
      <c r="AA17" s="3" t="str">
        <f>IFERROR(VLOOKUP(B17,Orgs!$A$4:$G$1500,2,FALSE),"none")</f>
        <v>none</v>
      </c>
      <c r="AB17" s="3" t="str">
        <f>IFERROR(VLOOKUP(C17,UnitsDepts!$A$4:$G$1500,2,FALSE),"none")</f>
        <v>none</v>
      </c>
      <c r="AC17" s="3" t="str">
        <f>IFERROR(VLOOKUP(D17,ProjAppSvc!$A$4:$G$1500,2,FALSE),"none")</f>
        <v>none</v>
      </c>
    </row>
    <row r="18" spans="1:29" x14ac:dyDescent="0.45">
      <c r="A18" s="14" t="s">
        <v>23</v>
      </c>
      <c r="B18" s="14"/>
      <c r="C18" s="14"/>
      <c r="D18" s="14"/>
      <c r="H18" s="8"/>
      <c r="I18" s="3"/>
      <c r="J18" s="3" t="str">
        <f t="shared" si="2"/>
        <v/>
      </c>
      <c r="K18" s="3" t="str">
        <f>IF(ISNUMBER(SEARCH("-",V18)),IFERROR(IF($H$2="Lower", LOWER(ComputeResourceName(Z18,#REF!,#REF!,G18,N18,O18,P18,Q18,S18,T18,V18,A18)), UPPER(ComputeResourceName(Z18,#REF!,#REF!,G18,N18,O18,P18,Q18,S18,T18,V18,A18))),""),SUBSTITUTE(IFERROR(IF($H$2="Lower", LOWER(ComputeResourceName(#REF!,#REF!,#REF!,G18,N18,O18,P18,Q18,S18,T18,V18,A18)), UPPER(ComputeResourceName(#REF!,#REF!,#REF!,G18,N18,O18,P18,Q18,S18,T18,V18,A18))),""), "-",""))</f>
        <v/>
      </c>
      <c r="L18" s="3" t="str">
        <f xml:space="preserve"> IF(K18="","",  IFERROR(VLOOKUP(I18,Resources!$B$1:$H$1503,5,FALSE)-LEN(K18),0))</f>
        <v/>
      </c>
      <c r="M18" s="3" t="str">
        <f>IF(K18="","",IFERROR(matches(K18,VLOOKUP(I18,Resources!$A$2:$AA$1503,16,FALSE)),FALSE))</f>
        <v/>
      </c>
      <c r="N18" s="3" t="e">
        <f>VLOOKUP(E18,Enviroments!$A$3:$D$59,1,FALSE)</f>
        <v>#N/A</v>
      </c>
      <c r="O18" s="3" t="e">
        <f>VLOOKUP(E18,Enviroments!$A$3:$D$59,2,FALSE)</f>
        <v>#N/A</v>
      </c>
      <c r="P18" s="3" t="e">
        <f>VLOOKUP(E18,Enviroments!$A$3:$D$59,3,FALSE)</f>
        <v>#N/A</v>
      </c>
      <c r="Q18" s="3" t="e">
        <f>VLOOKUP(E18,Enviroments!$A$3:$D$59,4,FALSE)</f>
        <v>#N/A</v>
      </c>
      <c r="R18" s="3" t="e">
        <f>VLOOKUP(H18,AzureRegions!$A$4:$B$1493,1,FALSE)</f>
        <v>#N/A</v>
      </c>
      <c r="S18" s="3" t="e">
        <f>VLOOKUP(H18,AzureRegions!$A$4:$B$1493,2,FALSE)</f>
        <v>#N/A</v>
      </c>
      <c r="T18" s="3" t="e">
        <f>VLOOKUP(H18,AzureRegions!$A$4:$C$1493,3,FALSE)</f>
        <v>#N/A</v>
      </c>
      <c r="U18" s="3" t="e">
        <f>VLOOKUP(I18,Resources!$A$2:$AA$1503,2,FALSE)</f>
        <v>#N/A</v>
      </c>
      <c r="V18" s="3" t="e">
        <f>VLOOKUP(I18,Resources!$A$2:$H$1503,6,FALSE)</f>
        <v>#N/A</v>
      </c>
      <c r="W18" s="3" t="str">
        <f>VLOOKUP($H$2,Casing!$A$4:$A$60,1,FALSE)</f>
        <v>Lower</v>
      </c>
      <c r="X18" s="14" t="str">
        <f t="shared" si="1"/>
        <v>001</v>
      </c>
      <c r="Y18" s="3" t="str">
        <f>IFERROR(VLOOKUP(F18,Func!$A$4:$G$1500,2,FALSE),"none")</f>
        <v>none</v>
      </c>
      <c r="Z18" s="3" t="e">
        <f>VLOOKUP(I18,Resources!$A$2:$AA$1503,18,FALSE)</f>
        <v>#N/A</v>
      </c>
      <c r="AA18" s="3" t="str">
        <f>IFERROR(VLOOKUP(B18,Orgs!$A$4:$G$1500,2,FALSE),"none")</f>
        <v>none</v>
      </c>
      <c r="AB18" s="3" t="str">
        <f>IFERROR(VLOOKUP(C18,UnitsDepts!$A$4:$G$1500,2,FALSE),"none")</f>
        <v>none</v>
      </c>
      <c r="AC18" s="3" t="str">
        <f>IFERROR(VLOOKUP(D18,ProjAppSvc!$A$4:$G$1500,2,FALSE),"none")</f>
        <v>none</v>
      </c>
    </row>
    <row r="19" spans="1:29" x14ac:dyDescent="0.45">
      <c r="A19" s="14" t="s">
        <v>23</v>
      </c>
      <c r="B19" s="14"/>
      <c r="C19" s="14"/>
      <c r="D19" s="14"/>
      <c r="H19" s="8"/>
      <c r="I19" s="3"/>
      <c r="J19" s="3" t="str">
        <f t="shared" si="2"/>
        <v/>
      </c>
      <c r="K19" s="3" t="str">
        <f>IF(ISNUMBER(SEARCH("-",V19)),IFERROR(IF($H$2="Lower", LOWER(ComputeResourceName(Z19,#REF!,#REF!,G19,N19,O19,P19,Q19,S19,T19,V19,A19)), UPPER(ComputeResourceName(Z19,#REF!,#REF!,G19,N19,O19,P19,Q19,S19,T19,V19,A19))),""),SUBSTITUTE(IFERROR(IF($H$2="Lower", LOWER(ComputeResourceName(#REF!,#REF!,#REF!,G19,N19,O19,P19,Q19,S19,T19,V19,A19)), UPPER(ComputeResourceName(#REF!,#REF!,#REF!,G19,N19,O19,P19,Q19,S19,T19,V19,A19))),""), "-",""))</f>
        <v/>
      </c>
      <c r="L19" s="3" t="str">
        <f xml:space="preserve"> IF(K19="","",  IFERROR(VLOOKUP(I19,Resources!$B$1:$H$1503,5,FALSE)-LEN(K19),0))</f>
        <v/>
      </c>
      <c r="M19" s="3" t="str">
        <f>IF(K19="","",IFERROR(matches(K19,VLOOKUP(I19,Resources!$A$2:$AA$1503,16,FALSE)),FALSE))</f>
        <v/>
      </c>
      <c r="N19" s="3" t="e">
        <f>VLOOKUP(E19,Enviroments!$A$3:$D$59,1,FALSE)</f>
        <v>#N/A</v>
      </c>
      <c r="O19" s="3" t="e">
        <f>VLOOKUP(E19,Enviroments!$A$3:$D$59,2,FALSE)</f>
        <v>#N/A</v>
      </c>
      <c r="P19" s="3" t="e">
        <f>VLOOKUP(E19,Enviroments!$A$3:$D$59,3,FALSE)</f>
        <v>#N/A</v>
      </c>
      <c r="Q19" s="3" t="e">
        <f>VLOOKUP(E19,Enviroments!$A$3:$D$59,4,FALSE)</f>
        <v>#N/A</v>
      </c>
      <c r="R19" s="3" t="e">
        <f>VLOOKUP(H19,AzureRegions!$A$4:$B$1493,1,FALSE)</f>
        <v>#N/A</v>
      </c>
      <c r="S19" s="3" t="e">
        <f>VLOOKUP(H19,AzureRegions!$A$4:$B$1493,2,FALSE)</f>
        <v>#N/A</v>
      </c>
      <c r="T19" s="3" t="e">
        <f>VLOOKUP(H19,AzureRegions!$A$4:$C$1493,3,FALSE)</f>
        <v>#N/A</v>
      </c>
      <c r="U19" s="3" t="e">
        <f>VLOOKUP(I19,Resources!$A$2:$AA$1503,2,FALSE)</f>
        <v>#N/A</v>
      </c>
      <c r="V19" s="3" t="e">
        <f>VLOOKUP(I19,Resources!$A$2:$H$1503,6,FALSE)</f>
        <v>#N/A</v>
      </c>
      <c r="W19" s="3" t="str">
        <f>VLOOKUP($H$2,Casing!$A$4:$A$60,1,FALSE)</f>
        <v>Lower</v>
      </c>
      <c r="X19" s="14" t="str">
        <f t="shared" si="1"/>
        <v>001</v>
      </c>
      <c r="Y19" s="3" t="str">
        <f>IFERROR(VLOOKUP(F19,Func!$A$4:$G$1500,2,FALSE),"none")</f>
        <v>none</v>
      </c>
      <c r="Z19" s="3" t="e">
        <f>VLOOKUP(I19,Resources!$A$2:$AA$1503,18,FALSE)</f>
        <v>#N/A</v>
      </c>
      <c r="AA19" s="3" t="str">
        <f>IFERROR(VLOOKUP(B19,Orgs!$A$4:$G$1500,2,FALSE),"none")</f>
        <v>none</v>
      </c>
      <c r="AB19" s="3" t="str">
        <f>IFERROR(VLOOKUP(C19,UnitsDepts!$A$4:$G$1500,2,FALSE),"none")</f>
        <v>none</v>
      </c>
      <c r="AC19" s="3" t="str">
        <f>IFERROR(VLOOKUP(D19,ProjAppSvc!$A$4:$G$1500,2,FALSE),"none")</f>
        <v>none</v>
      </c>
    </row>
    <row r="20" spans="1:29" x14ac:dyDescent="0.45">
      <c r="A20" s="14" t="s">
        <v>23</v>
      </c>
      <c r="B20" s="14"/>
      <c r="C20" s="14"/>
      <c r="D20" s="14"/>
      <c r="H20" s="8"/>
      <c r="I20" s="3"/>
      <c r="J20" s="3" t="str">
        <f t="shared" si="2"/>
        <v/>
      </c>
      <c r="K20" s="3" t="str">
        <f>IF(ISNUMBER(SEARCH("-",V20)),IFERROR(IF($H$2="Lower", LOWER(ComputeResourceName(Z20,#REF!,#REF!,G20,N20,O20,P20,Q20,S20,T20,V20,A20)), UPPER(ComputeResourceName(Z20,#REF!,#REF!,G20,N20,O20,P20,Q20,S20,T20,V20,A20))),""),SUBSTITUTE(IFERROR(IF($H$2="Lower", LOWER(ComputeResourceName(#REF!,#REF!,#REF!,G20,N20,O20,P20,Q20,S20,T20,V20,A20)), UPPER(ComputeResourceName(#REF!,#REF!,#REF!,G20,N20,O20,P20,Q20,S20,T20,V20,A20))),""), "-",""))</f>
        <v/>
      </c>
      <c r="L20" s="3" t="str">
        <f xml:space="preserve"> IF(K20="","",  IFERROR(VLOOKUP(I20,Resources!$B$1:$H$1503,5,FALSE)-LEN(K20),0))</f>
        <v/>
      </c>
      <c r="M20" s="3" t="str">
        <f>IF(K20="","",IFERROR(matches(K20,VLOOKUP(I20,Resources!$A$2:$AA$1503,16,FALSE)),FALSE))</f>
        <v/>
      </c>
      <c r="N20" s="3" t="e">
        <f>VLOOKUP(E20,Enviroments!$A$3:$D$59,1,FALSE)</f>
        <v>#N/A</v>
      </c>
      <c r="O20" s="3" t="e">
        <f>VLOOKUP(E20,Enviroments!$A$3:$D$59,2,FALSE)</f>
        <v>#N/A</v>
      </c>
      <c r="P20" s="3" t="e">
        <f>VLOOKUP(E20,Enviroments!$A$3:$D$59,3,FALSE)</f>
        <v>#N/A</v>
      </c>
      <c r="Q20" s="3" t="e">
        <f>VLOOKUP(E20,Enviroments!$A$3:$D$59,4,FALSE)</f>
        <v>#N/A</v>
      </c>
      <c r="R20" s="3" t="e">
        <f>VLOOKUP(H20,AzureRegions!$A$4:$B$1493,1,FALSE)</f>
        <v>#N/A</v>
      </c>
      <c r="S20" s="3" t="e">
        <f>VLOOKUP(H20,AzureRegions!$A$4:$B$1493,2,FALSE)</f>
        <v>#N/A</v>
      </c>
      <c r="T20" s="3" t="e">
        <f>VLOOKUP(H20,AzureRegions!$A$4:$C$1493,3,FALSE)</f>
        <v>#N/A</v>
      </c>
      <c r="U20" s="3" t="e">
        <f>VLOOKUP(I20,Resources!$A$2:$AA$1503,2,FALSE)</f>
        <v>#N/A</v>
      </c>
      <c r="V20" s="3" t="e">
        <f>VLOOKUP(I20,Resources!$A$2:$H$1503,6,FALSE)</f>
        <v>#N/A</v>
      </c>
      <c r="W20" s="3" t="str">
        <f>VLOOKUP($H$2,Casing!$A$4:$A$60,1,FALSE)</f>
        <v>Lower</v>
      </c>
      <c r="X20" s="14" t="str">
        <f t="shared" si="1"/>
        <v>001</v>
      </c>
      <c r="Y20" s="3" t="str">
        <f>IFERROR(VLOOKUP(F20,Func!$A$4:$G$1500,2,FALSE),"none")</f>
        <v>none</v>
      </c>
      <c r="Z20" s="3" t="e">
        <f>VLOOKUP(I20,Resources!$A$2:$AA$1503,18,FALSE)</f>
        <v>#N/A</v>
      </c>
      <c r="AA20" s="3" t="str">
        <f>IFERROR(VLOOKUP(B20,Orgs!$A$4:$G$1500,2,FALSE),"none")</f>
        <v>none</v>
      </c>
      <c r="AB20" s="3" t="str">
        <f>IFERROR(VLOOKUP(C20,UnitsDepts!$A$4:$G$1500,2,FALSE),"none")</f>
        <v>none</v>
      </c>
      <c r="AC20" s="3" t="str">
        <f>IFERROR(VLOOKUP(D20,ProjAppSvc!$A$4:$G$1500,2,FALSE),"none")</f>
        <v>none</v>
      </c>
    </row>
    <row r="21" spans="1:29" x14ac:dyDescent="0.45">
      <c r="A21" s="14" t="s">
        <v>23</v>
      </c>
      <c r="B21" s="14"/>
      <c r="C21" s="14"/>
      <c r="D21" s="14"/>
      <c r="H21" s="8"/>
      <c r="I21" s="3"/>
      <c r="J21" s="3" t="str">
        <f t="shared" si="2"/>
        <v/>
      </c>
      <c r="K21" s="3" t="str">
        <f>IF(ISNUMBER(SEARCH("-",V21)),IFERROR(IF($H$2="Lower", LOWER(ComputeResourceName(Z21,#REF!,#REF!,G21,N21,O21,P21,Q21,S21,T21,V21,A21)), UPPER(ComputeResourceName(Z21,#REF!,#REF!,G21,N21,O21,P21,Q21,S21,T21,V21,A21))),""),SUBSTITUTE(IFERROR(IF($H$2="Lower", LOWER(ComputeResourceName(#REF!,#REF!,#REF!,G21,N21,O21,P21,Q21,S21,T21,V21,A21)), UPPER(ComputeResourceName(#REF!,#REF!,#REF!,G21,N21,O21,P21,Q21,S21,T21,V21,A21))),""), "-",""))</f>
        <v/>
      </c>
      <c r="L21" s="3" t="str">
        <f xml:space="preserve"> IF(K21="","",  IFERROR(VLOOKUP(I21,Resources!$B$1:$H$1503,5,FALSE)-LEN(K21),0))</f>
        <v/>
      </c>
      <c r="M21" s="3" t="str">
        <f>IF(K21="","",IFERROR(matches(K21,VLOOKUP(I21,Resources!$A$2:$AA$1503,16,FALSE)),FALSE))</f>
        <v/>
      </c>
      <c r="N21" s="3" t="e">
        <f>VLOOKUP(E21,Enviroments!$A$3:$D$59,1,FALSE)</f>
        <v>#N/A</v>
      </c>
      <c r="O21" s="3" t="e">
        <f>VLOOKUP(E21,Enviroments!$A$3:$D$59,2,FALSE)</f>
        <v>#N/A</v>
      </c>
      <c r="P21" s="3" t="e">
        <f>VLOOKUP(E21,Enviroments!$A$3:$D$59,3,FALSE)</f>
        <v>#N/A</v>
      </c>
      <c r="Q21" s="3" t="e">
        <f>VLOOKUP(E21,Enviroments!$A$3:$D$59,4,FALSE)</f>
        <v>#N/A</v>
      </c>
      <c r="R21" s="3" t="e">
        <f>VLOOKUP(H21,AzureRegions!$A$4:$B$1493,1,FALSE)</f>
        <v>#N/A</v>
      </c>
      <c r="S21" s="3" t="e">
        <f>VLOOKUP(H21,AzureRegions!$A$4:$B$1493,2,FALSE)</f>
        <v>#N/A</v>
      </c>
      <c r="T21" s="3" t="e">
        <f>VLOOKUP(H21,AzureRegions!$A$4:$C$1493,3,FALSE)</f>
        <v>#N/A</v>
      </c>
      <c r="U21" s="3" t="e">
        <f>VLOOKUP(I21,Resources!$A$2:$AA$1503,2,FALSE)</f>
        <v>#N/A</v>
      </c>
      <c r="V21" s="3" t="e">
        <f>VLOOKUP(I21,Resources!$A$2:$H$1503,6,FALSE)</f>
        <v>#N/A</v>
      </c>
      <c r="W21" s="3" t="str">
        <f>VLOOKUP($H$2,Casing!$A$4:$A$60,1,FALSE)</f>
        <v>Lower</v>
      </c>
      <c r="X21" s="14" t="str">
        <f t="shared" si="1"/>
        <v>001</v>
      </c>
      <c r="Y21" s="3" t="str">
        <f>IFERROR(VLOOKUP(F21,Func!$A$4:$G$1500,2,FALSE),"none")</f>
        <v>none</v>
      </c>
      <c r="Z21" s="3" t="e">
        <f>VLOOKUP(I21,Resources!$A$2:$AA$1503,18,FALSE)</f>
        <v>#N/A</v>
      </c>
      <c r="AA21" s="3" t="str">
        <f>IFERROR(VLOOKUP(B21,Orgs!$A$4:$G$1500,2,FALSE),"none")</f>
        <v>none</v>
      </c>
      <c r="AB21" s="3" t="str">
        <f>IFERROR(VLOOKUP(C21,UnitsDepts!$A$4:$G$1500,2,FALSE),"none")</f>
        <v>none</v>
      </c>
      <c r="AC21" s="3" t="str">
        <f>IFERROR(VLOOKUP(D21,ProjAppSvc!$A$4:$G$1500,2,FALSE),"none")</f>
        <v>none</v>
      </c>
    </row>
    <row r="22" spans="1:29" x14ac:dyDescent="0.45">
      <c r="A22" s="14" t="s">
        <v>23</v>
      </c>
      <c r="B22" s="14"/>
      <c r="C22" s="14"/>
      <c r="D22" s="14"/>
      <c r="H22" s="8"/>
      <c r="I22" s="3"/>
      <c r="J22" s="3" t="str">
        <f t="shared" si="2"/>
        <v/>
      </c>
      <c r="K22" s="3" t="str">
        <f>IF(ISNUMBER(SEARCH("-",V22)),IFERROR(IF($H$2="Lower", LOWER(ComputeResourceName(Z22,#REF!,#REF!,G22,N22,O22,P22,Q22,S22,T22,V22,A22)), UPPER(ComputeResourceName(Z22,#REF!,#REF!,G22,N22,O22,P22,Q22,S22,T22,V22,A22))),""),SUBSTITUTE(IFERROR(IF($H$2="Lower", LOWER(ComputeResourceName(#REF!,#REF!,#REF!,G22,N22,O22,P22,Q22,S22,T22,V22,A22)), UPPER(ComputeResourceName(#REF!,#REF!,#REF!,G22,N22,O22,P22,Q22,S22,T22,V22,A22))),""), "-",""))</f>
        <v/>
      </c>
      <c r="L22" s="3" t="str">
        <f xml:space="preserve"> IF(K22="","",  IFERROR(VLOOKUP(I22,Resources!$B$1:$H$1503,5,FALSE)-LEN(K22),0))</f>
        <v/>
      </c>
      <c r="M22" s="3" t="str">
        <f>IF(K22="","",IFERROR(matches(K22,VLOOKUP(I22,Resources!$A$2:$AA$1503,16,FALSE)),FALSE))</f>
        <v/>
      </c>
      <c r="N22" s="3" t="e">
        <f>VLOOKUP(E22,Enviroments!$A$3:$D$59,1,FALSE)</f>
        <v>#N/A</v>
      </c>
      <c r="O22" s="3" t="e">
        <f>VLOOKUP(E22,Enviroments!$A$3:$D$59,2,FALSE)</f>
        <v>#N/A</v>
      </c>
      <c r="P22" s="3" t="e">
        <f>VLOOKUP(E22,Enviroments!$A$3:$D$59,3,FALSE)</f>
        <v>#N/A</v>
      </c>
      <c r="Q22" s="3" t="e">
        <f>VLOOKUP(E22,Enviroments!$A$3:$D$59,4,FALSE)</f>
        <v>#N/A</v>
      </c>
      <c r="R22" s="3" t="e">
        <f>VLOOKUP(H22,AzureRegions!$A$4:$B$1493,1,FALSE)</f>
        <v>#N/A</v>
      </c>
      <c r="S22" s="3" t="e">
        <f>VLOOKUP(H22,AzureRegions!$A$4:$B$1493,2,FALSE)</f>
        <v>#N/A</v>
      </c>
      <c r="T22" s="3" t="e">
        <f>VLOOKUP(H22,AzureRegions!$A$4:$C$1493,3,FALSE)</f>
        <v>#N/A</v>
      </c>
      <c r="U22" s="3" t="e">
        <f>VLOOKUP(I22,Resources!$A$2:$AA$1503,2,FALSE)</f>
        <v>#N/A</v>
      </c>
      <c r="V22" s="3" t="e">
        <f>VLOOKUP(I22,Resources!$A$2:$H$1503,6,FALSE)</f>
        <v>#N/A</v>
      </c>
      <c r="W22" s="3" t="str">
        <f>VLOOKUP($H$2,Casing!$A$4:$A$60,1,FALSE)</f>
        <v>Lower</v>
      </c>
      <c r="X22" s="14" t="str">
        <f t="shared" si="1"/>
        <v>001</v>
      </c>
      <c r="Y22" s="3" t="str">
        <f>IFERROR(VLOOKUP(F22,Func!$A$4:$G$1500,2,FALSE),"none")</f>
        <v>none</v>
      </c>
      <c r="Z22" s="3" t="e">
        <f>VLOOKUP(I22,Resources!$A$2:$AA$1503,18,FALSE)</f>
        <v>#N/A</v>
      </c>
      <c r="AA22" s="3" t="str">
        <f>IFERROR(VLOOKUP(B22,Orgs!$A$4:$G$1500,2,FALSE),"none")</f>
        <v>none</v>
      </c>
      <c r="AB22" s="3" t="str">
        <f>IFERROR(VLOOKUP(C22,UnitsDepts!$A$4:$G$1500,2,FALSE),"none")</f>
        <v>none</v>
      </c>
      <c r="AC22" s="3" t="str">
        <f>IFERROR(VLOOKUP(D22,ProjAppSvc!$A$4:$G$1500,2,FALSE),"none")</f>
        <v>none</v>
      </c>
    </row>
    <row r="23" spans="1:29" x14ac:dyDescent="0.45">
      <c r="A23" s="14" t="s">
        <v>23</v>
      </c>
      <c r="B23" s="14"/>
      <c r="C23" s="14"/>
      <c r="D23" s="14"/>
      <c r="H23" s="8"/>
      <c r="I23" s="3"/>
      <c r="J23" s="3" t="str">
        <f t="shared" si="2"/>
        <v/>
      </c>
      <c r="K23" s="3" t="str">
        <f>IF(ISNUMBER(SEARCH("-",V23)),IFERROR(IF($H$2="Lower", LOWER(ComputeResourceName(Z23,#REF!,#REF!,G23,N23,O23,P23,Q23,S23,T23,V23,A23)), UPPER(ComputeResourceName(Z23,#REF!,#REF!,G23,N23,O23,P23,Q23,S23,T23,V23,A23))),""),SUBSTITUTE(IFERROR(IF($H$2="Lower", LOWER(ComputeResourceName(#REF!,#REF!,#REF!,G23,N23,O23,P23,Q23,S23,T23,V23,A23)), UPPER(ComputeResourceName(#REF!,#REF!,#REF!,G23,N23,O23,P23,Q23,S23,T23,V23,A23))),""), "-",""))</f>
        <v/>
      </c>
      <c r="L23" s="3" t="str">
        <f xml:space="preserve"> IF(K23="","",  IFERROR(VLOOKUP(I23,Resources!$B$1:$H$1503,5,FALSE)-LEN(K23),0))</f>
        <v/>
      </c>
      <c r="M23" s="3" t="str">
        <f>IF(K23="","",IFERROR(matches(K23,VLOOKUP(I23,Resources!$A$2:$AA$1503,16,FALSE)),FALSE))</f>
        <v/>
      </c>
      <c r="N23" s="3" t="e">
        <f>VLOOKUP(E23,Enviroments!$A$3:$D$59,1,FALSE)</f>
        <v>#N/A</v>
      </c>
      <c r="O23" s="3" t="e">
        <f>VLOOKUP(E23,Enviroments!$A$3:$D$59,2,FALSE)</f>
        <v>#N/A</v>
      </c>
      <c r="P23" s="3" t="e">
        <f>VLOOKUP(E23,Enviroments!$A$3:$D$59,3,FALSE)</f>
        <v>#N/A</v>
      </c>
      <c r="Q23" s="3" t="e">
        <f>VLOOKUP(E23,Enviroments!$A$3:$D$59,4,FALSE)</f>
        <v>#N/A</v>
      </c>
      <c r="R23" s="3" t="e">
        <f>VLOOKUP(H23,AzureRegions!$A$4:$B$1493,1,FALSE)</f>
        <v>#N/A</v>
      </c>
      <c r="S23" s="3" t="e">
        <f>VLOOKUP(H23,AzureRegions!$A$4:$B$1493,2,FALSE)</f>
        <v>#N/A</v>
      </c>
      <c r="T23" s="3" t="e">
        <f>VLOOKUP(H23,AzureRegions!$A$4:$C$1493,3,FALSE)</f>
        <v>#N/A</v>
      </c>
      <c r="U23" s="3" t="e">
        <f>VLOOKUP(I23,Resources!$A$2:$AA$1503,2,FALSE)</f>
        <v>#N/A</v>
      </c>
      <c r="V23" s="3" t="e">
        <f>VLOOKUP(I23,Resources!$A$2:$H$1503,6,FALSE)</f>
        <v>#N/A</v>
      </c>
      <c r="W23" s="3" t="str">
        <f>VLOOKUP($H$2,Casing!$A$4:$A$60,1,FALSE)</f>
        <v>Lower</v>
      </c>
      <c r="X23" s="14" t="str">
        <f t="shared" si="1"/>
        <v>001</v>
      </c>
      <c r="Y23" s="3" t="str">
        <f>IFERROR(VLOOKUP(F23,Func!$A$4:$G$1500,2,FALSE),"none")</f>
        <v>none</v>
      </c>
      <c r="Z23" s="3" t="e">
        <f>VLOOKUP(I23,Resources!$A$2:$AA$1503,18,FALSE)</f>
        <v>#N/A</v>
      </c>
      <c r="AA23" s="3" t="str">
        <f>IFERROR(VLOOKUP(B23,Orgs!$A$4:$G$1500,2,FALSE),"none")</f>
        <v>none</v>
      </c>
      <c r="AB23" s="3" t="str">
        <f>IFERROR(VLOOKUP(C23,UnitsDepts!$A$4:$G$1500,2,FALSE),"none")</f>
        <v>none</v>
      </c>
      <c r="AC23" s="3" t="str">
        <f>IFERROR(VLOOKUP(D23,ProjAppSvc!$A$4:$G$1500,2,FALSE),"none")</f>
        <v>none</v>
      </c>
    </row>
    <row r="24" spans="1:29" x14ac:dyDescent="0.45">
      <c r="A24" s="14" t="s">
        <v>23</v>
      </c>
      <c r="B24" s="14"/>
      <c r="C24" s="14"/>
      <c r="D24" s="14"/>
      <c r="H24" s="8"/>
      <c r="I24" s="3"/>
      <c r="J24" s="3" t="str">
        <f t="shared" si="2"/>
        <v/>
      </c>
      <c r="K24" s="3" t="str">
        <f>IF(ISNUMBER(SEARCH("-",V24)),IFERROR(IF($H$2="Lower", LOWER(ComputeResourceName(Z24,#REF!,#REF!,G24,N24,O24,P24,Q24,S24,T24,V24,A24)), UPPER(ComputeResourceName(Z24,#REF!,#REF!,G24,N24,O24,P24,Q24,S24,T24,V24,A24))),""),SUBSTITUTE(IFERROR(IF($H$2="Lower", LOWER(ComputeResourceName(#REF!,#REF!,#REF!,G24,N24,O24,P24,Q24,S24,T24,V24,A24)), UPPER(ComputeResourceName(#REF!,#REF!,#REF!,G24,N24,O24,P24,Q24,S24,T24,V24,A24))),""), "-",""))</f>
        <v/>
      </c>
      <c r="L24" s="3" t="str">
        <f xml:space="preserve"> IF(K24="","",  IFERROR(VLOOKUP(I24,Resources!$B$1:$H$1503,5,FALSE)-LEN(K24),0))</f>
        <v/>
      </c>
      <c r="M24" s="3" t="str">
        <f>IF(K24="","",IFERROR(matches(K24,VLOOKUP(I24,Resources!$A$2:$AA$1503,16,FALSE)),FALSE))</f>
        <v/>
      </c>
      <c r="N24" s="3" t="e">
        <f>VLOOKUP(E24,Enviroments!$A$3:$D$59,1,FALSE)</f>
        <v>#N/A</v>
      </c>
      <c r="O24" s="3" t="e">
        <f>VLOOKUP(E24,Enviroments!$A$3:$D$59,2,FALSE)</f>
        <v>#N/A</v>
      </c>
      <c r="P24" s="3" t="e">
        <f>VLOOKUP(E24,Enviroments!$A$3:$D$59,3,FALSE)</f>
        <v>#N/A</v>
      </c>
      <c r="Q24" s="3" t="e">
        <f>VLOOKUP(E24,Enviroments!$A$3:$D$59,4,FALSE)</f>
        <v>#N/A</v>
      </c>
      <c r="R24" s="3" t="e">
        <f>VLOOKUP(H24,AzureRegions!$A$4:$B$1493,1,FALSE)</f>
        <v>#N/A</v>
      </c>
      <c r="S24" s="3" t="e">
        <f>VLOOKUP(H24,AzureRegions!$A$4:$B$1493,2,FALSE)</f>
        <v>#N/A</v>
      </c>
      <c r="T24" s="3" t="e">
        <f>VLOOKUP(H24,AzureRegions!$A$4:$C$1493,3,FALSE)</f>
        <v>#N/A</v>
      </c>
      <c r="U24" s="3" t="e">
        <f>VLOOKUP(I24,Resources!$A$2:$AA$1503,2,FALSE)</f>
        <v>#N/A</v>
      </c>
      <c r="V24" s="3" t="e">
        <f>VLOOKUP(I24,Resources!$A$2:$H$1503,6,FALSE)</f>
        <v>#N/A</v>
      </c>
      <c r="W24" s="3" t="str">
        <f>VLOOKUP($H$2,Casing!$A$4:$A$60,1,FALSE)</f>
        <v>Lower</v>
      </c>
      <c r="X24" s="14" t="str">
        <f t="shared" si="1"/>
        <v>001</v>
      </c>
      <c r="Y24" s="3" t="str">
        <f>IFERROR(VLOOKUP(F24,Func!$A$4:$G$1500,2,FALSE),"none")</f>
        <v>none</v>
      </c>
      <c r="Z24" s="3" t="e">
        <f>VLOOKUP(I24,Resources!$A$2:$AA$1503,18,FALSE)</f>
        <v>#N/A</v>
      </c>
      <c r="AA24" s="3" t="str">
        <f>IFERROR(VLOOKUP(B24,Orgs!$A$4:$G$1500,2,FALSE),"none")</f>
        <v>none</v>
      </c>
      <c r="AB24" s="3" t="str">
        <f>IFERROR(VLOOKUP(C24,UnitsDepts!$A$4:$G$1500,2,FALSE),"none")</f>
        <v>none</v>
      </c>
      <c r="AC24" s="3" t="str">
        <f>IFERROR(VLOOKUP(D24,ProjAppSvc!$A$4:$G$1500,2,FALSE),"none")</f>
        <v>none</v>
      </c>
    </row>
    <row r="25" spans="1:29" x14ac:dyDescent="0.45">
      <c r="A25" s="14" t="s">
        <v>23</v>
      </c>
      <c r="B25" s="14"/>
      <c r="C25" s="14"/>
      <c r="D25" s="14"/>
      <c r="H25" s="8"/>
      <c r="I25" s="3"/>
      <c r="J25" s="3" t="str">
        <f t="shared" si="2"/>
        <v/>
      </c>
      <c r="K25" s="3" t="str">
        <f>IF(ISNUMBER(SEARCH("-",V25)),IFERROR(IF($H$2="Lower", LOWER(ComputeResourceName(Z25,#REF!,#REF!,G25,N25,O25,P25,Q25,S25,T25,V25,A25)), UPPER(ComputeResourceName(Z25,#REF!,#REF!,G25,N25,O25,P25,Q25,S25,T25,V25,A25))),""),SUBSTITUTE(IFERROR(IF($H$2="Lower", LOWER(ComputeResourceName(#REF!,#REF!,#REF!,G25,N25,O25,P25,Q25,S25,T25,V25,A25)), UPPER(ComputeResourceName(#REF!,#REF!,#REF!,G25,N25,O25,P25,Q25,S25,T25,V25,A25))),""), "-",""))</f>
        <v/>
      </c>
      <c r="L25" s="3" t="str">
        <f xml:space="preserve"> IF(K25="","",  IFERROR(VLOOKUP(I25,Resources!$B$1:$H$1503,5,FALSE)-LEN(K25),0))</f>
        <v/>
      </c>
      <c r="M25" s="3" t="str">
        <f>IF(K25="","",IFERROR(matches(K25,VLOOKUP(I25,Resources!$A$2:$AA$1503,16,FALSE)),FALSE))</f>
        <v/>
      </c>
      <c r="N25" s="3" t="e">
        <f>VLOOKUP(E25,Enviroments!$A$3:$D$59,1,FALSE)</f>
        <v>#N/A</v>
      </c>
      <c r="O25" s="3" t="e">
        <f>VLOOKUP(E25,Enviroments!$A$3:$D$59,2,FALSE)</f>
        <v>#N/A</v>
      </c>
      <c r="P25" s="3" t="e">
        <f>VLOOKUP(E25,Enviroments!$A$3:$D$59,3,FALSE)</f>
        <v>#N/A</v>
      </c>
      <c r="Q25" s="3" t="e">
        <f>VLOOKUP(E25,Enviroments!$A$3:$D$59,4,FALSE)</f>
        <v>#N/A</v>
      </c>
      <c r="R25" s="3" t="e">
        <f>VLOOKUP(H25,AzureRegions!$A$4:$B$1493,1,FALSE)</f>
        <v>#N/A</v>
      </c>
      <c r="S25" s="3" t="e">
        <f>VLOOKUP(H25,AzureRegions!$A$4:$B$1493,2,FALSE)</f>
        <v>#N/A</v>
      </c>
      <c r="T25" s="3" t="e">
        <f>VLOOKUP(H25,AzureRegions!$A$4:$C$1493,3,FALSE)</f>
        <v>#N/A</v>
      </c>
      <c r="U25" s="3" t="e">
        <f>VLOOKUP(I25,Resources!$A$2:$AA$1503,2,FALSE)</f>
        <v>#N/A</v>
      </c>
      <c r="V25" s="3" t="e">
        <f>VLOOKUP(I25,Resources!$A$2:$H$1503,6,FALSE)</f>
        <v>#N/A</v>
      </c>
      <c r="W25" s="3" t="str">
        <f>VLOOKUP($H$2,Casing!$A$4:$A$60,1,FALSE)</f>
        <v>Lower</v>
      </c>
      <c r="X25" s="14" t="str">
        <f t="shared" si="1"/>
        <v>001</v>
      </c>
      <c r="Y25" s="3" t="str">
        <f>IFERROR(VLOOKUP(F25,Func!$A$4:$G$1500,2,FALSE),"none")</f>
        <v>none</v>
      </c>
      <c r="Z25" s="3" t="e">
        <f>VLOOKUP(I25,Resources!$A$2:$AA$1503,18,FALSE)</f>
        <v>#N/A</v>
      </c>
      <c r="AA25" s="3" t="str">
        <f>IFERROR(VLOOKUP(B25,Orgs!$A$4:$G$1500,2,FALSE),"none")</f>
        <v>none</v>
      </c>
      <c r="AB25" s="3" t="str">
        <f>IFERROR(VLOOKUP(C25,UnitsDepts!$A$4:$G$1500,2,FALSE),"none")</f>
        <v>none</v>
      </c>
      <c r="AC25" s="3" t="str">
        <f>IFERROR(VLOOKUP(D25,ProjAppSvc!$A$4:$G$1500,2,FALSE),"none")</f>
        <v>none</v>
      </c>
    </row>
    <row r="26" spans="1:29" x14ac:dyDescent="0.45">
      <c r="A26" s="14" t="s">
        <v>23</v>
      </c>
      <c r="B26" s="14"/>
      <c r="C26" s="14"/>
      <c r="D26" s="14"/>
      <c r="H26" s="8"/>
      <c r="I26" s="3"/>
      <c r="J26" s="3" t="str">
        <f t="shared" si="2"/>
        <v/>
      </c>
      <c r="K26" s="3" t="str">
        <f>IF(ISNUMBER(SEARCH("-",V26)),IFERROR(IF($H$2="Lower", LOWER(ComputeResourceName(Z26,#REF!,#REF!,G26,N26,O26,P26,Q26,S26,T26,V26,A26)), UPPER(ComputeResourceName(Z26,#REF!,#REF!,G26,N26,O26,P26,Q26,S26,T26,V26,A26))),""),SUBSTITUTE(IFERROR(IF($H$2="Lower", LOWER(ComputeResourceName(#REF!,#REF!,#REF!,G26,N26,O26,P26,Q26,S26,T26,V26,A26)), UPPER(ComputeResourceName(#REF!,#REF!,#REF!,G26,N26,O26,P26,Q26,S26,T26,V26,A26))),""), "-",""))</f>
        <v/>
      </c>
      <c r="L26" s="3" t="str">
        <f xml:space="preserve"> IF(K26="","",  IFERROR(VLOOKUP(I26,Resources!$B$1:$H$1503,5,FALSE)-LEN(K26),0))</f>
        <v/>
      </c>
      <c r="M26" s="3" t="str">
        <f>IF(K26="","",IFERROR(matches(K26,VLOOKUP(I26,Resources!$A$2:$AA$1503,16,FALSE)),FALSE))</f>
        <v/>
      </c>
      <c r="N26" s="3" t="e">
        <f>VLOOKUP(E26,Enviroments!$A$3:$D$59,1,FALSE)</f>
        <v>#N/A</v>
      </c>
      <c r="O26" s="3" t="e">
        <f>VLOOKUP(E26,Enviroments!$A$3:$D$59,2,FALSE)</f>
        <v>#N/A</v>
      </c>
      <c r="P26" s="3" t="e">
        <f>VLOOKUP(E26,Enviroments!$A$3:$D$59,3,FALSE)</f>
        <v>#N/A</v>
      </c>
      <c r="Q26" s="3" t="e">
        <f>VLOOKUP(E26,Enviroments!$A$3:$D$59,4,FALSE)</f>
        <v>#N/A</v>
      </c>
      <c r="R26" s="3" t="e">
        <f>VLOOKUP(H26,AzureRegions!$A$4:$B$1493,1,FALSE)</f>
        <v>#N/A</v>
      </c>
      <c r="S26" s="3" t="e">
        <f>VLOOKUP(H26,AzureRegions!$A$4:$B$1493,2,FALSE)</f>
        <v>#N/A</v>
      </c>
      <c r="T26" s="3" t="e">
        <f>VLOOKUP(H26,AzureRegions!$A$4:$C$1493,3,FALSE)</f>
        <v>#N/A</v>
      </c>
      <c r="U26" s="3" t="e">
        <f>VLOOKUP(I26,Resources!$A$2:$AA$1503,2,FALSE)</f>
        <v>#N/A</v>
      </c>
      <c r="V26" s="3" t="e">
        <f>VLOOKUP(I26,Resources!$A$2:$H$1503,6,FALSE)</f>
        <v>#N/A</v>
      </c>
      <c r="W26" s="3" t="str">
        <f>VLOOKUP($H$2,Casing!$A$4:$A$60,1,FALSE)</f>
        <v>Lower</v>
      </c>
      <c r="X26" s="14" t="str">
        <f t="shared" si="1"/>
        <v>001</v>
      </c>
      <c r="Y26" s="3" t="str">
        <f>IFERROR(VLOOKUP(F26,Func!$A$4:$G$1500,2,FALSE),"none")</f>
        <v>none</v>
      </c>
      <c r="Z26" s="3" t="e">
        <f>VLOOKUP(I26,Resources!$A$2:$AA$1503,18,FALSE)</f>
        <v>#N/A</v>
      </c>
      <c r="AA26" s="3" t="str">
        <f>IFERROR(VLOOKUP(B26,Orgs!$A$4:$G$1500,2,FALSE),"none")</f>
        <v>none</v>
      </c>
      <c r="AB26" s="3" t="str">
        <f>IFERROR(VLOOKUP(C26,UnitsDepts!$A$4:$G$1500,2,FALSE),"none")</f>
        <v>none</v>
      </c>
      <c r="AC26" s="3" t="str">
        <f>IFERROR(VLOOKUP(D26,ProjAppSvc!$A$4:$G$1500,2,FALSE),"none")</f>
        <v>none</v>
      </c>
    </row>
    <row r="27" spans="1:29" x14ac:dyDescent="0.45">
      <c r="A27" s="14" t="s">
        <v>23</v>
      </c>
      <c r="B27" s="14"/>
      <c r="C27" s="14"/>
      <c r="D27" s="14"/>
      <c r="H27" s="8"/>
      <c r="I27" s="3"/>
      <c r="J27" s="3" t="str">
        <f t="shared" si="2"/>
        <v/>
      </c>
      <c r="K27" s="3" t="str">
        <f>IF(ISNUMBER(SEARCH("-",V27)),IFERROR(IF($H$2="Lower", LOWER(ComputeResourceName(Z27,#REF!,#REF!,G27,N27,O27,P27,Q27,S27,T27,V27,A27)), UPPER(ComputeResourceName(Z27,#REF!,#REF!,G27,N27,O27,P27,Q27,S27,T27,V27,A27))),""),SUBSTITUTE(IFERROR(IF($H$2="Lower", LOWER(ComputeResourceName(#REF!,#REF!,#REF!,G27,N27,O27,P27,Q27,S27,T27,V27,A27)), UPPER(ComputeResourceName(#REF!,#REF!,#REF!,G27,N27,O27,P27,Q27,S27,T27,V27,A27))),""), "-",""))</f>
        <v/>
      </c>
      <c r="L27" s="3" t="str">
        <f xml:space="preserve"> IF(K27="","",  IFERROR(VLOOKUP(I27,Resources!$B$1:$H$1503,5,FALSE)-LEN(K27),0))</f>
        <v/>
      </c>
      <c r="M27" s="3" t="str">
        <f>IF(K27="","",IFERROR(matches(K27,VLOOKUP(I27,Resources!$A$2:$AA$1503,16,FALSE)),FALSE))</f>
        <v/>
      </c>
      <c r="N27" s="3" t="e">
        <f>VLOOKUP(E27,Enviroments!$A$3:$D$59,1,FALSE)</f>
        <v>#N/A</v>
      </c>
      <c r="O27" s="3" t="e">
        <f>VLOOKUP(E27,Enviroments!$A$3:$D$59,2,FALSE)</f>
        <v>#N/A</v>
      </c>
      <c r="P27" s="3" t="e">
        <f>VLOOKUP(E27,Enviroments!$A$3:$D$59,3,FALSE)</f>
        <v>#N/A</v>
      </c>
      <c r="Q27" s="3" t="e">
        <f>VLOOKUP(E27,Enviroments!$A$3:$D$59,4,FALSE)</f>
        <v>#N/A</v>
      </c>
      <c r="R27" s="3" t="e">
        <f>VLOOKUP(H27,AzureRegions!$A$4:$B$1493,1,FALSE)</f>
        <v>#N/A</v>
      </c>
      <c r="S27" s="3" t="e">
        <f>VLOOKUP(H27,AzureRegions!$A$4:$B$1493,2,FALSE)</f>
        <v>#N/A</v>
      </c>
      <c r="T27" s="3" t="e">
        <f>VLOOKUP(H27,AzureRegions!$A$4:$C$1493,3,FALSE)</f>
        <v>#N/A</v>
      </c>
      <c r="U27" s="3" t="e">
        <f>VLOOKUP(I27,Resources!$A$2:$AA$1503,2,FALSE)</f>
        <v>#N/A</v>
      </c>
      <c r="V27" s="3" t="e">
        <f>VLOOKUP(I27,Resources!$A$2:$H$1503,6,FALSE)</f>
        <v>#N/A</v>
      </c>
      <c r="W27" s="3" t="str">
        <f>VLOOKUP($H$2,Casing!$A$4:$A$60,1,FALSE)</f>
        <v>Lower</v>
      </c>
      <c r="X27" s="14" t="str">
        <f t="shared" si="1"/>
        <v>001</v>
      </c>
      <c r="Y27" s="3" t="str">
        <f>IFERROR(VLOOKUP(F27,Func!$A$4:$G$1500,2,FALSE),"none")</f>
        <v>none</v>
      </c>
      <c r="Z27" s="3" t="e">
        <f>VLOOKUP(I27,Resources!$A$2:$AA$1503,18,FALSE)</f>
        <v>#N/A</v>
      </c>
      <c r="AA27" s="3" t="str">
        <f>IFERROR(VLOOKUP(B27,Orgs!$A$4:$G$1500,2,FALSE),"none")</f>
        <v>none</v>
      </c>
      <c r="AB27" s="3" t="str">
        <f>IFERROR(VLOOKUP(C27,UnitsDepts!$A$4:$G$1500,2,FALSE),"none")</f>
        <v>none</v>
      </c>
      <c r="AC27" s="3" t="str">
        <f>IFERROR(VLOOKUP(D27,ProjAppSvc!$A$4:$G$1500,2,FALSE),"none")</f>
        <v>none</v>
      </c>
    </row>
    <row r="28" spans="1:29" x14ac:dyDescent="0.45">
      <c r="A28" s="14" t="s">
        <v>23</v>
      </c>
      <c r="B28" s="14"/>
      <c r="C28" s="14"/>
      <c r="D28" s="14"/>
      <c r="H28" s="8"/>
      <c r="I28" s="3"/>
      <c r="J28" s="3" t="str">
        <f t="shared" si="2"/>
        <v/>
      </c>
      <c r="K28" s="3" t="str">
        <f>IF(ISNUMBER(SEARCH("-",V28)),IFERROR(IF($H$2="Lower", LOWER(ComputeResourceName(Z28,#REF!,#REF!,G28,N28,O28,P28,Q28,S28,T28,V28,A28)), UPPER(ComputeResourceName(Z28,#REF!,#REF!,G28,N28,O28,P28,Q28,S28,T28,V28,A28))),""),SUBSTITUTE(IFERROR(IF($H$2="Lower", LOWER(ComputeResourceName(#REF!,#REF!,#REF!,G28,N28,O28,P28,Q28,S28,T28,V28,A28)), UPPER(ComputeResourceName(#REF!,#REF!,#REF!,G28,N28,O28,P28,Q28,S28,T28,V28,A28))),""), "-",""))</f>
        <v/>
      </c>
      <c r="L28" s="3" t="str">
        <f xml:space="preserve"> IF(K28="","",  IFERROR(VLOOKUP(I28,Resources!$B$1:$H$1503,5,FALSE)-LEN(K28),0))</f>
        <v/>
      </c>
      <c r="M28" s="3" t="str">
        <f>IF(K28="","",IFERROR(matches(K28,VLOOKUP(I28,Resources!$A$2:$AA$1503,16,FALSE)),FALSE))</f>
        <v/>
      </c>
      <c r="N28" s="3" t="e">
        <f>VLOOKUP(E28,Enviroments!$A$3:$D$59,1,FALSE)</f>
        <v>#N/A</v>
      </c>
      <c r="O28" s="3" t="e">
        <f>VLOOKUP(E28,Enviroments!$A$3:$D$59,2,FALSE)</f>
        <v>#N/A</v>
      </c>
      <c r="P28" s="3" t="e">
        <f>VLOOKUP(E28,Enviroments!$A$3:$D$59,3,FALSE)</f>
        <v>#N/A</v>
      </c>
      <c r="Q28" s="3" t="e">
        <f>VLOOKUP(E28,Enviroments!$A$3:$D$59,4,FALSE)</f>
        <v>#N/A</v>
      </c>
      <c r="R28" s="3" t="e">
        <f>VLOOKUP(H28,AzureRegions!$A$4:$B$1493,1,FALSE)</f>
        <v>#N/A</v>
      </c>
      <c r="S28" s="3" t="e">
        <f>VLOOKUP(H28,AzureRegions!$A$4:$B$1493,2,FALSE)</f>
        <v>#N/A</v>
      </c>
      <c r="T28" s="3" t="e">
        <f>VLOOKUP(H28,AzureRegions!$A$4:$C$1493,3,FALSE)</f>
        <v>#N/A</v>
      </c>
      <c r="U28" s="3" t="e">
        <f>VLOOKUP(I28,Resources!$A$2:$AA$1503,2,FALSE)</f>
        <v>#N/A</v>
      </c>
      <c r="V28" s="3" t="e">
        <f>VLOOKUP(I28,Resources!$A$2:$H$1503,6,FALSE)</f>
        <v>#N/A</v>
      </c>
      <c r="W28" s="3" t="str">
        <f>VLOOKUP($H$2,Casing!$A$4:$A$60,1,FALSE)</f>
        <v>Lower</v>
      </c>
      <c r="X28" s="14" t="str">
        <f t="shared" si="1"/>
        <v>001</v>
      </c>
      <c r="Y28" s="3" t="str">
        <f>IFERROR(VLOOKUP(F28,Func!$A$4:$G$1500,2,FALSE),"none")</f>
        <v>none</v>
      </c>
      <c r="Z28" s="3" t="e">
        <f>VLOOKUP(I28,Resources!$A$2:$AA$1503,18,FALSE)</f>
        <v>#N/A</v>
      </c>
      <c r="AA28" s="3" t="str">
        <f>IFERROR(VLOOKUP(B28,Orgs!$A$4:$G$1500,2,FALSE),"none")</f>
        <v>none</v>
      </c>
      <c r="AB28" s="3" t="str">
        <f>IFERROR(VLOOKUP(C28,UnitsDepts!$A$4:$G$1500,2,FALSE),"none")</f>
        <v>none</v>
      </c>
      <c r="AC28" s="3" t="str">
        <f>IFERROR(VLOOKUP(D28,ProjAppSvc!$A$4:$G$1500,2,FALSE),"none")</f>
        <v>none</v>
      </c>
    </row>
    <row r="29" spans="1:29" x14ac:dyDescent="0.45">
      <c r="A29" s="14" t="s">
        <v>23</v>
      </c>
      <c r="B29" s="14"/>
      <c r="C29" s="14"/>
      <c r="D29" s="14"/>
      <c r="H29" s="8"/>
      <c r="I29" s="3"/>
      <c r="J29" s="3" t="str">
        <f t="shared" si="2"/>
        <v/>
      </c>
      <c r="K29" s="3" t="str">
        <f>IF(ISNUMBER(SEARCH("-",V29)),IFERROR(IF($H$2="Lower", LOWER(ComputeResourceName(Z29,#REF!,#REF!,G29,N29,O29,P29,Q29,S29,T29,V29,A29)), UPPER(ComputeResourceName(Z29,#REF!,#REF!,G29,N29,O29,P29,Q29,S29,T29,V29,A29))),""),SUBSTITUTE(IFERROR(IF($H$2="Lower", LOWER(ComputeResourceName(#REF!,#REF!,#REF!,G29,N29,O29,P29,Q29,S29,T29,V29,A29)), UPPER(ComputeResourceName(#REF!,#REF!,#REF!,G29,N29,O29,P29,Q29,S29,T29,V29,A29))),""), "-",""))</f>
        <v/>
      </c>
      <c r="L29" s="3" t="str">
        <f xml:space="preserve"> IF(K29="","",  IFERROR(VLOOKUP(I29,Resources!$B$1:$H$1503,5,FALSE)-LEN(K29),0))</f>
        <v/>
      </c>
      <c r="M29" s="3" t="str">
        <f>IF(K29="","",IFERROR(matches(K29,VLOOKUP(I29,Resources!$A$2:$AA$1503,16,FALSE)),FALSE))</f>
        <v/>
      </c>
      <c r="N29" s="3" t="e">
        <f>VLOOKUP(E29,Enviroments!$A$3:$D$59,1,FALSE)</f>
        <v>#N/A</v>
      </c>
      <c r="O29" s="3" t="e">
        <f>VLOOKUP(E29,Enviroments!$A$3:$D$59,2,FALSE)</f>
        <v>#N/A</v>
      </c>
      <c r="P29" s="3" t="e">
        <f>VLOOKUP(E29,Enviroments!$A$3:$D$59,3,FALSE)</f>
        <v>#N/A</v>
      </c>
      <c r="Q29" s="3" t="e">
        <f>VLOOKUP(E29,Enviroments!$A$3:$D$59,4,FALSE)</f>
        <v>#N/A</v>
      </c>
      <c r="R29" s="3" t="e">
        <f>VLOOKUP(H29,AzureRegions!$A$4:$B$1493,1,FALSE)</f>
        <v>#N/A</v>
      </c>
      <c r="S29" s="3" t="e">
        <f>VLOOKUP(H29,AzureRegions!$A$4:$B$1493,2,FALSE)</f>
        <v>#N/A</v>
      </c>
      <c r="T29" s="3" t="e">
        <f>VLOOKUP(H29,AzureRegions!$A$4:$C$1493,3,FALSE)</f>
        <v>#N/A</v>
      </c>
      <c r="U29" s="3" t="e">
        <f>VLOOKUP(I29,Resources!$A$2:$AA$1503,2,FALSE)</f>
        <v>#N/A</v>
      </c>
      <c r="V29" s="3" t="e">
        <f>VLOOKUP(I29,Resources!$A$2:$H$1503,6,FALSE)</f>
        <v>#N/A</v>
      </c>
      <c r="W29" s="3" t="str">
        <f>VLOOKUP($H$2,Casing!$A$4:$A$60,1,FALSE)</f>
        <v>Lower</v>
      </c>
      <c r="X29" s="14" t="str">
        <f t="shared" si="1"/>
        <v>001</v>
      </c>
      <c r="Y29" s="3" t="str">
        <f>IFERROR(VLOOKUP(F29,Func!$A$4:$G$1500,2,FALSE),"none")</f>
        <v>none</v>
      </c>
      <c r="Z29" s="3" t="e">
        <f>VLOOKUP(I29,Resources!$A$2:$AA$1503,18,FALSE)</f>
        <v>#N/A</v>
      </c>
      <c r="AA29" s="3" t="str">
        <f>IFERROR(VLOOKUP(B29,Orgs!$A$4:$G$1500,2,FALSE),"none")</f>
        <v>none</v>
      </c>
      <c r="AB29" s="3" t="str">
        <f>IFERROR(VLOOKUP(C29,UnitsDepts!$A$4:$G$1500,2,FALSE),"none")</f>
        <v>none</v>
      </c>
      <c r="AC29" s="3" t="str">
        <f>IFERROR(VLOOKUP(D29,ProjAppSvc!$A$4:$G$1500,2,FALSE),"none")</f>
        <v>none</v>
      </c>
    </row>
    <row r="30" spans="1:29" x14ac:dyDescent="0.45">
      <c r="A30" s="14" t="s">
        <v>23</v>
      </c>
      <c r="B30" s="14"/>
      <c r="C30" s="14"/>
      <c r="D30" s="14"/>
      <c r="H30" s="8"/>
      <c r="I30" s="3"/>
      <c r="J30" s="3" t="str">
        <f t="shared" si="2"/>
        <v/>
      </c>
      <c r="K30" s="3" t="str">
        <f>IF(ISNUMBER(SEARCH("-",V30)),IFERROR(IF($H$2="Lower", LOWER(ComputeResourceName(Z30,#REF!,#REF!,G30,N30,O30,P30,Q30,S30,T30,V30,A30)), UPPER(ComputeResourceName(Z30,#REF!,#REF!,G30,N30,O30,P30,Q30,S30,T30,V30,A30))),""),SUBSTITUTE(IFERROR(IF($H$2="Lower", LOWER(ComputeResourceName(#REF!,#REF!,#REF!,G30,N30,O30,P30,Q30,S30,T30,V30,A30)), UPPER(ComputeResourceName(#REF!,#REF!,#REF!,G30,N30,O30,P30,Q30,S30,T30,V30,A30))),""), "-",""))</f>
        <v/>
      </c>
      <c r="L30" s="3" t="str">
        <f xml:space="preserve"> IF(K30="","",  IFERROR(VLOOKUP(I30,Resources!$B$1:$H$1503,5,FALSE)-LEN(K30),0))</f>
        <v/>
      </c>
      <c r="M30" s="3" t="str">
        <f>IF(K30="","",IFERROR(matches(K30,VLOOKUP(I30,Resources!$A$2:$AA$1503,16,FALSE)),FALSE))</f>
        <v/>
      </c>
      <c r="N30" s="3" t="e">
        <f>VLOOKUP(E30,Enviroments!$A$3:$D$59,1,FALSE)</f>
        <v>#N/A</v>
      </c>
      <c r="O30" s="3" t="e">
        <f>VLOOKUP(E30,Enviroments!$A$3:$D$59,2,FALSE)</f>
        <v>#N/A</v>
      </c>
      <c r="P30" s="3" t="e">
        <f>VLOOKUP(E30,Enviroments!$A$3:$D$59,3,FALSE)</f>
        <v>#N/A</v>
      </c>
      <c r="Q30" s="3" t="e">
        <f>VLOOKUP(E30,Enviroments!$A$3:$D$59,4,FALSE)</f>
        <v>#N/A</v>
      </c>
      <c r="R30" s="3" t="e">
        <f>VLOOKUP(H30,AzureRegions!$A$4:$B$1493,1,FALSE)</f>
        <v>#N/A</v>
      </c>
      <c r="S30" s="3" t="e">
        <f>VLOOKUP(H30,AzureRegions!$A$4:$B$1493,2,FALSE)</f>
        <v>#N/A</v>
      </c>
      <c r="T30" s="3" t="e">
        <f>VLOOKUP(H30,AzureRegions!$A$4:$C$1493,3,FALSE)</f>
        <v>#N/A</v>
      </c>
      <c r="U30" s="3" t="e">
        <f>VLOOKUP(I30,Resources!$A$2:$AA$1503,2,FALSE)</f>
        <v>#N/A</v>
      </c>
      <c r="V30" s="3" t="e">
        <f>VLOOKUP(I30,Resources!$A$2:$H$1503,6,FALSE)</f>
        <v>#N/A</v>
      </c>
      <c r="W30" s="3" t="str">
        <f>VLOOKUP($H$2,Casing!$A$4:$A$60,1,FALSE)</f>
        <v>Lower</v>
      </c>
      <c r="X30" s="14" t="str">
        <f t="shared" si="1"/>
        <v>001</v>
      </c>
      <c r="Y30" s="3" t="str">
        <f>IFERROR(VLOOKUP(F30,Func!$A$4:$G$1500,2,FALSE),"none")</f>
        <v>none</v>
      </c>
      <c r="Z30" s="3" t="e">
        <f>VLOOKUP(I30,Resources!$A$2:$AA$1503,18,FALSE)</f>
        <v>#N/A</v>
      </c>
      <c r="AA30" s="3" t="str">
        <f>IFERROR(VLOOKUP(B30,Orgs!$A$4:$G$1500,2,FALSE),"none")</f>
        <v>none</v>
      </c>
      <c r="AB30" s="3" t="str">
        <f>IFERROR(VLOOKUP(C30,UnitsDepts!$A$4:$G$1500,2,FALSE),"none")</f>
        <v>none</v>
      </c>
      <c r="AC30" s="3" t="str">
        <f>IFERROR(VLOOKUP(D30,ProjAppSvc!$A$4:$G$1500,2,FALSE),"none")</f>
        <v>none</v>
      </c>
    </row>
    <row r="31" spans="1:29" x14ac:dyDescent="0.45">
      <c r="A31" s="14" t="s">
        <v>23</v>
      </c>
      <c r="B31" s="14"/>
      <c r="C31" s="14"/>
      <c r="D31" s="14"/>
      <c r="H31" s="8"/>
      <c r="I31" s="3"/>
      <c r="J31" s="3" t="str">
        <f t="shared" si="2"/>
        <v/>
      </c>
      <c r="K31" s="3" t="str">
        <f>IF(ISNUMBER(SEARCH("-",V31)),IFERROR(IF($H$2="Lower", LOWER(ComputeResourceName(Z31,#REF!,#REF!,G31,N31,O31,P31,Q31,S31,T31,V31,A31)), UPPER(ComputeResourceName(Z31,#REF!,#REF!,G31,N31,O31,P31,Q31,S31,T31,V31,A31))),""),SUBSTITUTE(IFERROR(IF($H$2="Lower", LOWER(ComputeResourceName(#REF!,#REF!,#REF!,G31,N31,O31,P31,Q31,S31,T31,V31,A31)), UPPER(ComputeResourceName(#REF!,#REF!,#REF!,G31,N31,O31,P31,Q31,S31,T31,V31,A31))),""), "-",""))</f>
        <v/>
      </c>
      <c r="L31" s="3" t="str">
        <f xml:space="preserve"> IF(K31="","",  IFERROR(VLOOKUP(I31,Resources!$B$1:$H$1503,5,FALSE)-LEN(K31),0))</f>
        <v/>
      </c>
      <c r="M31" s="3" t="str">
        <f>IF(K31="","",IFERROR(matches(K31,VLOOKUP(I31,Resources!$A$2:$AA$1503,16,FALSE)),FALSE))</f>
        <v/>
      </c>
      <c r="N31" s="3" t="e">
        <f>VLOOKUP(E31,Enviroments!$A$3:$D$59,1,FALSE)</f>
        <v>#N/A</v>
      </c>
      <c r="O31" s="3" t="e">
        <f>VLOOKUP(E31,Enviroments!$A$3:$D$59,2,FALSE)</f>
        <v>#N/A</v>
      </c>
      <c r="P31" s="3" t="e">
        <f>VLOOKUP(E31,Enviroments!$A$3:$D$59,3,FALSE)</f>
        <v>#N/A</v>
      </c>
      <c r="Q31" s="3" t="e">
        <f>VLOOKUP(E31,Enviroments!$A$3:$D$59,4,FALSE)</f>
        <v>#N/A</v>
      </c>
      <c r="R31" s="3" t="e">
        <f>VLOOKUP(H31,AzureRegions!$A$4:$B$1493,1,FALSE)</f>
        <v>#N/A</v>
      </c>
      <c r="S31" s="3" t="e">
        <f>VLOOKUP(H31,AzureRegions!$A$4:$B$1493,2,FALSE)</f>
        <v>#N/A</v>
      </c>
      <c r="T31" s="3" t="e">
        <f>VLOOKUP(H31,AzureRegions!$A$4:$C$1493,3,FALSE)</f>
        <v>#N/A</v>
      </c>
      <c r="U31" s="3" t="e">
        <f>VLOOKUP(I31,Resources!$A$2:$AA$1503,2,FALSE)</f>
        <v>#N/A</v>
      </c>
      <c r="V31" s="3" t="e">
        <f>VLOOKUP(I31,Resources!$A$2:$H$1503,6,FALSE)</f>
        <v>#N/A</v>
      </c>
      <c r="W31" s="3" t="str">
        <f>VLOOKUP($H$2,Casing!$A$4:$A$60,1,FALSE)</f>
        <v>Lower</v>
      </c>
      <c r="X31" s="14" t="str">
        <f t="shared" si="1"/>
        <v>001</v>
      </c>
      <c r="Y31" s="3" t="str">
        <f>IFERROR(VLOOKUP(F31,Func!$A$4:$G$1500,2,FALSE),"none")</f>
        <v>none</v>
      </c>
      <c r="Z31" s="3" t="e">
        <f>VLOOKUP(I31,Resources!$A$2:$AA$1503,18,FALSE)</f>
        <v>#N/A</v>
      </c>
      <c r="AA31" s="3" t="str">
        <f>IFERROR(VLOOKUP(B31,Orgs!$A$4:$G$1500,2,FALSE),"none")</f>
        <v>none</v>
      </c>
      <c r="AB31" s="3" t="str">
        <f>IFERROR(VLOOKUP(C31,UnitsDepts!$A$4:$G$1500,2,FALSE),"none")</f>
        <v>none</v>
      </c>
      <c r="AC31" s="3" t="str">
        <f>IFERROR(VLOOKUP(D31,ProjAppSvc!$A$4:$G$1500,2,FALSE),"none")</f>
        <v>none</v>
      </c>
    </row>
    <row r="32" spans="1:29" x14ac:dyDescent="0.45">
      <c r="A32" s="14" t="s">
        <v>23</v>
      </c>
      <c r="B32" s="14"/>
      <c r="C32" s="14"/>
      <c r="D32" s="14"/>
      <c r="H32" s="8"/>
      <c r="I32" s="3"/>
      <c r="J32" s="3" t="str">
        <f t="shared" si="2"/>
        <v/>
      </c>
      <c r="K32" s="3" t="str">
        <f>IF(ISNUMBER(SEARCH("-",V32)),IFERROR(IF($H$2="Lower", LOWER(ComputeResourceName(Z32,#REF!,#REF!,G32,N32,O32,P32,Q32,S32,T32,V32,A32)), UPPER(ComputeResourceName(Z32,#REF!,#REF!,G32,N32,O32,P32,Q32,S32,T32,V32,A32))),""),SUBSTITUTE(IFERROR(IF($H$2="Lower", LOWER(ComputeResourceName(#REF!,#REF!,#REF!,G32,N32,O32,P32,Q32,S32,T32,V32,A32)), UPPER(ComputeResourceName(#REF!,#REF!,#REF!,G32,N32,O32,P32,Q32,S32,T32,V32,A32))),""), "-",""))</f>
        <v/>
      </c>
      <c r="L32" s="3" t="str">
        <f xml:space="preserve"> IF(K32="","",  IFERROR(VLOOKUP(I32,Resources!$B$1:$H$1503,5,FALSE)-LEN(K32),0))</f>
        <v/>
      </c>
      <c r="M32" s="3" t="str">
        <f>IF(K32="","",IFERROR(matches(K32,VLOOKUP(I32,Resources!$A$2:$AA$1503,16,FALSE)),FALSE))</f>
        <v/>
      </c>
      <c r="N32" s="3" t="e">
        <f>VLOOKUP(E32,Enviroments!$A$3:$D$59,1,FALSE)</f>
        <v>#N/A</v>
      </c>
      <c r="O32" s="3" t="e">
        <f>VLOOKUP(E32,Enviroments!$A$3:$D$59,2,FALSE)</f>
        <v>#N/A</v>
      </c>
      <c r="P32" s="3" t="e">
        <f>VLOOKUP(E32,Enviroments!$A$3:$D$59,3,FALSE)</f>
        <v>#N/A</v>
      </c>
      <c r="Q32" s="3" t="e">
        <f>VLOOKUP(E32,Enviroments!$A$3:$D$59,4,FALSE)</f>
        <v>#N/A</v>
      </c>
      <c r="R32" s="3" t="e">
        <f>VLOOKUP(H32,AzureRegions!$A$4:$B$1493,1,FALSE)</f>
        <v>#N/A</v>
      </c>
      <c r="S32" s="3" t="e">
        <f>VLOOKUP(H32,AzureRegions!$A$4:$B$1493,2,FALSE)</f>
        <v>#N/A</v>
      </c>
      <c r="T32" s="3" t="e">
        <f>VLOOKUP(H32,AzureRegions!$A$4:$C$1493,3,FALSE)</f>
        <v>#N/A</v>
      </c>
      <c r="U32" s="3" t="e">
        <f>VLOOKUP(I32,Resources!$A$2:$AA$1503,2,FALSE)</f>
        <v>#N/A</v>
      </c>
      <c r="V32" s="3" t="e">
        <f>VLOOKUP(I32,Resources!$A$2:$H$1503,6,FALSE)</f>
        <v>#N/A</v>
      </c>
      <c r="W32" s="3" t="str">
        <f>VLOOKUP($H$2,Casing!$A$4:$A$60,1,FALSE)</f>
        <v>Lower</v>
      </c>
      <c r="X32" s="14" t="str">
        <f t="shared" si="1"/>
        <v>001</v>
      </c>
      <c r="Y32" s="3" t="str">
        <f>IFERROR(VLOOKUP(F32,Func!$A$4:$G$1500,2,FALSE),"none")</f>
        <v>none</v>
      </c>
      <c r="Z32" s="3" t="e">
        <f>VLOOKUP(I32,Resources!$A$2:$AA$1503,18,FALSE)</f>
        <v>#N/A</v>
      </c>
      <c r="AA32" s="3" t="str">
        <f>IFERROR(VLOOKUP(B32,Orgs!$A$4:$G$1500,2,FALSE),"none")</f>
        <v>none</v>
      </c>
      <c r="AB32" s="3" t="str">
        <f>IFERROR(VLOOKUP(C32,UnitsDepts!$A$4:$G$1500,2,FALSE),"none")</f>
        <v>none</v>
      </c>
      <c r="AC32" s="3" t="str">
        <f>IFERROR(VLOOKUP(D32,ProjAppSvc!$A$4:$G$1500,2,FALSE),"none")</f>
        <v>none</v>
      </c>
    </row>
    <row r="33" spans="1:29" x14ac:dyDescent="0.45">
      <c r="A33" s="14" t="s">
        <v>23</v>
      </c>
      <c r="B33" s="14"/>
      <c r="C33" s="14"/>
      <c r="D33" s="14"/>
      <c r="H33" s="8"/>
      <c r="I33" s="3"/>
      <c r="J33" s="3" t="str">
        <f t="shared" si="2"/>
        <v/>
      </c>
      <c r="K33" s="3" t="str">
        <f>IF(ISNUMBER(SEARCH("-",V33)),IFERROR(IF($H$2="Lower", LOWER(ComputeResourceName(Z33,#REF!,#REF!,G33,N33,O33,P33,Q33,S33,T33,V33,A33)), UPPER(ComputeResourceName(Z33,#REF!,#REF!,G33,N33,O33,P33,Q33,S33,T33,V33,A33))),""),SUBSTITUTE(IFERROR(IF($H$2="Lower", LOWER(ComputeResourceName(#REF!,#REF!,#REF!,G33,N33,O33,P33,Q33,S33,T33,V33,A33)), UPPER(ComputeResourceName(#REF!,#REF!,#REF!,G33,N33,O33,P33,Q33,S33,T33,V33,A33))),""), "-",""))</f>
        <v/>
      </c>
      <c r="L33" s="3" t="str">
        <f xml:space="preserve"> IF(K33="","",  IFERROR(VLOOKUP(I33,Resources!$B$1:$H$1503,5,FALSE)-LEN(K33),0))</f>
        <v/>
      </c>
      <c r="M33" s="3" t="str">
        <f>IF(K33="","",IFERROR(matches(K33,VLOOKUP(I33,Resources!$A$2:$AA$1503,16,FALSE)),FALSE))</f>
        <v/>
      </c>
      <c r="N33" s="3" t="e">
        <f>VLOOKUP(E33,Enviroments!$A$3:$D$59,1,FALSE)</f>
        <v>#N/A</v>
      </c>
      <c r="O33" s="3" t="e">
        <f>VLOOKUP(E33,Enviroments!$A$3:$D$59,2,FALSE)</f>
        <v>#N/A</v>
      </c>
      <c r="P33" s="3" t="e">
        <f>VLOOKUP(E33,Enviroments!$A$3:$D$59,3,FALSE)</f>
        <v>#N/A</v>
      </c>
      <c r="Q33" s="3" t="e">
        <f>VLOOKUP(E33,Enviroments!$A$3:$D$59,4,FALSE)</f>
        <v>#N/A</v>
      </c>
      <c r="R33" s="3" t="e">
        <f>VLOOKUP(H33,AzureRegions!$A$4:$B$1493,1,FALSE)</f>
        <v>#N/A</v>
      </c>
      <c r="S33" s="3" t="e">
        <f>VLOOKUP(H33,AzureRegions!$A$4:$B$1493,2,FALSE)</f>
        <v>#N/A</v>
      </c>
      <c r="T33" s="3" t="e">
        <f>VLOOKUP(H33,AzureRegions!$A$4:$C$1493,3,FALSE)</f>
        <v>#N/A</v>
      </c>
      <c r="U33" s="3" t="e">
        <f>VLOOKUP(I33,Resources!$A$2:$AA$1503,2,FALSE)</f>
        <v>#N/A</v>
      </c>
      <c r="V33" s="3" t="e">
        <f>VLOOKUP(I33,Resources!$A$2:$H$1503,6,FALSE)</f>
        <v>#N/A</v>
      </c>
      <c r="W33" s="3" t="str">
        <f>VLOOKUP($H$2,Casing!$A$4:$A$60,1,FALSE)</f>
        <v>Lower</v>
      </c>
      <c r="X33" s="14" t="str">
        <f t="shared" si="1"/>
        <v>001</v>
      </c>
      <c r="Y33" s="3" t="str">
        <f>IFERROR(VLOOKUP(F33,Func!$A$4:$G$1500,2,FALSE),"none")</f>
        <v>none</v>
      </c>
      <c r="Z33" s="3" t="e">
        <f>VLOOKUP(I33,Resources!$A$2:$AA$1503,18,FALSE)</f>
        <v>#N/A</v>
      </c>
      <c r="AA33" s="3" t="str">
        <f>IFERROR(VLOOKUP(B33,Orgs!$A$4:$G$1500,2,FALSE),"none")</f>
        <v>none</v>
      </c>
      <c r="AB33" s="3" t="str">
        <f>IFERROR(VLOOKUP(C33,UnitsDepts!$A$4:$G$1500,2,FALSE),"none")</f>
        <v>none</v>
      </c>
      <c r="AC33" s="3" t="str">
        <f>IFERROR(VLOOKUP(D33,ProjAppSvc!$A$4:$G$1500,2,FALSE),"none")</f>
        <v>none</v>
      </c>
    </row>
    <row r="34" spans="1:29" x14ac:dyDescent="0.45">
      <c r="A34" s="14" t="s">
        <v>23</v>
      </c>
      <c r="B34" s="14"/>
      <c r="C34" s="14"/>
      <c r="D34" s="14"/>
      <c r="H34" s="8"/>
      <c r="I34" s="3"/>
      <c r="J34" s="3" t="str">
        <f t="shared" si="2"/>
        <v/>
      </c>
      <c r="K34" s="3" t="str">
        <f>IF(ISNUMBER(SEARCH("-",V34)),IFERROR(IF($H$2="Lower", LOWER(ComputeResourceName(Z34,#REF!,#REF!,G34,N34,O34,P34,Q34,S34,T34,V34,A34)), UPPER(ComputeResourceName(Z34,#REF!,#REF!,G34,N34,O34,P34,Q34,S34,T34,V34,A34))),""),SUBSTITUTE(IFERROR(IF($H$2="Lower", LOWER(ComputeResourceName(#REF!,#REF!,#REF!,G34,N34,O34,P34,Q34,S34,T34,V34,A34)), UPPER(ComputeResourceName(#REF!,#REF!,#REF!,G34,N34,O34,P34,Q34,S34,T34,V34,A34))),""), "-",""))</f>
        <v/>
      </c>
      <c r="L34" s="3" t="str">
        <f xml:space="preserve"> IF(K34="","",  IFERROR(VLOOKUP(I34,Resources!$B$1:$H$1503,5,FALSE)-LEN(K34),0))</f>
        <v/>
      </c>
      <c r="M34" s="3" t="str">
        <f>IF(K34="","",IFERROR(matches(K34,VLOOKUP(I34,Resources!$A$2:$AA$1503,16,FALSE)),FALSE))</f>
        <v/>
      </c>
      <c r="N34" s="3" t="e">
        <f>VLOOKUP(E34,Enviroments!$A$3:$D$59,1,FALSE)</f>
        <v>#N/A</v>
      </c>
      <c r="O34" s="3" t="e">
        <f>VLOOKUP(E34,Enviroments!$A$3:$D$59,2,FALSE)</f>
        <v>#N/A</v>
      </c>
      <c r="P34" s="3" t="e">
        <f>VLOOKUP(E34,Enviroments!$A$3:$D$59,3,FALSE)</f>
        <v>#N/A</v>
      </c>
      <c r="Q34" s="3" t="e">
        <f>VLOOKUP(E34,Enviroments!$A$3:$D$59,4,FALSE)</f>
        <v>#N/A</v>
      </c>
      <c r="R34" s="3" t="e">
        <f>VLOOKUP(H34,AzureRegions!$A$4:$B$1493,1,FALSE)</f>
        <v>#N/A</v>
      </c>
      <c r="S34" s="3" t="e">
        <f>VLOOKUP(H34,AzureRegions!$A$4:$B$1493,2,FALSE)</f>
        <v>#N/A</v>
      </c>
      <c r="T34" s="3" t="e">
        <f>VLOOKUP(H34,AzureRegions!$A$4:$C$1493,3,FALSE)</f>
        <v>#N/A</v>
      </c>
      <c r="U34" s="3" t="e">
        <f>VLOOKUP(I34,Resources!$A$2:$AA$1503,2,FALSE)</f>
        <v>#N/A</v>
      </c>
      <c r="V34" s="3" t="e">
        <f>VLOOKUP(I34,Resources!$A$2:$H$1503,6,FALSE)</f>
        <v>#N/A</v>
      </c>
      <c r="W34" s="3" t="str">
        <f>VLOOKUP($H$2,Casing!$A$4:$A$60,1,FALSE)</f>
        <v>Lower</v>
      </c>
      <c r="X34" s="14" t="str">
        <f t="shared" si="1"/>
        <v>001</v>
      </c>
      <c r="Y34" s="3" t="str">
        <f>IFERROR(VLOOKUP(F34,Func!$A$4:$G$1500,2,FALSE),"none")</f>
        <v>none</v>
      </c>
      <c r="Z34" s="3" t="e">
        <f>VLOOKUP(I34,Resources!$A$2:$AA$1503,18,FALSE)</f>
        <v>#N/A</v>
      </c>
      <c r="AA34" s="3" t="str">
        <f>IFERROR(VLOOKUP(B34,Orgs!$A$4:$G$1500,2,FALSE),"none")</f>
        <v>none</v>
      </c>
      <c r="AB34" s="3" t="str">
        <f>IFERROR(VLOOKUP(C34,UnitsDepts!$A$4:$G$1500,2,FALSE),"none")</f>
        <v>none</v>
      </c>
      <c r="AC34" s="3" t="str">
        <f>IFERROR(VLOOKUP(D34,ProjAppSvc!$A$4:$G$1500,2,FALSE),"none")</f>
        <v>none</v>
      </c>
    </row>
    <row r="35" spans="1:29" x14ac:dyDescent="0.45">
      <c r="A35" s="14" t="s">
        <v>23</v>
      </c>
      <c r="B35" s="14"/>
      <c r="C35" s="14"/>
      <c r="D35" s="14"/>
      <c r="H35" s="8"/>
      <c r="I35" s="3"/>
      <c r="J35" s="3" t="str">
        <f t="shared" si="2"/>
        <v/>
      </c>
      <c r="K35" s="3" t="str">
        <f>IF(ISNUMBER(SEARCH("-",V35)),IFERROR(IF($H$2="Lower", LOWER(ComputeResourceName(Z35,#REF!,#REF!,G35,N35,O35,P35,Q35,S35,T35,V35,A35)), UPPER(ComputeResourceName(Z35,#REF!,#REF!,G35,N35,O35,P35,Q35,S35,T35,V35,A35))),""),SUBSTITUTE(IFERROR(IF($H$2="Lower", LOWER(ComputeResourceName(#REF!,#REF!,#REF!,G35,N35,O35,P35,Q35,S35,T35,V35,A35)), UPPER(ComputeResourceName(#REF!,#REF!,#REF!,G35,N35,O35,P35,Q35,S35,T35,V35,A35))),""), "-",""))</f>
        <v/>
      </c>
      <c r="L35" s="3" t="str">
        <f xml:space="preserve"> IF(K35="","",  IFERROR(VLOOKUP(I35,Resources!$B$1:$H$1503,5,FALSE)-LEN(K35),0))</f>
        <v/>
      </c>
      <c r="M35" s="3" t="str">
        <f>IF(K35="","",IFERROR(matches(K35,VLOOKUP(I35,Resources!$A$2:$AA$1503,16,FALSE)),FALSE))</f>
        <v/>
      </c>
      <c r="N35" s="3" t="e">
        <f>VLOOKUP(E35,Enviroments!$A$3:$D$59,1,FALSE)</f>
        <v>#N/A</v>
      </c>
      <c r="O35" s="3" t="e">
        <f>VLOOKUP(E35,Enviroments!$A$3:$D$59,2,FALSE)</f>
        <v>#N/A</v>
      </c>
      <c r="P35" s="3" t="e">
        <f>VLOOKUP(E35,Enviroments!$A$3:$D$59,3,FALSE)</f>
        <v>#N/A</v>
      </c>
      <c r="Q35" s="3" t="e">
        <f>VLOOKUP(E35,Enviroments!$A$3:$D$59,4,FALSE)</f>
        <v>#N/A</v>
      </c>
      <c r="R35" s="3" t="e">
        <f>VLOOKUP(H35,AzureRegions!$A$4:$B$1493,1,FALSE)</f>
        <v>#N/A</v>
      </c>
      <c r="S35" s="3" t="e">
        <f>VLOOKUP(H35,AzureRegions!$A$4:$B$1493,2,FALSE)</f>
        <v>#N/A</v>
      </c>
      <c r="T35" s="3" t="e">
        <f>VLOOKUP(H35,AzureRegions!$A$4:$C$1493,3,FALSE)</f>
        <v>#N/A</v>
      </c>
      <c r="U35" s="3" t="e">
        <f>VLOOKUP(I35,Resources!$A$2:$AA$1503,2,FALSE)</f>
        <v>#N/A</v>
      </c>
      <c r="V35" s="3" t="e">
        <f>VLOOKUP(I35,Resources!$A$2:$H$1503,6,FALSE)</f>
        <v>#N/A</v>
      </c>
      <c r="W35" s="3" t="str">
        <f>VLOOKUP($H$2,Casing!$A$4:$A$60,1,FALSE)</f>
        <v>Lower</v>
      </c>
      <c r="X35" s="14" t="str">
        <f t="shared" si="1"/>
        <v>001</v>
      </c>
      <c r="Y35" s="3" t="str">
        <f>IFERROR(VLOOKUP(F35,Func!$A$4:$G$1500,2,FALSE),"none")</f>
        <v>none</v>
      </c>
      <c r="Z35" s="3" t="e">
        <f>VLOOKUP(I35,Resources!$A$2:$AA$1503,18,FALSE)</f>
        <v>#N/A</v>
      </c>
      <c r="AA35" s="3" t="str">
        <f>IFERROR(VLOOKUP(B35,Orgs!$A$4:$G$1500,2,FALSE),"none")</f>
        <v>none</v>
      </c>
      <c r="AB35" s="3" t="str">
        <f>IFERROR(VLOOKUP(C35,UnitsDepts!$A$4:$G$1500,2,FALSE),"none")</f>
        <v>none</v>
      </c>
      <c r="AC35" s="3" t="str">
        <f>IFERROR(VLOOKUP(D35,ProjAppSvc!$A$4:$G$1500,2,FALSE),"none")</f>
        <v>none</v>
      </c>
    </row>
    <row r="36" spans="1:29" x14ac:dyDescent="0.45">
      <c r="A36" s="14" t="s">
        <v>23</v>
      </c>
      <c r="B36" s="14"/>
      <c r="C36" s="14"/>
      <c r="D36" s="14"/>
      <c r="H36" s="8"/>
      <c r="I36" s="3"/>
      <c r="J36" s="3" t="str">
        <f t="shared" si="2"/>
        <v/>
      </c>
      <c r="K36" s="3" t="str">
        <f>IF(ISNUMBER(SEARCH("-",V36)),IFERROR(IF($H$2="Lower", LOWER(ComputeResourceName(Z36,#REF!,#REF!,G36,N36,O36,P36,Q36,S36,T36,V36,A36)), UPPER(ComputeResourceName(Z36,#REF!,#REF!,G36,N36,O36,P36,Q36,S36,T36,V36,A36))),""),SUBSTITUTE(IFERROR(IF($H$2="Lower", LOWER(ComputeResourceName(#REF!,#REF!,#REF!,G36,N36,O36,P36,Q36,S36,T36,V36,A36)), UPPER(ComputeResourceName(#REF!,#REF!,#REF!,G36,N36,O36,P36,Q36,S36,T36,V36,A36))),""), "-",""))</f>
        <v/>
      </c>
      <c r="L36" s="3" t="str">
        <f xml:space="preserve"> IF(K36="","",  IFERROR(VLOOKUP(I36,Resources!$B$1:$H$1503,5,FALSE)-LEN(K36),0))</f>
        <v/>
      </c>
      <c r="M36" s="3" t="str">
        <f>IF(K36="","",IFERROR(matches(K36,VLOOKUP(I36,Resources!$A$2:$AA$1503,16,FALSE)),FALSE))</f>
        <v/>
      </c>
      <c r="N36" s="3" t="e">
        <f>VLOOKUP(E36,Enviroments!$A$3:$D$59,1,FALSE)</f>
        <v>#N/A</v>
      </c>
      <c r="O36" s="3" t="e">
        <f>VLOOKUP(E36,Enviroments!$A$3:$D$59,2,FALSE)</f>
        <v>#N/A</v>
      </c>
      <c r="P36" s="3" t="e">
        <f>VLOOKUP(E36,Enviroments!$A$3:$D$59,3,FALSE)</f>
        <v>#N/A</v>
      </c>
      <c r="Q36" s="3" t="e">
        <f>VLOOKUP(E36,Enviroments!$A$3:$D$59,4,FALSE)</f>
        <v>#N/A</v>
      </c>
      <c r="R36" s="3" t="e">
        <f>VLOOKUP(H36,AzureRegions!$A$4:$B$1493,1,FALSE)</f>
        <v>#N/A</v>
      </c>
      <c r="S36" s="3" t="e">
        <f>VLOOKUP(H36,AzureRegions!$A$4:$B$1493,2,FALSE)</f>
        <v>#N/A</v>
      </c>
      <c r="T36" s="3" t="e">
        <f>VLOOKUP(H36,AzureRegions!$A$4:$C$1493,3,FALSE)</f>
        <v>#N/A</v>
      </c>
      <c r="U36" s="3" t="e">
        <f>VLOOKUP(I36,Resources!$A$2:$AA$1503,2,FALSE)</f>
        <v>#N/A</v>
      </c>
      <c r="V36" s="3" t="e">
        <f>VLOOKUP(I36,Resources!$A$2:$H$1503,6,FALSE)</f>
        <v>#N/A</v>
      </c>
      <c r="W36" s="3" t="str">
        <f>VLOOKUP($H$2,Casing!$A$4:$A$60,1,FALSE)</f>
        <v>Lower</v>
      </c>
      <c r="X36" s="14" t="str">
        <f t="shared" si="1"/>
        <v>001</v>
      </c>
      <c r="Y36" s="3" t="str">
        <f>IFERROR(VLOOKUP(F36,Func!$A$4:$G$1500,2,FALSE),"none")</f>
        <v>none</v>
      </c>
      <c r="Z36" s="3" t="e">
        <f>VLOOKUP(I36,Resources!$A$2:$AA$1503,18,FALSE)</f>
        <v>#N/A</v>
      </c>
      <c r="AA36" s="3" t="str">
        <f>IFERROR(VLOOKUP(B36,Orgs!$A$4:$G$1500,2,FALSE),"none")</f>
        <v>none</v>
      </c>
      <c r="AB36" s="3" t="str">
        <f>IFERROR(VLOOKUP(C36,UnitsDepts!$A$4:$G$1500,2,FALSE),"none")</f>
        <v>none</v>
      </c>
      <c r="AC36" s="3" t="str">
        <f>IFERROR(VLOOKUP(D36,ProjAppSvc!$A$4:$G$1500,2,FALSE),"none")</f>
        <v>none</v>
      </c>
    </row>
    <row r="37" spans="1:29" x14ac:dyDescent="0.45">
      <c r="A37" s="14" t="s">
        <v>23</v>
      </c>
      <c r="B37" s="14"/>
      <c r="C37" s="14"/>
      <c r="D37" s="14"/>
      <c r="H37" s="8"/>
      <c r="I37" s="3"/>
      <c r="J37" s="3" t="str">
        <f t="shared" si="2"/>
        <v/>
      </c>
      <c r="K37" s="3" t="str">
        <f>IF(ISNUMBER(SEARCH("-",V37)),IFERROR(IF($H$2="Lower", LOWER(ComputeResourceName(Z37,#REF!,#REF!,G37,N37,O37,P37,Q37,S37,T37,V37,A37)), UPPER(ComputeResourceName(Z37,#REF!,#REF!,G37,N37,O37,P37,Q37,S37,T37,V37,A37))),""),SUBSTITUTE(IFERROR(IF($H$2="Lower", LOWER(ComputeResourceName(#REF!,#REF!,#REF!,G37,N37,O37,P37,Q37,S37,T37,V37,A37)), UPPER(ComputeResourceName(#REF!,#REF!,#REF!,G37,N37,O37,P37,Q37,S37,T37,V37,A37))),""), "-",""))</f>
        <v/>
      </c>
      <c r="L37" s="3" t="str">
        <f xml:space="preserve"> IF(K37="","",  IFERROR(VLOOKUP(I37,Resources!$B$1:$H$1503,5,FALSE)-LEN(K37),0))</f>
        <v/>
      </c>
      <c r="M37" s="3" t="str">
        <f>IF(K37="","",IFERROR(matches(K37,VLOOKUP(I37,Resources!$A$2:$AA$1503,16,FALSE)),FALSE))</f>
        <v/>
      </c>
      <c r="N37" s="3" t="e">
        <f>VLOOKUP(E37,Enviroments!$A$3:$D$59,1,FALSE)</f>
        <v>#N/A</v>
      </c>
      <c r="O37" s="3" t="e">
        <f>VLOOKUP(E37,Enviroments!$A$3:$D$59,2,FALSE)</f>
        <v>#N/A</v>
      </c>
      <c r="P37" s="3" t="e">
        <f>VLOOKUP(E37,Enviroments!$A$3:$D$59,3,FALSE)</f>
        <v>#N/A</v>
      </c>
      <c r="Q37" s="3" t="e">
        <f>VLOOKUP(E37,Enviroments!$A$3:$D$59,4,FALSE)</f>
        <v>#N/A</v>
      </c>
      <c r="R37" s="3" t="e">
        <f>VLOOKUP(H37,AzureRegions!$A$4:$B$1493,1,FALSE)</f>
        <v>#N/A</v>
      </c>
      <c r="S37" s="3" t="e">
        <f>VLOOKUP(H37,AzureRegions!$A$4:$B$1493,2,FALSE)</f>
        <v>#N/A</v>
      </c>
      <c r="T37" s="3" t="e">
        <f>VLOOKUP(H37,AzureRegions!$A$4:$C$1493,3,FALSE)</f>
        <v>#N/A</v>
      </c>
      <c r="U37" s="3" t="e">
        <f>VLOOKUP(I37,Resources!$A$2:$AA$1503,2,FALSE)</f>
        <v>#N/A</v>
      </c>
      <c r="V37" s="3" t="e">
        <f>VLOOKUP(I37,Resources!$A$2:$H$1503,6,FALSE)</f>
        <v>#N/A</v>
      </c>
      <c r="W37" s="3" t="str">
        <f>VLOOKUP($H$2,Casing!$A$4:$A$60,1,FALSE)</f>
        <v>Lower</v>
      </c>
      <c r="X37" s="14" t="str">
        <f t="shared" si="1"/>
        <v>001</v>
      </c>
      <c r="Y37" s="3" t="str">
        <f>IFERROR(VLOOKUP(F37,Func!$A$4:$G$1500,2,FALSE),"none")</f>
        <v>none</v>
      </c>
      <c r="Z37" s="3" t="e">
        <f>VLOOKUP(I37,Resources!$A$2:$AA$1503,18,FALSE)</f>
        <v>#N/A</v>
      </c>
      <c r="AA37" s="3" t="str">
        <f>IFERROR(VLOOKUP(B37,Orgs!$A$4:$G$1500,2,FALSE),"none")</f>
        <v>none</v>
      </c>
      <c r="AB37" s="3" t="str">
        <f>IFERROR(VLOOKUP(C37,UnitsDepts!$A$4:$G$1500,2,FALSE),"none")</f>
        <v>none</v>
      </c>
      <c r="AC37" s="3" t="str">
        <f>IFERROR(VLOOKUP(D37,ProjAppSvc!$A$4:$G$1500,2,FALSE),"none")</f>
        <v>none</v>
      </c>
    </row>
    <row r="38" spans="1:29" x14ac:dyDescent="0.45">
      <c r="A38" s="14" t="s">
        <v>23</v>
      </c>
      <c r="B38" s="14"/>
      <c r="C38" s="14"/>
      <c r="D38" s="14"/>
      <c r="H38" s="8"/>
      <c r="I38" s="3"/>
      <c r="J38" s="3" t="str">
        <f t="shared" si="2"/>
        <v/>
      </c>
      <c r="K38" s="3" t="str">
        <f>IF(ISNUMBER(SEARCH("-",V38)),IFERROR(IF($H$2="Lower", LOWER(ComputeResourceName(Z38,#REF!,#REF!,G38,N38,O38,P38,Q38,S38,T38,V38,A38)), UPPER(ComputeResourceName(Z38,#REF!,#REF!,G38,N38,O38,P38,Q38,S38,T38,V38,A38))),""),SUBSTITUTE(IFERROR(IF($H$2="Lower", LOWER(ComputeResourceName(#REF!,#REF!,#REF!,G38,N38,O38,P38,Q38,S38,T38,V38,A38)), UPPER(ComputeResourceName(#REF!,#REF!,#REF!,G38,N38,O38,P38,Q38,S38,T38,V38,A38))),""), "-",""))</f>
        <v/>
      </c>
      <c r="L38" s="3" t="str">
        <f xml:space="preserve"> IF(K38="","",  IFERROR(VLOOKUP(I38,Resources!$B$1:$H$1503,5,FALSE)-LEN(K38),0))</f>
        <v/>
      </c>
      <c r="M38" s="3" t="str">
        <f>IF(K38="","",IFERROR(matches(K38,VLOOKUP(I38,Resources!$A$2:$AA$1503,16,FALSE)),FALSE))</f>
        <v/>
      </c>
      <c r="N38" s="3" t="e">
        <f>VLOOKUP(E38,Enviroments!$A$3:$D$59,1,FALSE)</f>
        <v>#N/A</v>
      </c>
      <c r="O38" s="3" t="e">
        <f>VLOOKUP(E38,Enviroments!$A$3:$D$59,2,FALSE)</f>
        <v>#N/A</v>
      </c>
      <c r="P38" s="3" t="e">
        <f>VLOOKUP(E38,Enviroments!$A$3:$D$59,3,FALSE)</f>
        <v>#N/A</v>
      </c>
      <c r="Q38" s="3" t="e">
        <f>VLOOKUP(E38,Enviroments!$A$3:$D$59,4,FALSE)</f>
        <v>#N/A</v>
      </c>
      <c r="R38" s="3" t="e">
        <f>VLOOKUP(H38,AzureRegions!$A$4:$B$1493,1,FALSE)</f>
        <v>#N/A</v>
      </c>
      <c r="S38" s="3" t="e">
        <f>VLOOKUP(H38,AzureRegions!$A$4:$B$1493,2,FALSE)</f>
        <v>#N/A</v>
      </c>
      <c r="T38" s="3" t="e">
        <f>VLOOKUP(H38,AzureRegions!$A$4:$C$1493,3,FALSE)</f>
        <v>#N/A</v>
      </c>
      <c r="U38" s="3" t="e">
        <f>VLOOKUP(I38,Resources!$A$2:$AA$1503,2,FALSE)</f>
        <v>#N/A</v>
      </c>
      <c r="V38" s="3" t="e">
        <f>VLOOKUP(I38,Resources!$A$2:$H$1503,6,FALSE)</f>
        <v>#N/A</v>
      </c>
      <c r="W38" s="3" t="str">
        <f>VLOOKUP($H$2,Casing!$A$4:$A$60,1,FALSE)</f>
        <v>Lower</v>
      </c>
      <c r="X38" s="14" t="str">
        <f t="shared" si="1"/>
        <v>001</v>
      </c>
      <c r="Y38" s="3" t="str">
        <f>IFERROR(VLOOKUP(F38,Func!$A$4:$G$1500,2,FALSE),"none")</f>
        <v>none</v>
      </c>
      <c r="Z38" s="3" t="e">
        <f>VLOOKUP(I38,Resources!$A$2:$AA$1503,18,FALSE)</f>
        <v>#N/A</v>
      </c>
      <c r="AA38" s="3" t="str">
        <f>IFERROR(VLOOKUP(B38,Orgs!$A$4:$G$1500,2,FALSE),"none")</f>
        <v>none</v>
      </c>
      <c r="AB38" s="3" t="str">
        <f>IFERROR(VLOOKUP(C38,UnitsDepts!$A$4:$G$1500,2,FALSE),"none")</f>
        <v>none</v>
      </c>
      <c r="AC38" s="3" t="str">
        <f>IFERROR(VLOOKUP(D38,ProjAppSvc!$A$4:$G$1500,2,FALSE),"none")</f>
        <v>none</v>
      </c>
    </row>
    <row r="39" spans="1:29" x14ac:dyDescent="0.45">
      <c r="A39" s="14" t="s">
        <v>23</v>
      </c>
      <c r="B39" s="14"/>
      <c r="C39" s="14"/>
      <c r="D39" s="14"/>
      <c r="H39" s="8"/>
      <c r="I39" s="3"/>
      <c r="J39" s="3" t="str">
        <f t="shared" si="2"/>
        <v/>
      </c>
      <c r="K39" s="3" t="str">
        <f>IF(ISNUMBER(SEARCH("-",V39)),IFERROR(IF($H$2="Lower", LOWER(ComputeResourceName(Z39,#REF!,#REF!,G39,N39,O39,P39,Q39,S39,T39,V39,A39)), UPPER(ComputeResourceName(Z39,#REF!,#REF!,G39,N39,O39,P39,Q39,S39,T39,V39,A39))),""),SUBSTITUTE(IFERROR(IF($H$2="Lower", LOWER(ComputeResourceName(#REF!,#REF!,#REF!,G39,N39,O39,P39,Q39,S39,T39,V39,A39)), UPPER(ComputeResourceName(#REF!,#REF!,#REF!,G39,N39,O39,P39,Q39,S39,T39,V39,A39))),""), "-",""))</f>
        <v/>
      </c>
      <c r="L39" s="3" t="str">
        <f xml:space="preserve"> IF(K39="","",  IFERROR(VLOOKUP(I39,Resources!$B$1:$H$1503,5,FALSE)-LEN(K39),0))</f>
        <v/>
      </c>
      <c r="M39" s="3" t="str">
        <f>IF(K39="","",IFERROR(matches(K39,VLOOKUP(I39,Resources!$A$2:$AA$1503,16,FALSE)),FALSE))</f>
        <v/>
      </c>
      <c r="N39" s="3" t="e">
        <f>VLOOKUP(E39,Enviroments!$A$3:$D$59,1,FALSE)</f>
        <v>#N/A</v>
      </c>
      <c r="O39" s="3" t="e">
        <f>VLOOKUP(E39,Enviroments!$A$3:$D$59,2,FALSE)</f>
        <v>#N/A</v>
      </c>
      <c r="P39" s="3" t="e">
        <f>VLOOKUP(E39,Enviroments!$A$3:$D$59,3,FALSE)</f>
        <v>#N/A</v>
      </c>
      <c r="Q39" s="3" t="e">
        <f>VLOOKUP(E39,Enviroments!$A$3:$D$59,4,FALSE)</f>
        <v>#N/A</v>
      </c>
      <c r="R39" s="3" t="e">
        <f>VLOOKUP(H39,AzureRegions!$A$4:$B$1493,1,FALSE)</f>
        <v>#N/A</v>
      </c>
      <c r="S39" s="3" t="e">
        <f>VLOOKUP(H39,AzureRegions!$A$4:$B$1493,2,FALSE)</f>
        <v>#N/A</v>
      </c>
      <c r="T39" s="3" t="e">
        <f>VLOOKUP(H39,AzureRegions!$A$4:$C$1493,3,FALSE)</f>
        <v>#N/A</v>
      </c>
      <c r="U39" s="3" t="e">
        <f>VLOOKUP(I39,Resources!$A$2:$AA$1503,2,FALSE)</f>
        <v>#N/A</v>
      </c>
      <c r="V39" s="3" t="e">
        <f>VLOOKUP(I39,Resources!$A$2:$H$1503,6,FALSE)</f>
        <v>#N/A</v>
      </c>
      <c r="W39" s="3" t="str">
        <f>VLOOKUP($H$2,Casing!$A$4:$A$60,1,FALSE)</f>
        <v>Lower</v>
      </c>
      <c r="X39" s="14" t="str">
        <f t="shared" si="1"/>
        <v>001</v>
      </c>
      <c r="Y39" s="3" t="str">
        <f>IFERROR(VLOOKUP(F39,Func!$A$4:$G$1500,2,FALSE),"none")</f>
        <v>none</v>
      </c>
      <c r="Z39" s="3" t="e">
        <f>VLOOKUP(I39,Resources!$A$2:$AA$1503,18,FALSE)</f>
        <v>#N/A</v>
      </c>
      <c r="AA39" s="3" t="str">
        <f>IFERROR(VLOOKUP(B39,Orgs!$A$4:$G$1500,2,FALSE),"none")</f>
        <v>none</v>
      </c>
      <c r="AB39" s="3" t="str">
        <f>IFERROR(VLOOKUP(C39,UnitsDepts!$A$4:$G$1500,2,FALSE),"none")</f>
        <v>none</v>
      </c>
      <c r="AC39" s="3" t="str">
        <f>IFERROR(VLOOKUP(D39,ProjAppSvc!$A$4:$G$1500,2,FALSE),"none")</f>
        <v>none</v>
      </c>
    </row>
    <row r="40" spans="1:29" x14ac:dyDescent="0.45">
      <c r="A40" s="14" t="s">
        <v>23</v>
      </c>
      <c r="B40" s="14"/>
      <c r="C40" s="14"/>
      <c r="D40" s="14"/>
      <c r="H40" s="8"/>
      <c r="I40" s="3"/>
      <c r="J40" s="3" t="str">
        <f t="shared" si="2"/>
        <v/>
      </c>
      <c r="K40" s="3" t="str">
        <f>IF(ISNUMBER(SEARCH("-",V40)),IFERROR(IF($H$2="Lower", LOWER(ComputeResourceName(Z40,#REF!,#REF!,G40,N40,O40,P40,Q40,S40,T40,V40,A40)), UPPER(ComputeResourceName(Z40,#REF!,#REF!,G40,N40,O40,P40,Q40,S40,T40,V40,A40))),""),SUBSTITUTE(IFERROR(IF($H$2="Lower", LOWER(ComputeResourceName(#REF!,#REF!,#REF!,G40,N40,O40,P40,Q40,S40,T40,V40,A40)), UPPER(ComputeResourceName(#REF!,#REF!,#REF!,G40,N40,O40,P40,Q40,S40,T40,V40,A40))),""), "-",""))</f>
        <v/>
      </c>
      <c r="L40" s="3" t="str">
        <f xml:space="preserve"> IF(K40="","",  IFERROR(VLOOKUP(I40,Resources!$B$1:$H$1503,5,FALSE)-LEN(K40),0))</f>
        <v/>
      </c>
      <c r="M40" s="3" t="str">
        <f>IF(K40="","",IFERROR(matches(K40,VLOOKUP(I40,Resources!$A$2:$AA$1503,16,FALSE)),FALSE))</f>
        <v/>
      </c>
      <c r="N40" s="3" t="e">
        <f>VLOOKUP(E40,Enviroments!$A$3:$D$59,1,FALSE)</f>
        <v>#N/A</v>
      </c>
      <c r="O40" s="3" t="e">
        <f>VLOOKUP(E40,Enviroments!$A$3:$D$59,2,FALSE)</f>
        <v>#N/A</v>
      </c>
      <c r="P40" s="3" t="e">
        <f>VLOOKUP(E40,Enviroments!$A$3:$D$59,3,FALSE)</f>
        <v>#N/A</v>
      </c>
      <c r="Q40" s="3" t="e">
        <f>VLOOKUP(E40,Enviroments!$A$3:$D$59,4,FALSE)</f>
        <v>#N/A</v>
      </c>
      <c r="R40" s="3" t="e">
        <f>VLOOKUP(H40,AzureRegions!$A$4:$B$1493,1,FALSE)</f>
        <v>#N/A</v>
      </c>
      <c r="S40" s="3" t="e">
        <f>VLOOKUP(H40,AzureRegions!$A$4:$B$1493,2,FALSE)</f>
        <v>#N/A</v>
      </c>
      <c r="T40" s="3" t="e">
        <f>VLOOKUP(H40,AzureRegions!$A$4:$C$1493,3,FALSE)</f>
        <v>#N/A</v>
      </c>
      <c r="U40" s="3" t="e">
        <f>VLOOKUP(I40,Resources!$A$2:$AA$1503,2,FALSE)</f>
        <v>#N/A</v>
      </c>
      <c r="V40" s="3" t="e">
        <f>VLOOKUP(I40,Resources!$A$2:$H$1503,6,FALSE)</f>
        <v>#N/A</v>
      </c>
      <c r="W40" s="3" t="str">
        <f>VLOOKUP($H$2,Casing!$A$4:$A$60,1,FALSE)</f>
        <v>Lower</v>
      </c>
      <c r="X40" s="14" t="str">
        <f t="shared" si="1"/>
        <v>001</v>
      </c>
      <c r="Y40" s="3" t="str">
        <f>IFERROR(VLOOKUP(F40,Func!$A$4:$G$1500,2,FALSE),"none")</f>
        <v>none</v>
      </c>
      <c r="Z40" s="3" t="e">
        <f>VLOOKUP(I40,Resources!$A$2:$AA$1503,18,FALSE)</f>
        <v>#N/A</v>
      </c>
      <c r="AA40" s="3" t="str">
        <f>IFERROR(VLOOKUP(B40,Orgs!$A$4:$G$1500,2,FALSE),"none")</f>
        <v>none</v>
      </c>
      <c r="AB40" s="3" t="str">
        <f>IFERROR(VLOOKUP(C40,UnitsDepts!$A$4:$G$1500,2,FALSE),"none")</f>
        <v>none</v>
      </c>
      <c r="AC40" s="3" t="str">
        <f>IFERROR(VLOOKUP(D40,ProjAppSvc!$A$4:$G$1500,2,FALSE),"none")</f>
        <v>none</v>
      </c>
    </row>
    <row r="41" spans="1:29" x14ac:dyDescent="0.45">
      <c r="A41" s="14" t="s">
        <v>23</v>
      </c>
      <c r="B41" s="14"/>
      <c r="C41" s="14"/>
      <c r="D41" s="14"/>
      <c r="H41" s="8"/>
      <c r="I41" s="3"/>
      <c r="J41" s="3" t="str">
        <f t="shared" si="2"/>
        <v/>
      </c>
      <c r="K41" s="3" t="str">
        <f>IF(ISNUMBER(SEARCH("-",V41)),IFERROR(IF($H$2="Lower", LOWER(ComputeResourceName(Z41,#REF!,#REF!,G41,N41,O41,P41,Q41,S41,T41,V41,A41)), UPPER(ComputeResourceName(Z41,#REF!,#REF!,G41,N41,O41,P41,Q41,S41,T41,V41,A41))),""),SUBSTITUTE(IFERROR(IF($H$2="Lower", LOWER(ComputeResourceName(#REF!,#REF!,#REF!,G41,N41,O41,P41,Q41,S41,T41,V41,A41)), UPPER(ComputeResourceName(#REF!,#REF!,#REF!,G41,N41,O41,P41,Q41,S41,T41,V41,A41))),""), "-",""))</f>
        <v/>
      </c>
      <c r="L41" s="3" t="str">
        <f xml:space="preserve"> IF(K41="","",  IFERROR(VLOOKUP(I41,Resources!$B$1:$H$1503,5,FALSE)-LEN(K41),0))</f>
        <v/>
      </c>
      <c r="M41" s="3" t="str">
        <f>IF(K41="","",IFERROR(matches(K41,VLOOKUP(I41,Resources!$A$2:$AA$1503,16,FALSE)),FALSE))</f>
        <v/>
      </c>
      <c r="N41" s="3" t="e">
        <f>VLOOKUP(E41,Enviroments!$A$3:$D$59,1,FALSE)</f>
        <v>#N/A</v>
      </c>
      <c r="O41" s="3" t="e">
        <f>VLOOKUP(E41,Enviroments!$A$3:$D$59,2,FALSE)</f>
        <v>#N/A</v>
      </c>
      <c r="P41" s="3" t="e">
        <f>VLOOKUP(E41,Enviroments!$A$3:$D$59,3,FALSE)</f>
        <v>#N/A</v>
      </c>
      <c r="Q41" s="3" t="e">
        <f>VLOOKUP(E41,Enviroments!$A$3:$D$59,4,FALSE)</f>
        <v>#N/A</v>
      </c>
      <c r="R41" s="3" t="e">
        <f>VLOOKUP(H41,AzureRegions!$A$4:$B$1493,1,FALSE)</f>
        <v>#N/A</v>
      </c>
      <c r="S41" s="3" t="e">
        <f>VLOOKUP(H41,AzureRegions!$A$4:$B$1493,2,FALSE)</f>
        <v>#N/A</v>
      </c>
      <c r="T41" s="3" t="e">
        <f>VLOOKUP(H41,AzureRegions!$A$4:$C$1493,3,FALSE)</f>
        <v>#N/A</v>
      </c>
      <c r="U41" s="3" t="e">
        <f>VLOOKUP(I41,Resources!$A$2:$AA$1503,2,FALSE)</f>
        <v>#N/A</v>
      </c>
      <c r="V41" s="3" t="e">
        <f>VLOOKUP(I41,Resources!$A$2:$H$1503,6,FALSE)</f>
        <v>#N/A</v>
      </c>
      <c r="W41" s="3" t="str">
        <f>VLOOKUP($H$2,Casing!$A$4:$A$60,1,FALSE)</f>
        <v>Lower</v>
      </c>
      <c r="X41" s="14" t="str">
        <f t="shared" si="1"/>
        <v>001</v>
      </c>
      <c r="Y41" s="3" t="str">
        <f>IFERROR(VLOOKUP(F41,Func!$A$4:$G$1500,2,FALSE),"none")</f>
        <v>none</v>
      </c>
      <c r="Z41" s="3" t="e">
        <f>VLOOKUP(I41,Resources!$A$2:$AA$1503,18,FALSE)</f>
        <v>#N/A</v>
      </c>
      <c r="AA41" s="3" t="str">
        <f>IFERROR(VLOOKUP(B41,Orgs!$A$4:$G$1500,2,FALSE),"none")</f>
        <v>none</v>
      </c>
      <c r="AB41" s="3" t="str">
        <f>IFERROR(VLOOKUP(C41,UnitsDepts!$A$4:$G$1500,2,FALSE),"none")</f>
        <v>none</v>
      </c>
      <c r="AC41" s="3" t="str">
        <f>IFERROR(VLOOKUP(D41,ProjAppSvc!$A$4:$G$1500,2,FALSE),"none")</f>
        <v>none</v>
      </c>
    </row>
    <row r="42" spans="1:29" x14ac:dyDescent="0.45">
      <c r="A42" s="14" t="s">
        <v>23</v>
      </c>
      <c r="B42" s="14"/>
      <c r="C42" s="14"/>
      <c r="D42" s="14"/>
      <c r="H42" s="8"/>
      <c r="I42" s="3"/>
      <c r="J42" s="3" t="str">
        <f t="shared" si="2"/>
        <v/>
      </c>
      <c r="K42" s="3" t="str">
        <f>IF(ISNUMBER(SEARCH("-",V42)),IFERROR(IF($H$2="Lower", LOWER(ComputeResourceName(Z42,#REF!,#REF!,G42,N42,O42,P42,Q42,S42,T42,V42,A42)), UPPER(ComputeResourceName(Z42,#REF!,#REF!,G42,N42,O42,P42,Q42,S42,T42,V42,A42))),""),SUBSTITUTE(IFERROR(IF($H$2="Lower", LOWER(ComputeResourceName(#REF!,#REF!,#REF!,G42,N42,O42,P42,Q42,S42,T42,V42,A42)), UPPER(ComputeResourceName(#REF!,#REF!,#REF!,G42,N42,O42,P42,Q42,S42,T42,V42,A42))),""), "-",""))</f>
        <v/>
      </c>
      <c r="L42" s="3" t="str">
        <f xml:space="preserve"> IF(K42="","",  IFERROR(VLOOKUP(I42,Resources!$B$1:$H$1503,5,FALSE)-LEN(K42),0))</f>
        <v/>
      </c>
      <c r="M42" s="3" t="str">
        <f>IF(K42="","",IFERROR(matches(K42,VLOOKUP(I42,Resources!$A$2:$AA$1503,16,FALSE)),FALSE))</f>
        <v/>
      </c>
      <c r="N42" s="3" t="e">
        <f>VLOOKUP(E42,Enviroments!$A$3:$D$59,1,FALSE)</f>
        <v>#N/A</v>
      </c>
      <c r="O42" s="3" t="e">
        <f>VLOOKUP(E42,Enviroments!$A$3:$D$59,2,FALSE)</f>
        <v>#N/A</v>
      </c>
      <c r="P42" s="3" t="e">
        <f>VLOOKUP(E42,Enviroments!$A$3:$D$59,3,FALSE)</f>
        <v>#N/A</v>
      </c>
      <c r="Q42" s="3" t="e">
        <f>VLOOKUP(E42,Enviroments!$A$3:$D$59,4,FALSE)</f>
        <v>#N/A</v>
      </c>
      <c r="R42" s="3" t="e">
        <f>VLOOKUP(H42,AzureRegions!$A$4:$B$1493,1,FALSE)</f>
        <v>#N/A</v>
      </c>
      <c r="S42" s="3" t="e">
        <f>VLOOKUP(H42,AzureRegions!$A$4:$B$1493,2,FALSE)</f>
        <v>#N/A</v>
      </c>
      <c r="T42" s="3" t="e">
        <f>VLOOKUP(H42,AzureRegions!$A$4:$C$1493,3,FALSE)</f>
        <v>#N/A</v>
      </c>
      <c r="U42" s="3" t="e">
        <f>VLOOKUP(I42,Resources!$A$2:$AA$1503,2,FALSE)</f>
        <v>#N/A</v>
      </c>
      <c r="V42" s="3" t="e">
        <f>VLOOKUP(I42,Resources!$A$2:$H$1503,6,FALSE)</f>
        <v>#N/A</v>
      </c>
      <c r="W42" s="3" t="str">
        <f>VLOOKUP($H$2,Casing!$A$4:$A$60,1,FALSE)</f>
        <v>Lower</v>
      </c>
      <c r="X42" s="14" t="str">
        <f t="shared" si="1"/>
        <v>001</v>
      </c>
      <c r="Y42" s="3" t="str">
        <f>IFERROR(VLOOKUP(F42,Func!$A$4:$G$1500,2,FALSE),"none")</f>
        <v>none</v>
      </c>
      <c r="Z42" s="3" t="e">
        <f>VLOOKUP(I42,Resources!$A$2:$AA$1503,18,FALSE)</f>
        <v>#N/A</v>
      </c>
      <c r="AA42" s="3" t="str">
        <f>IFERROR(VLOOKUP(B42,Orgs!$A$4:$G$1500,2,FALSE),"none")</f>
        <v>none</v>
      </c>
      <c r="AB42" s="3" t="str">
        <f>IFERROR(VLOOKUP(C42,UnitsDepts!$A$4:$G$1500,2,FALSE),"none")</f>
        <v>none</v>
      </c>
      <c r="AC42" s="3" t="str">
        <f>IFERROR(VLOOKUP(D42,ProjAppSvc!$A$4:$G$1500,2,FALSE),"none")</f>
        <v>none</v>
      </c>
    </row>
    <row r="43" spans="1:29" x14ac:dyDescent="0.45">
      <c r="A43" s="14" t="s">
        <v>23</v>
      </c>
      <c r="B43" s="14"/>
      <c r="C43" s="14"/>
      <c r="D43" s="14"/>
      <c r="H43" s="8"/>
      <c r="I43" s="3"/>
      <c r="J43" s="3" t="str">
        <f t="shared" si="2"/>
        <v/>
      </c>
      <c r="K43" s="3" t="str">
        <f>IF(ISNUMBER(SEARCH("-",V43)),IFERROR(IF($H$2="Lower", LOWER(ComputeResourceName(Z43,#REF!,#REF!,G43,N43,O43,P43,Q43,S43,T43,V43,A43)), UPPER(ComputeResourceName(Z43,#REF!,#REF!,G43,N43,O43,P43,Q43,S43,T43,V43,A43))),""),SUBSTITUTE(IFERROR(IF($H$2="Lower", LOWER(ComputeResourceName(#REF!,#REF!,#REF!,G43,N43,O43,P43,Q43,S43,T43,V43,A43)), UPPER(ComputeResourceName(#REF!,#REF!,#REF!,G43,N43,O43,P43,Q43,S43,T43,V43,A43))),""), "-",""))</f>
        <v/>
      </c>
      <c r="L43" s="3" t="str">
        <f xml:space="preserve"> IF(K43="","",  IFERROR(VLOOKUP(I43,Resources!$B$1:$H$1503,5,FALSE)-LEN(K43),0))</f>
        <v/>
      </c>
      <c r="M43" s="3" t="str">
        <f>IF(K43="","",IFERROR(matches(K43,VLOOKUP(I43,Resources!$A$2:$AA$1503,16,FALSE)),FALSE))</f>
        <v/>
      </c>
      <c r="N43" s="3" t="e">
        <f>VLOOKUP(E43,Enviroments!$A$3:$D$59,1,FALSE)</f>
        <v>#N/A</v>
      </c>
      <c r="O43" s="3" t="e">
        <f>VLOOKUP(E43,Enviroments!$A$3:$D$59,2,FALSE)</f>
        <v>#N/A</v>
      </c>
      <c r="P43" s="3" t="e">
        <f>VLOOKUP(E43,Enviroments!$A$3:$D$59,3,FALSE)</f>
        <v>#N/A</v>
      </c>
      <c r="Q43" s="3" t="e">
        <f>VLOOKUP(E43,Enviroments!$A$3:$D$59,4,FALSE)</f>
        <v>#N/A</v>
      </c>
      <c r="R43" s="3" t="e">
        <f>VLOOKUP(H43,AzureRegions!$A$4:$B$1493,1,FALSE)</f>
        <v>#N/A</v>
      </c>
      <c r="S43" s="3" t="e">
        <f>VLOOKUP(H43,AzureRegions!$A$4:$B$1493,2,FALSE)</f>
        <v>#N/A</v>
      </c>
      <c r="T43" s="3" t="e">
        <f>VLOOKUP(H43,AzureRegions!$A$4:$C$1493,3,FALSE)</f>
        <v>#N/A</v>
      </c>
      <c r="U43" s="3" t="e">
        <f>VLOOKUP(I43,Resources!$A$2:$AA$1503,2,FALSE)</f>
        <v>#N/A</v>
      </c>
      <c r="V43" s="3" t="e">
        <f>VLOOKUP(I43,Resources!$A$2:$H$1503,6,FALSE)</f>
        <v>#N/A</v>
      </c>
      <c r="W43" s="3" t="str">
        <f>VLOOKUP($H$2,Casing!$A$4:$A$60,1,FALSE)</f>
        <v>Lower</v>
      </c>
      <c r="X43" s="14" t="str">
        <f t="shared" si="1"/>
        <v>001</v>
      </c>
      <c r="Y43" s="3" t="str">
        <f>IFERROR(VLOOKUP(F43,Func!$A$4:$G$1500,2,FALSE),"none")</f>
        <v>none</v>
      </c>
      <c r="Z43" s="3" t="e">
        <f>VLOOKUP(I43,Resources!$A$2:$AA$1503,18,FALSE)</f>
        <v>#N/A</v>
      </c>
      <c r="AA43" s="3" t="str">
        <f>IFERROR(VLOOKUP(B43,Orgs!$A$4:$G$1500,2,FALSE),"none")</f>
        <v>none</v>
      </c>
      <c r="AB43" s="3" t="str">
        <f>IFERROR(VLOOKUP(C43,UnitsDepts!$A$4:$G$1500,2,FALSE),"none")</f>
        <v>none</v>
      </c>
      <c r="AC43" s="3" t="str">
        <f>IFERROR(VLOOKUP(D43,ProjAppSvc!$A$4:$G$1500,2,FALSE),"none")</f>
        <v>none</v>
      </c>
    </row>
    <row r="44" spans="1:29" x14ac:dyDescent="0.45">
      <c r="A44" s="14" t="s">
        <v>23</v>
      </c>
      <c r="B44" s="14"/>
      <c r="C44" s="14"/>
      <c r="D44" s="14"/>
      <c r="H44" s="8"/>
      <c r="I44" s="3"/>
      <c r="J44" s="3" t="str">
        <f t="shared" si="2"/>
        <v/>
      </c>
      <c r="K44" s="3" t="str">
        <f>IF(ISNUMBER(SEARCH("-",V44)),IFERROR(IF($H$2="Lower", LOWER(ComputeResourceName(Z44,#REF!,#REF!,G44,N44,O44,P44,Q44,S44,T44,V44,A44)), UPPER(ComputeResourceName(Z44,#REF!,#REF!,G44,N44,O44,P44,Q44,S44,T44,V44,A44))),""),SUBSTITUTE(IFERROR(IF($H$2="Lower", LOWER(ComputeResourceName(#REF!,#REF!,#REF!,G44,N44,O44,P44,Q44,S44,T44,V44,A44)), UPPER(ComputeResourceName(#REF!,#REF!,#REF!,G44,N44,O44,P44,Q44,S44,T44,V44,A44))),""), "-",""))</f>
        <v/>
      </c>
      <c r="L44" s="3" t="str">
        <f xml:space="preserve"> IF(K44="","",  IFERROR(VLOOKUP(I44,Resources!$B$1:$H$1503,5,FALSE)-LEN(K44),0))</f>
        <v/>
      </c>
      <c r="M44" s="3" t="str">
        <f>IF(K44="","",IFERROR(matches(K44,VLOOKUP(I44,Resources!$A$2:$AA$1503,16,FALSE)),FALSE))</f>
        <v/>
      </c>
      <c r="N44" s="3" t="e">
        <f>VLOOKUP(E44,Enviroments!$A$3:$D$59,1,FALSE)</f>
        <v>#N/A</v>
      </c>
      <c r="O44" s="3" t="e">
        <f>VLOOKUP(E44,Enviroments!$A$3:$D$59,2,FALSE)</f>
        <v>#N/A</v>
      </c>
      <c r="P44" s="3" t="e">
        <f>VLOOKUP(E44,Enviroments!$A$3:$D$59,3,FALSE)</f>
        <v>#N/A</v>
      </c>
      <c r="Q44" s="3" t="e">
        <f>VLOOKUP(E44,Enviroments!$A$3:$D$59,4,FALSE)</f>
        <v>#N/A</v>
      </c>
      <c r="R44" s="3" t="e">
        <f>VLOOKUP(H44,AzureRegions!$A$4:$B$1493,1,FALSE)</f>
        <v>#N/A</v>
      </c>
      <c r="S44" s="3" t="e">
        <f>VLOOKUP(H44,AzureRegions!$A$4:$B$1493,2,FALSE)</f>
        <v>#N/A</v>
      </c>
      <c r="T44" s="3" t="e">
        <f>VLOOKUP(H44,AzureRegions!$A$4:$C$1493,3,FALSE)</f>
        <v>#N/A</v>
      </c>
      <c r="U44" s="3" t="e">
        <f>VLOOKUP(I44,Resources!$A$2:$AA$1503,2,FALSE)</f>
        <v>#N/A</v>
      </c>
      <c r="V44" s="3" t="e">
        <f>VLOOKUP(I44,Resources!$A$2:$H$1503,6,FALSE)</f>
        <v>#N/A</v>
      </c>
      <c r="W44" s="3" t="str">
        <f>VLOOKUP($H$2,Casing!$A$4:$A$60,1,FALSE)</f>
        <v>Lower</v>
      </c>
      <c r="X44" s="14" t="str">
        <f t="shared" si="1"/>
        <v>001</v>
      </c>
      <c r="Y44" s="3" t="str">
        <f>IFERROR(VLOOKUP(F44,Func!$A$4:$G$1500,2,FALSE),"none")</f>
        <v>none</v>
      </c>
      <c r="Z44" s="3" t="e">
        <f>VLOOKUP(I44,Resources!$A$2:$AA$1503,18,FALSE)</f>
        <v>#N/A</v>
      </c>
      <c r="AA44" s="3" t="str">
        <f>IFERROR(VLOOKUP(B44,Orgs!$A$4:$G$1500,2,FALSE),"none")</f>
        <v>none</v>
      </c>
      <c r="AB44" s="3" t="str">
        <f>IFERROR(VLOOKUP(C44,UnitsDepts!$A$4:$G$1500,2,FALSE),"none")</f>
        <v>none</v>
      </c>
      <c r="AC44" s="3" t="str">
        <f>IFERROR(VLOOKUP(D44,ProjAppSvc!$A$4:$G$1500,2,FALSE),"none")</f>
        <v>none</v>
      </c>
    </row>
    <row r="45" spans="1:29" x14ac:dyDescent="0.45">
      <c r="A45" s="14" t="s">
        <v>23</v>
      </c>
      <c r="B45" s="14"/>
      <c r="C45" s="14"/>
      <c r="D45" s="14"/>
      <c r="H45" s="8"/>
      <c r="I45" s="3"/>
      <c r="J45" s="3" t="str">
        <f t="shared" si="2"/>
        <v/>
      </c>
      <c r="K45" s="3" t="str">
        <f>IF(ISNUMBER(SEARCH("-",V45)),IFERROR(IF($H$2="Lower", LOWER(ComputeResourceName(Z45,#REF!,#REF!,G45,N45,O45,P45,Q45,S45,T45,V45,A45)), UPPER(ComputeResourceName(Z45,#REF!,#REF!,G45,N45,O45,P45,Q45,S45,T45,V45,A45))),""),SUBSTITUTE(IFERROR(IF($H$2="Lower", LOWER(ComputeResourceName(#REF!,#REF!,#REF!,G45,N45,O45,P45,Q45,S45,T45,V45,A45)), UPPER(ComputeResourceName(#REF!,#REF!,#REF!,G45,N45,O45,P45,Q45,S45,T45,V45,A45))),""), "-",""))</f>
        <v/>
      </c>
      <c r="L45" s="3" t="str">
        <f xml:space="preserve"> IF(K45="","",  IFERROR(VLOOKUP(I45,Resources!$B$1:$H$1503,5,FALSE)-LEN(K45),0))</f>
        <v/>
      </c>
      <c r="M45" s="3" t="str">
        <f>IF(K45="","",IFERROR(matches(K45,VLOOKUP(I45,Resources!$A$2:$AA$1503,16,FALSE)),FALSE))</f>
        <v/>
      </c>
      <c r="N45" s="3" t="e">
        <f>VLOOKUP(E45,Enviroments!$A$3:$D$59,1,FALSE)</f>
        <v>#N/A</v>
      </c>
      <c r="O45" s="3" t="e">
        <f>VLOOKUP(E45,Enviroments!$A$3:$D$59,2,FALSE)</f>
        <v>#N/A</v>
      </c>
      <c r="P45" s="3" t="e">
        <f>VLOOKUP(E45,Enviroments!$A$3:$D$59,3,FALSE)</f>
        <v>#N/A</v>
      </c>
      <c r="Q45" s="3" t="e">
        <f>VLOOKUP(E45,Enviroments!$A$3:$D$59,4,FALSE)</f>
        <v>#N/A</v>
      </c>
      <c r="R45" s="3" t="e">
        <f>VLOOKUP(H45,AzureRegions!$A$4:$B$1493,1,FALSE)</f>
        <v>#N/A</v>
      </c>
      <c r="S45" s="3" t="e">
        <f>VLOOKUP(H45,AzureRegions!$A$4:$B$1493,2,FALSE)</f>
        <v>#N/A</v>
      </c>
      <c r="T45" s="3" t="e">
        <f>VLOOKUP(H45,AzureRegions!$A$4:$C$1493,3,FALSE)</f>
        <v>#N/A</v>
      </c>
      <c r="U45" s="3" t="e">
        <f>VLOOKUP(I45,Resources!$A$2:$AA$1503,2,FALSE)</f>
        <v>#N/A</v>
      </c>
      <c r="V45" s="3" t="e">
        <f>VLOOKUP(I45,Resources!$A$2:$H$1503,6,FALSE)</f>
        <v>#N/A</v>
      </c>
      <c r="W45" s="3" t="str">
        <f>VLOOKUP($H$2,Casing!$A$4:$A$60,1,FALSE)</f>
        <v>Lower</v>
      </c>
      <c r="X45" s="14" t="s">
        <v>1262</v>
      </c>
      <c r="Y45" s="3" t="str">
        <f>IFERROR(VLOOKUP(F45,Func!$A$4:$G$1500,2,FALSE),"none")</f>
        <v>none</v>
      </c>
      <c r="Z45" s="3" t="e">
        <f>VLOOKUP(I45,Resources!$A$2:$AA$1503,18,FALSE)</f>
        <v>#N/A</v>
      </c>
      <c r="AA45" s="3" t="str">
        <f>IFERROR(VLOOKUP(B45,Orgs!$A$4:$G$1500,2,FALSE),"none")</f>
        <v>none</v>
      </c>
      <c r="AB45" s="3" t="str">
        <f>IFERROR(VLOOKUP(C45,UnitsDepts!$A$4:$G$1500,2,FALSE),"none")</f>
        <v>none</v>
      </c>
      <c r="AC45" s="3" t="str">
        <f>IFERROR(VLOOKUP(D45,ProjAppSvc!$A$4:$G$1500,2,FALSE),"none")</f>
        <v>none</v>
      </c>
    </row>
    <row r="46" spans="1:29" x14ac:dyDescent="0.45">
      <c r="A46" s="14" t="s">
        <v>23</v>
      </c>
      <c r="B46" s="14"/>
      <c r="C46" s="14"/>
      <c r="D46" s="14"/>
      <c r="H46" s="8"/>
      <c r="I46" s="3"/>
      <c r="J46" s="3" t="str">
        <f t="shared" si="2"/>
        <v/>
      </c>
      <c r="K46" s="3" t="str">
        <f>IF(ISNUMBER(SEARCH("-",V46)),IFERROR(IF($H$2="Lower", LOWER(ComputeResourceName(Z46,#REF!,#REF!,G46,N46,O46,P46,Q46,S46,T46,V46,A46)), UPPER(ComputeResourceName(Z46,#REF!,#REF!,G46,N46,O46,P46,Q46,S46,T46,V46,A46))),""),SUBSTITUTE(IFERROR(IF($H$2="Lower", LOWER(ComputeResourceName(#REF!,#REF!,#REF!,G46,N46,O46,P46,Q46,S46,T46,V46,A46)), UPPER(ComputeResourceName(#REF!,#REF!,#REF!,G46,N46,O46,P46,Q46,S46,T46,V46,A46))),""), "-",""))</f>
        <v/>
      </c>
      <c r="L46" s="3" t="str">
        <f xml:space="preserve"> IF(K46="","",  IFERROR(VLOOKUP(I46,Resources!$B$1:$H$1503,5,FALSE)-LEN(K46),0))</f>
        <v/>
      </c>
      <c r="M46" s="3" t="str">
        <f>IF(K46="","",IFERROR(matches(K46,VLOOKUP(I46,Resources!$A$2:$AA$1503,16,FALSE)),FALSE))</f>
        <v/>
      </c>
      <c r="N46" s="3" t="e">
        <f>VLOOKUP(E46,Enviroments!$A$3:$D$59,1,FALSE)</f>
        <v>#N/A</v>
      </c>
      <c r="O46" s="3" t="e">
        <f>VLOOKUP(E46,Enviroments!$A$3:$D$59,2,FALSE)</f>
        <v>#N/A</v>
      </c>
      <c r="P46" s="3" t="e">
        <f>VLOOKUP(E46,Enviroments!$A$3:$D$59,3,FALSE)</f>
        <v>#N/A</v>
      </c>
      <c r="Q46" s="3" t="e">
        <f>VLOOKUP(E46,Enviroments!$A$3:$D$59,4,FALSE)</f>
        <v>#N/A</v>
      </c>
      <c r="R46" s="3" t="e">
        <f>VLOOKUP(H46,AzureRegions!$A$4:$B$1493,1,FALSE)</f>
        <v>#N/A</v>
      </c>
      <c r="S46" s="3" t="e">
        <f>VLOOKUP(H46,AzureRegions!$A$4:$B$1493,2,FALSE)</f>
        <v>#N/A</v>
      </c>
      <c r="T46" s="3" t="e">
        <f>VLOOKUP(H46,AzureRegions!$A$4:$C$1493,3,FALSE)</f>
        <v>#N/A</v>
      </c>
      <c r="U46" s="3" t="e">
        <f>VLOOKUP(I46,Resources!$A$2:$AA$1503,2,FALSE)</f>
        <v>#N/A</v>
      </c>
      <c r="V46" s="3" t="e">
        <f>VLOOKUP(I46,Resources!$A$2:$H$1503,6,FALSE)</f>
        <v>#N/A</v>
      </c>
      <c r="W46" s="3" t="str">
        <f>VLOOKUP($H$2,Casing!$A$4:$A$60,1,FALSE)</f>
        <v>Lower</v>
      </c>
      <c r="X46" s="14" t="str">
        <f t="shared" si="1"/>
        <v>001</v>
      </c>
      <c r="Y46" s="3" t="str">
        <f>IFERROR(VLOOKUP(F46,Func!$A$4:$G$1500,2,FALSE),"none")</f>
        <v>none</v>
      </c>
      <c r="Z46" s="3" t="e">
        <f>VLOOKUP(I46,Resources!$A$2:$AA$1503,18,FALSE)</f>
        <v>#N/A</v>
      </c>
      <c r="AA46" s="3" t="str">
        <f>IFERROR(VLOOKUP(B46,Orgs!$A$4:$G$1500,2,FALSE),"none")</f>
        <v>none</v>
      </c>
      <c r="AB46" s="3" t="str">
        <f>IFERROR(VLOOKUP(C46,UnitsDepts!$A$4:$G$1500,2,FALSE),"none")</f>
        <v>none</v>
      </c>
      <c r="AC46" s="3" t="str">
        <f>IFERROR(VLOOKUP(D46,ProjAppSvc!$A$4:$G$1500,2,FALSE),"none")</f>
        <v>none</v>
      </c>
    </row>
    <row r="47" spans="1:29" x14ac:dyDescent="0.45">
      <c r="A47" s="14" t="s">
        <v>23</v>
      </c>
      <c r="B47" s="14"/>
      <c r="C47" s="14"/>
      <c r="D47" s="14"/>
      <c r="H47" s="8"/>
      <c r="I47" s="3"/>
      <c r="J47" s="3" t="str">
        <f t="shared" si="2"/>
        <v/>
      </c>
      <c r="K47" s="3" t="str">
        <f>IF(ISNUMBER(SEARCH("-",V47)),IFERROR(IF($H$2="Lower", LOWER(ComputeResourceName(Z47,#REF!,#REF!,G47,N47,O47,P47,Q47,S47,T47,V47,A47)), UPPER(ComputeResourceName(Z47,#REF!,#REF!,G47,N47,O47,P47,Q47,S47,T47,V47,A47))),""),SUBSTITUTE(IFERROR(IF($H$2="Lower", LOWER(ComputeResourceName(#REF!,#REF!,#REF!,G47,N47,O47,P47,Q47,S47,T47,V47,A47)), UPPER(ComputeResourceName(#REF!,#REF!,#REF!,G47,N47,O47,P47,Q47,S47,T47,V47,A47))),""), "-",""))</f>
        <v/>
      </c>
      <c r="L47" s="3" t="str">
        <f xml:space="preserve"> IF(K47="","",  IFERROR(VLOOKUP(I47,Resources!$B$1:$H$1503,5,FALSE)-LEN(K47),0))</f>
        <v/>
      </c>
      <c r="M47" s="3" t="str">
        <f>IF(K47="","",IFERROR(matches(K47,VLOOKUP(I47,Resources!$A$2:$AA$1503,16,FALSE)),FALSE))</f>
        <v/>
      </c>
      <c r="N47" s="3" t="e">
        <f>VLOOKUP(E47,Enviroments!$A$3:$D$59,1,FALSE)</f>
        <v>#N/A</v>
      </c>
      <c r="O47" s="3" t="e">
        <f>VLOOKUP(E47,Enviroments!$A$3:$D$59,2,FALSE)</f>
        <v>#N/A</v>
      </c>
      <c r="P47" s="3" t="e">
        <f>VLOOKUP(E47,Enviroments!$A$3:$D$59,3,FALSE)</f>
        <v>#N/A</v>
      </c>
      <c r="Q47" s="3" t="e">
        <f>VLOOKUP(E47,Enviroments!$A$3:$D$59,4,FALSE)</f>
        <v>#N/A</v>
      </c>
      <c r="R47" s="3" t="e">
        <f>VLOOKUP(H47,AzureRegions!$A$4:$B$1493,1,FALSE)</f>
        <v>#N/A</v>
      </c>
      <c r="S47" s="3" t="e">
        <f>VLOOKUP(H47,AzureRegions!$A$4:$B$1493,2,FALSE)</f>
        <v>#N/A</v>
      </c>
      <c r="T47" s="3" t="e">
        <f>VLOOKUP(H47,AzureRegions!$A$4:$C$1493,3,FALSE)</f>
        <v>#N/A</v>
      </c>
      <c r="U47" s="3" t="e">
        <f>VLOOKUP(I47,Resources!$A$2:$AA$1503,2,FALSE)</f>
        <v>#N/A</v>
      </c>
      <c r="V47" s="3" t="e">
        <f>VLOOKUP(I47,Resources!$A$2:$H$1503,6,FALSE)</f>
        <v>#N/A</v>
      </c>
      <c r="W47" s="3" t="str">
        <f>VLOOKUP($H$2,Casing!$A$4:$A$60,1,FALSE)</f>
        <v>Lower</v>
      </c>
      <c r="X47" s="14" t="str">
        <f t="shared" si="1"/>
        <v>001</v>
      </c>
      <c r="Y47" s="3" t="str">
        <f>IFERROR(VLOOKUP(F47,Func!$A$4:$G$1500,2,FALSE),"none")</f>
        <v>none</v>
      </c>
      <c r="Z47" s="3" t="e">
        <f>VLOOKUP(I47,Resources!$A$2:$AA$1503,18,FALSE)</f>
        <v>#N/A</v>
      </c>
      <c r="AA47" s="3" t="str">
        <f>IFERROR(VLOOKUP(B47,Orgs!$A$4:$G$1500,2,FALSE),"none")</f>
        <v>none</v>
      </c>
      <c r="AB47" s="3" t="str">
        <f>IFERROR(VLOOKUP(C47,UnitsDepts!$A$4:$G$1500,2,FALSE),"none")</f>
        <v>none</v>
      </c>
      <c r="AC47" s="3" t="str">
        <f>IFERROR(VLOOKUP(D47,ProjAppSvc!$A$4:$G$1500,2,FALSE),"none")</f>
        <v>none</v>
      </c>
    </row>
    <row r="48" spans="1:29" x14ac:dyDescent="0.45">
      <c r="A48" s="14" t="s">
        <v>23</v>
      </c>
      <c r="B48" s="14"/>
      <c r="C48" s="14"/>
      <c r="D48" s="14"/>
      <c r="H48" s="8"/>
      <c r="I48" s="3"/>
      <c r="J48" s="3" t="str">
        <f t="shared" si="2"/>
        <v/>
      </c>
      <c r="K48" s="3" t="str">
        <f>IF(ISNUMBER(SEARCH("-",V48)),IFERROR(IF($H$2="Lower", LOWER(ComputeResourceName(Z48,#REF!,#REF!,G48,N48,O48,P48,Q48,S48,T48,V48,A48)), UPPER(ComputeResourceName(Z48,#REF!,#REF!,G48,N48,O48,P48,Q48,S48,T48,V48,A48))),""),SUBSTITUTE(IFERROR(IF($H$2="Lower", LOWER(ComputeResourceName(#REF!,#REF!,#REF!,G48,N48,O48,P48,Q48,S48,T48,V48,A48)), UPPER(ComputeResourceName(#REF!,#REF!,#REF!,G48,N48,O48,P48,Q48,S48,T48,V48,A48))),""), "-",""))</f>
        <v/>
      </c>
      <c r="L48" s="3" t="str">
        <f xml:space="preserve"> IF(K48="","",  IFERROR(VLOOKUP(I48,Resources!$B$1:$H$1503,5,FALSE)-LEN(K48),0))</f>
        <v/>
      </c>
      <c r="M48" s="3" t="str">
        <f>IF(K48="","",IFERROR(matches(K48,VLOOKUP(I48,Resources!$A$2:$AA$1503,16,FALSE)),FALSE))</f>
        <v/>
      </c>
      <c r="N48" s="3" t="e">
        <f>VLOOKUP(E48,Enviroments!$A$3:$D$59,1,FALSE)</f>
        <v>#N/A</v>
      </c>
      <c r="O48" s="3" t="e">
        <f>VLOOKUP(E48,Enviroments!$A$3:$D$59,2,FALSE)</f>
        <v>#N/A</v>
      </c>
      <c r="P48" s="3" t="e">
        <f>VLOOKUP(E48,Enviroments!$A$3:$D$59,3,FALSE)</f>
        <v>#N/A</v>
      </c>
      <c r="Q48" s="3" t="e">
        <f>VLOOKUP(E48,Enviroments!$A$3:$D$59,4,FALSE)</f>
        <v>#N/A</v>
      </c>
      <c r="R48" s="3" t="e">
        <f>VLOOKUP(H48,AzureRegions!$A$4:$B$1493,1,FALSE)</f>
        <v>#N/A</v>
      </c>
      <c r="S48" s="3" t="e">
        <f>VLOOKUP(H48,AzureRegions!$A$4:$B$1493,2,FALSE)</f>
        <v>#N/A</v>
      </c>
      <c r="T48" s="3" t="e">
        <f>VLOOKUP(H48,AzureRegions!$A$4:$C$1493,3,FALSE)</f>
        <v>#N/A</v>
      </c>
      <c r="U48" s="3" t="e">
        <f>VLOOKUP(I48,Resources!$A$2:$AA$1503,2,FALSE)</f>
        <v>#N/A</v>
      </c>
      <c r="V48" s="3" t="e">
        <f>VLOOKUP(I48,Resources!$A$2:$H$1503,6,FALSE)</f>
        <v>#N/A</v>
      </c>
      <c r="W48" s="3" t="str">
        <f>VLOOKUP($H$2,Casing!$A$4:$A$60,1,FALSE)</f>
        <v>Lower</v>
      </c>
      <c r="X48" s="14" t="str">
        <f t="shared" si="1"/>
        <v>001</v>
      </c>
      <c r="Y48" s="3" t="str">
        <f>IFERROR(VLOOKUP(F48,Func!$A$4:$G$1500,2,FALSE),"none")</f>
        <v>none</v>
      </c>
      <c r="Z48" s="3" t="e">
        <f>VLOOKUP(I48,Resources!$A$2:$AA$1503,18,FALSE)</f>
        <v>#N/A</v>
      </c>
      <c r="AA48" s="3" t="str">
        <f>IFERROR(VLOOKUP(B48,Orgs!$A$4:$G$1500,2,FALSE),"none")</f>
        <v>none</v>
      </c>
      <c r="AB48" s="3" t="str">
        <f>IFERROR(VLOOKUP(C48,UnitsDepts!$A$4:$G$1500,2,FALSE),"none")</f>
        <v>none</v>
      </c>
      <c r="AC48" s="3" t="str">
        <f>IFERROR(VLOOKUP(D48,ProjAppSvc!$A$4:$G$1500,2,FALSE),"none")</f>
        <v>none</v>
      </c>
    </row>
    <row r="49" spans="1:29" x14ac:dyDescent="0.45">
      <c r="A49" s="14" t="s">
        <v>23</v>
      </c>
      <c r="B49" s="14"/>
      <c r="C49" s="14"/>
      <c r="D49" s="14"/>
      <c r="H49" s="8"/>
      <c r="I49" s="3"/>
      <c r="J49" s="3" t="str">
        <f t="shared" si="2"/>
        <v/>
      </c>
      <c r="K49" s="3" t="str">
        <f>IF(ISNUMBER(SEARCH("-",V49)),IFERROR(IF($H$2="Lower", LOWER(ComputeResourceName(Z49,#REF!,#REF!,G49,N49,O49,P49,Q49,S49,T49,V49,A49)), UPPER(ComputeResourceName(Z49,#REF!,#REF!,G49,N49,O49,P49,Q49,S49,T49,V49,A49))),""),SUBSTITUTE(IFERROR(IF($H$2="Lower", LOWER(ComputeResourceName(#REF!,#REF!,#REF!,G49,N49,O49,P49,Q49,S49,T49,V49,A49)), UPPER(ComputeResourceName(#REF!,#REF!,#REF!,G49,N49,O49,P49,Q49,S49,T49,V49,A49))),""), "-",""))</f>
        <v/>
      </c>
      <c r="L49" s="3" t="str">
        <f xml:space="preserve"> IF(K49="","",  IFERROR(VLOOKUP(I49,Resources!$B$1:$H$1503,5,FALSE)-LEN(K49),0))</f>
        <v/>
      </c>
      <c r="M49" s="3" t="str">
        <f>IF(K49="","",IFERROR(matches(K49,VLOOKUP(I49,Resources!$A$2:$AA$1503,16,FALSE)),FALSE))</f>
        <v/>
      </c>
      <c r="N49" s="3" t="e">
        <f>VLOOKUP(E49,Enviroments!$A$3:$D$59,1,FALSE)</f>
        <v>#N/A</v>
      </c>
      <c r="O49" s="3" t="e">
        <f>VLOOKUP(E49,Enviroments!$A$3:$D$59,2,FALSE)</f>
        <v>#N/A</v>
      </c>
      <c r="P49" s="3" t="e">
        <f>VLOOKUP(E49,Enviroments!$A$3:$D$59,3,FALSE)</f>
        <v>#N/A</v>
      </c>
      <c r="Q49" s="3" t="e">
        <f>VLOOKUP(E49,Enviroments!$A$3:$D$59,4,FALSE)</f>
        <v>#N/A</v>
      </c>
      <c r="R49" s="3" t="e">
        <f>VLOOKUP(H49,AzureRegions!$A$4:$B$1493,1,FALSE)</f>
        <v>#N/A</v>
      </c>
      <c r="S49" s="3" t="e">
        <f>VLOOKUP(H49,AzureRegions!$A$4:$B$1493,2,FALSE)</f>
        <v>#N/A</v>
      </c>
      <c r="T49" s="3" t="e">
        <f>VLOOKUP(H49,AzureRegions!$A$4:$C$1493,3,FALSE)</f>
        <v>#N/A</v>
      </c>
      <c r="U49" s="3" t="e">
        <f>VLOOKUP(I49,Resources!$A$2:$AA$1503,2,FALSE)</f>
        <v>#N/A</v>
      </c>
      <c r="V49" s="3" t="e">
        <f>VLOOKUP(I49,Resources!$A$2:$H$1503,6,FALSE)</f>
        <v>#N/A</v>
      </c>
      <c r="W49" s="3" t="str">
        <f>VLOOKUP($H$2,Casing!$A$4:$A$60,1,FALSE)</f>
        <v>Lower</v>
      </c>
      <c r="X49" s="14" t="str">
        <f t="shared" si="1"/>
        <v>001</v>
      </c>
      <c r="Y49" s="3" t="str">
        <f>IFERROR(VLOOKUP(F49,Func!$A$4:$G$1500,2,FALSE),"none")</f>
        <v>none</v>
      </c>
      <c r="Z49" s="3" t="e">
        <f>VLOOKUP(I49,Resources!$A$2:$AA$1503,18,FALSE)</f>
        <v>#N/A</v>
      </c>
      <c r="AA49" s="3" t="str">
        <f>IFERROR(VLOOKUP(B49,Orgs!$A$4:$G$1500,2,FALSE),"none")</f>
        <v>none</v>
      </c>
      <c r="AB49" s="3" t="str">
        <f>IFERROR(VLOOKUP(C49,UnitsDepts!$A$4:$G$1500,2,FALSE),"none")</f>
        <v>none</v>
      </c>
      <c r="AC49" s="3" t="str">
        <f>IFERROR(VLOOKUP(D49,ProjAppSvc!$A$4:$G$1500,2,FALSE),"none")</f>
        <v>none</v>
      </c>
    </row>
    <row r="50" spans="1:29" x14ac:dyDescent="0.45">
      <c r="A50" s="14" t="s">
        <v>23</v>
      </c>
      <c r="B50" s="14"/>
      <c r="C50" s="14"/>
      <c r="D50" s="14"/>
      <c r="H50" s="8"/>
      <c r="I50" s="3"/>
      <c r="J50" s="3" t="str">
        <f t="shared" si="2"/>
        <v/>
      </c>
      <c r="K50" s="3" t="str">
        <f>IF(ISNUMBER(SEARCH("-",V50)),IFERROR(IF($H$2="Lower", LOWER(ComputeResourceName(Z50,#REF!,#REF!,G50,N50,O50,P50,Q50,S50,T50,V50,A50)), UPPER(ComputeResourceName(Z50,#REF!,#REF!,G50,N50,O50,P50,Q50,S50,T50,V50,A50))),""),SUBSTITUTE(IFERROR(IF($H$2="Lower", LOWER(ComputeResourceName(#REF!,#REF!,#REF!,G50,N50,O50,P50,Q50,S50,T50,V50,A50)), UPPER(ComputeResourceName(#REF!,#REF!,#REF!,G50,N50,O50,P50,Q50,S50,T50,V50,A50))),""), "-",""))</f>
        <v/>
      </c>
      <c r="L50" s="3" t="str">
        <f xml:space="preserve"> IF(K50="","",  IFERROR(VLOOKUP(I50,Resources!$B$1:$H$1503,5,FALSE)-LEN(K50),0))</f>
        <v/>
      </c>
      <c r="M50" s="3" t="str">
        <f>IF(K50="","",IFERROR(matches(K50,VLOOKUP(I50,Resources!$A$2:$AA$1503,16,FALSE)),FALSE))</f>
        <v/>
      </c>
      <c r="N50" s="3" t="e">
        <f>VLOOKUP(E50,Enviroments!$A$3:$D$59,1,FALSE)</f>
        <v>#N/A</v>
      </c>
      <c r="O50" s="3" t="e">
        <f>VLOOKUP(E50,Enviroments!$A$3:$D$59,2,FALSE)</f>
        <v>#N/A</v>
      </c>
      <c r="P50" s="3" t="e">
        <f>VLOOKUP(E50,Enviroments!$A$3:$D$59,3,FALSE)</f>
        <v>#N/A</v>
      </c>
      <c r="Q50" s="3" t="e">
        <f>VLOOKUP(E50,Enviroments!$A$3:$D$59,4,FALSE)</f>
        <v>#N/A</v>
      </c>
      <c r="R50" s="3" t="e">
        <f>VLOOKUP(H50,AzureRegions!$A$4:$B$1493,1,FALSE)</f>
        <v>#N/A</v>
      </c>
      <c r="S50" s="3" t="e">
        <f>VLOOKUP(H50,AzureRegions!$A$4:$B$1493,2,FALSE)</f>
        <v>#N/A</v>
      </c>
      <c r="T50" s="3" t="e">
        <f>VLOOKUP(H50,AzureRegions!$A$4:$C$1493,3,FALSE)</f>
        <v>#N/A</v>
      </c>
      <c r="U50" s="3" t="e">
        <f>VLOOKUP(I50,Resources!$A$2:$AA$1503,2,FALSE)</f>
        <v>#N/A</v>
      </c>
      <c r="V50" s="3" t="e">
        <f>VLOOKUP(I50,Resources!$A$2:$H$1503,6,FALSE)</f>
        <v>#N/A</v>
      </c>
      <c r="W50" s="3" t="str">
        <f>VLOOKUP($H$2,Casing!$A$4:$A$60,1,FALSE)</f>
        <v>Lower</v>
      </c>
      <c r="X50" s="14" t="str">
        <f t="shared" si="1"/>
        <v>001</v>
      </c>
      <c r="Y50" s="3" t="str">
        <f>IFERROR(VLOOKUP(F50,Func!$A$4:$G$1500,2,FALSE),"none")</f>
        <v>none</v>
      </c>
      <c r="Z50" s="3" t="e">
        <f>VLOOKUP(I50,Resources!$A$2:$AA$1503,18,FALSE)</f>
        <v>#N/A</v>
      </c>
      <c r="AA50" s="3" t="str">
        <f>IFERROR(VLOOKUP(B50,Orgs!$A$4:$G$1500,2,FALSE),"none")</f>
        <v>none</v>
      </c>
      <c r="AB50" s="3" t="str">
        <f>IFERROR(VLOOKUP(C50,UnitsDepts!$A$4:$G$1500,2,FALSE),"none")</f>
        <v>none</v>
      </c>
      <c r="AC50" s="3" t="str">
        <f>IFERROR(VLOOKUP(D50,ProjAppSvc!$A$4:$G$1500,2,FALSE),"none")</f>
        <v>none</v>
      </c>
    </row>
    <row r="51" spans="1:29" x14ac:dyDescent="0.45">
      <c r="A51" s="14" t="s">
        <v>23</v>
      </c>
      <c r="B51" s="14"/>
      <c r="C51" s="14"/>
      <c r="D51" s="14"/>
      <c r="H51" s="8"/>
      <c r="I51" s="3"/>
      <c r="J51" s="3" t="str">
        <f t="shared" si="2"/>
        <v/>
      </c>
      <c r="K51" s="3" t="str">
        <f>IF(ISNUMBER(SEARCH("-",V51)),IFERROR(IF($H$2="Lower", LOWER(ComputeResourceName(Z51,#REF!,#REF!,G51,N51,O51,P51,Q51,S51,T51,V51,A51)), UPPER(ComputeResourceName(Z51,#REF!,#REF!,G51,N51,O51,P51,Q51,S51,T51,V51,A51))),""),SUBSTITUTE(IFERROR(IF($H$2="Lower", LOWER(ComputeResourceName(#REF!,#REF!,#REF!,G51,N51,O51,P51,Q51,S51,T51,V51,A51)), UPPER(ComputeResourceName(#REF!,#REF!,#REF!,G51,N51,O51,P51,Q51,S51,T51,V51,A51))),""), "-",""))</f>
        <v/>
      </c>
      <c r="L51" s="3" t="str">
        <f xml:space="preserve"> IF(K51="","",  IFERROR(VLOOKUP(I51,Resources!$B$1:$H$1503,5,FALSE)-LEN(K51),0))</f>
        <v/>
      </c>
      <c r="M51" s="3" t="str">
        <f>IF(K51="","",IFERROR(matches(K51,VLOOKUP(I51,Resources!$A$2:$AA$1503,16,FALSE)),FALSE))</f>
        <v/>
      </c>
      <c r="N51" s="3" t="e">
        <f>VLOOKUP(E51,Enviroments!$A$3:$D$59,1,FALSE)</f>
        <v>#N/A</v>
      </c>
      <c r="O51" s="3" t="e">
        <f>VLOOKUP(E51,Enviroments!$A$3:$D$59,2,FALSE)</f>
        <v>#N/A</v>
      </c>
      <c r="P51" s="3" t="e">
        <f>VLOOKUP(E51,Enviroments!$A$3:$D$59,3,FALSE)</f>
        <v>#N/A</v>
      </c>
      <c r="Q51" s="3" t="e">
        <f>VLOOKUP(E51,Enviroments!$A$3:$D$59,4,FALSE)</f>
        <v>#N/A</v>
      </c>
      <c r="R51" s="3" t="e">
        <f>VLOOKUP(H51,AzureRegions!$A$4:$B$1493,1,FALSE)</f>
        <v>#N/A</v>
      </c>
      <c r="S51" s="3" t="e">
        <f>VLOOKUP(H51,AzureRegions!$A$4:$B$1493,2,FALSE)</f>
        <v>#N/A</v>
      </c>
      <c r="T51" s="3" t="e">
        <f>VLOOKUP(H51,AzureRegions!$A$4:$C$1493,3,FALSE)</f>
        <v>#N/A</v>
      </c>
      <c r="U51" s="3" t="e">
        <f>VLOOKUP(I51,Resources!$A$2:$AA$1503,2,FALSE)</f>
        <v>#N/A</v>
      </c>
      <c r="V51" s="3" t="e">
        <f>VLOOKUP(I51,Resources!$A$2:$H$1503,6,FALSE)</f>
        <v>#N/A</v>
      </c>
      <c r="W51" s="3" t="str">
        <f>VLOOKUP($H$2,Casing!$A$4:$A$60,1,FALSE)</f>
        <v>Lower</v>
      </c>
      <c r="X51" s="14" t="str">
        <f t="shared" si="1"/>
        <v>001</v>
      </c>
      <c r="Y51" s="3" t="str">
        <f>IFERROR(VLOOKUP(F51,Func!$A$4:$G$1500,2,FALSE),"none")</f>
        <v>none</v>
      </c>
      <c r="Z51" s="3" t="e">
        <f>VLOOKUP(I51,Resources!$A$2:$AA$1503,18,FALSE)</f>
        <v>#N/A</v>
      </c>
      <c r="AA51" s="3" t="str">
        <f>IFERROR(VLOOKUP(B51,Orgs!$A$4:$G$1500,2,FALSE),"none")</f>
        <v>none</v>
      </c>
      <c r="AB51" s="3" t="str">
        <f>IFERROR(VLOOKUP(C51,UnitsDepts!$A$4:$G$1500,2,FALSE),"none")</f>
        <v>none</v>
      </c>
      <c r="AC51" s="3" t="str">
        <f>IFERROR(VLOOKUP(D51,ProjAppSvc!$A$4:$G$1500,2,FALSE),"none")</f>
        <v>none</v>
      </c>
    </row>
    <row r="52" spans="1:29" x14ac:dyDescent="0.45">
      <c r="A52" s="14" t="s">
        <v>23</v>
      </c>
      <c r="B52" s="14"/>
      <c r="C52" s="14"/>
      <c r="D52" s="14"/>
      <c r="H52" s="8"/>
      <c r="I52" s="3"/>
      <c r="J52" s="3" t="str">
        <f t="shared" si="2"/>
        <v/>
      </c>
      <c r="K52" s="3" t="str">
        <f>IF(ISNUMBER(SEARCH("-",V52)),IFERROR(IF($H$2="Lower", LOWER(ComputeResourceName(Z52,#REF!,#REF!,G52,N52,O52,P52,Q52,S52,T52,V52,A52)), UPPER(ComputeResourceName(Z52,#REF!,#REF!,G52,N52,O52,P52,Q52,S52,T52,V52,A52))),""),SUBSTITUTE(IFERROR(IF($H$2="Lower", LOWER(ComputeResourceName(#REF!,#REF!,#REF!,G52,N52,O52,P52,Q52,S52,T52,V52,A52)), UPPER(ComputeResourceName(#REF!,#REF!,#REF!,G52,N52,O52,P52,Q52,S52,T52,V52,A52))),""), "-",""))</f>
        <v/>
      </c>
      <c r="L52" s="3" t="str">
        <f xml:space="preserve"> IF(K52="","",  IFERROR(VLOOKUP(I52,Resources!$B$1:$H$1503,5,FALSE)-LEN(K52),0))</f>
        <v/>
      </c>
      <c r="M52" s="3" t="str">
        <f>IF(K52="","",IFERROR(matches(K52,VLOOKUP(I52,Resources!$A$2:$AA$1503,16,FALSE)),FALSE))</f>
        <v/>
      </c>
      <c r="N52" s="3" t="e">
        <f>VLOOKUP(E52,Enviroments!$A$3:$D$59,1,FALSE)</f>
        <v>#N/A</v>
      </c>
      <c r="O52" s="3" t="e">
        <f>VLOOKUP(E52,Enviroments!$A$3:$D$59,2,FALSE)</f>
        <v>#N/A</v>
      </c>
      <c r="P52" s="3" t="e">
        <f>VLOOKUP(E52,Enviroments!$A$3:$D$59,3,FALSE)</f>
        <v>#N/A</v>
      </c>
      <c r="Q52" s="3" t="e">
        <f>VLOOKUP(E52,Enviroments!$A$3:$D$59,4,FALSE)</f>
        <v>#N/A</v>
      </c>
      <c r="R52" s="3" t="e">
        <f>VLOOKUP(H52,AzureRegions!$A$4:$B$1493,1,FALSE)</f>
        <v>#N/A</v>
      </c>
      <c r="S52" s="3" t="e">
        <f>VLOOKUP(H52,AzureRegions!$A$4:$B$1493,2,FALSE)</f>
        <v>#N/A</v>
      </c>
      <c r="T52" s="3" t="e">
        <f>VLOOKUP(H52,AzureRegions!$A$4:$C$1493,3,FALSE)</f>
        <v>#N/A</v>
      </c>
      <c r="U52" s="3" t="e">
        <f>VLOOKUP(I52,Resources!$A$2:$AA$1503,2,FALSE)</f>
        <v>#N/A</v>
      </c>
      <c r="V52" s="3" t="e">
        <f>VLOOKUP(I52,Resources!$A$2:$H$1503,6,FALSE)</f>
        <v>#N/A</v>
      </c>
      <c r="W52" s="3" t="str">
        <f>VLOOKUP($H$2,Casing!$A$4:$A$60,1,FALSE)</f>
        <v>Lower</v>
      </c>
      <c r="X52" s="14" t="str">
        <f t="shared" si="1"/>
        <v>001</v>
      </c>
      <c r="Y52" s="3" t="str">
        <f>IFERROR(VLOOKUP(F52,Func!$A$4:$G$1500,2,FALSE),"none")</f>
        <v>none</v>
      </c>
      <c r="Z52" s="3" t="e">
        <f>VLOOKUP(I52,Resources!$A$2:$AA$1503,18,FALSE)</f>
        <v>#N/A</v>
      </c>
      <c r="AA52" s="3" t="str">
        <f>IFERROR(VLOOKUP(B52,Orgs!$A$4:$G$1500,2,FALSE),"none")</f>
        <v>none</v>
      </c>
      <c r="AB52" s="3" t="str">
        <f>IFERROR(VLOOKUP(C52,UnitsDepts!$A$4:$G$1500,2,FALSE),"none")</f>
        <v>none</v>
      </c>
      <c r="AC52" s="3" t="str">
        <f>IFERROR(VLOOKUP(D52,ProjAppSvc!$A$4:$G$1500,2,FALSE),"none")</f>
        <v>none</v>
      </c>
    </row>
    <row r="53" spans="1:29" x14ac:dyDescent="0.45">
      <c r="A53" s="14" t="s">
        <v>23</v>
      </c>
      <c r="B53" s="14"/>
      <c r="C53" s="14"/>
      <c r="D53" s="14"/>
      <c r="H53" s="8"/>
      <c r="I53" s="3"/>
      <c r="J53" s="3" t="str">
        <f t="shared" si="2"/>
        <v/>
      </c>
      <c r="K53" s="3" t="str">
        <f>IF(ISNUMBER(SEARCH("-",V53)),IFERROR(IF($H$2="Lower", LOWER(ComputeResourceName(Z53,#REF!,#REF!,G53,N53,O53,P53,Q53,S53,T53,V53,A53)), UPPER(ComputeResourceName(Z53,#REF!,#REF!,G53,N53,O53,P53,Q53,S53,T53,V53,A53))),""),SUBSTITUTE(IFERROR(IF($H$2="Lower", LOWER(ComputeResourceName(#REF!,#REF!,#REF!,G53,N53,O53,P53,Q53,S53,T53,V53,A53)), UPPER(ComputeResourceName(#REF!,#REF!,#REF!,G53,N53,O53,P53,Q53,S53,T53,V53,A53))),""), "-",""))</f>
        <v/>
      </c>
      <c r="L53" s="3" t="str">
        <f xml:space="preserve"> IF(K53="","",  IFERROR(VLOOKUP(I53,Resources!$B$1:$H$1503,5,FALSE)-LEN(K53),0))</f>
        <v/>
      </c>
      <c r="M53" s="3" t="str">
        <f>IF(K53="","",IFERROR(matches(K53,VLOOKUP(I53,Resources!$A$2:$AA$1503,16,FALSE)),FALSE))</f>
        <v/>
      </c>
      <c r="N53" s="3" t="e">
        <f>VLOOKUP(E53,Enviroments!$A$3:$D$59,1,FALSE)</f>
        <v>#N/A</v>
      </c>
      <c r="O53" s="3" t="e">
        <f>VLOOKUP(E53,Enviroments!$A$3:$D$59,2,FALSE)</f>
        <v>#N/A</v>
      </c>
      <c r="P53" s="3" t="e">
        <f>VLOOKUP(E53,Enviroments!$A$3:$D$59,3,FALSE)</f>
        <v>#N/A</v>
      </c>
      <c r="Q53" s="3" t="e">
        <f>VLOOKUP(E53,Enviroments!$A$3:$D$59,4,FALSE)</f>
        <v>#N/A</v>
      </c>
      <c r="R53" s="3" t="e">
        <f>VLOOKUP(H53,AzureRegions!$A$4:$B$1493,1,FALSE)</f>
        <v>#N/A</v>
      </c>
      <c r="S53" s="3" t="e">
        <f>VLOOKUP(H53,AzureRegions!$A$4:$B$1493,2,FALSE)</f>
        <v>#N/A</v>
      </c>
      <c r="T53" s="3" t="e">
        <f>VLOOKUP(H53,AzureRegions!$A$4:$C$1493,3,FALSE)</f>
        <v>#N/A</v>
      </c>
      <c r="U53" s="3" t="e">
        <f>VLOOKUP(I53,Resources!$A$2:$AA$1503,2,FALSE)</f>
        <v>#N/A</v>
      </c>
      <c r="V53" s="3" t="e">
        <f>VLOOKUP(I53,Resources!$A$2:$H$1503,6,FALSE)</f>
        <v>#N/A</v>
      </c>
      <c r="W53" s="3" t="str">
        <f>VLOOKUP($H$2,Casing!$A$4:$A$60,1,FALSE)</f>
        <v>Lower</v>
      </c>
      <c r="X53" s="14" t="str">
        <f t="shared" si="1"/>
        <v>001</v>
      </c>
      <c r="Y53" s="3" t="str">
        <f>IFERROR(VLOOKUP(F53,Func!$A$4:$G$1500,2,FALSE),"none")</f>
        <v>none</v>
      </c>
      <c r="Z53" s="3" t="e">
        <f>VLOOKUP(I53,Resources!$A$2:$AA$1503,18,FALSE)</f>
        <v>#N/A</v>
      </c>
      <c r="AA53" s="3" t="str">
        <f>IFERROR(VLOOKUP(B53,Orgs!$A$4:$G$1500,2,FALSE),"none")</f>
        <v>none</v>
      </c>
      <c r="AB53" s="3" t="str">
        <f>IFERROR(VLOOKUP(C53,UnitsDepts!$A$4:$G$1500,2,FALSE),"none")</f>
        <v>none</v>
      </c>
      <c r="AC53" s="3" t="str">
        <f>IFERROR(VLOOKUP(D53,ProjAppSvc!$A$4:$G$1500,2,FALSE),"none")</f>
        <v>none</v>
      </c>
    </row>
    <row r="54" spans="1:29" x14ac:dyDescent="0.45">
      <c r="A54" s="14" t="s">
        <v>23</v>
      </c>
      <c r="B54" s="14"/>
      <c r="C54" s="14"/>
      <c r="D54" s="14"/>
      <c r="H54" s="8"/>
      <c r="I54" s="3"/>
      <c r="J54" s="3" t="str">
        <f t="shared" si="2"/>
        <v/>
      </c>
      <c r="K54" s="3" t="str">
        <f>IF(ISNUMBER(SEARCH("-",V54)),IFERROR(IF($H$2="Lower", LOWER(ComputeResourceName(Z54,#REF!,#REF!,G54,N54,O54,P54,Q54,S54,T54,V54,A54)), UPPER(ComputeResourceName(Z54,#REF!,#REF!,G54,N54,O54,P54,Q54,S54,T54,V54,A54))),""),SUBSTITUTE(IFERROR(IF($H$2="Lower", LOWER(ComputeResourceName(#REF!,#REF!,#REF!,G54,N54,O54,P54,Q54,S54,T54,V54,A54)), UPPER(ComputeResourceName(#REF!,#REF!,#REF!,G54,N54,O54,P54,Q54,S54,T54,V54,A54))),""), "-",""))</f>
        <v/>
      </c>
      <c r="L54" s="3" t="str">
        <f xml:space="preserve"> IF(K54="","",  IFERROR(VLOOKUP(I54,Resources!$B$1:$H$1503,5,FALSE)-LEN(K54),0))</f>
        <v/>
      </c>
      <c r="M54" s="3" t="str">
        <f>IF(K54="","",IFERROR(matches(K54,VLOOKUP(I54,Resources!$A$2:$AA$1503,16,FALSE)),FALSE))</f>
        <v/>
      </c>
      <c r="N54" s="3" t="e">
        <f>VLOOKUP(E54,Enviroments!$A$3:$D$59,1,FALSE)</f>
        <v>#N/A</v>
      </c>
      <c r="O54" s="3" t="e">
        <f>VLOOKUP(E54,Enviroments!$A$3:$D$59,2,FALSE)</f>
        <v>#N/A</v>
      </c>
      <c r="P54" s="3" t="e">
        <f>VLOOKUP(E54,Enviroments!$A$3:$D$59,3,FALSE)</f>
        <v>#N/A</v>
      </c>
      <c r="Q54" s="3" t="e">
        <f>VLOOKUP(E54,Enviroments!$A$3:$D$59,4,FALSE)</f>
        <v>#N/A</v>
      </c>
      <c r="R54" s="3" t="e">
        <f>VLOOKUP(H54,AzureRegions!$A$4:$B$1493,1,FALSE)</f>
        <v>#N/A</v>
      </c>
      <c r="S54" s="3" t="e">
        <f>VLOOKUP(H54,AzureRegions!$A$4:$B$1493,2,FALSE)</f>
        <v>#N/A</v>
      </c>
      <c r="T54" s="3" t="e">
        <f>VLOOKUP(H54,AzureRegions!$A$4:$C$1493,3,FALSE)</f>
        <v>#N/A</v>
      </c>
      <c r="U54" s="3" t="e">
        <f>VLOOKUP(I54,Resources!$A$2:$AA$1503,2,FALSE)</f>
        <v>#N/A</v>
      </c>
      <c r="V54" s="3" t="e">
        <f>VLOOKUP(I54,Resources!$A$2:$H$1503,6,FALSE)</f>
        <v>#N/A</v>
      </c>
      <c r="W54" s="3" t="str">
        <f>VLOOKUP($H$2,Casing!$A$4:$A$60,1,FALSE)</f>
        <v>Lower</v>
      </c>
      <c r="X54" s="14" t="str">
        <f t="shared" si="1"/>
        <v>001</v>
      </c>
      <c r="Y54" s="3" t="str">
        <f>IFERROR(VLOOKUP(F54,Func!$A$4:$G$1500,2,FALSE),"none")</f>
        <v>none</v>
      </c>
      <c r="Z54" s="3" t="e">
        <f>VLOOKUP(I54,Resources!$A$2:$AA$1503,18,FALSE)</f>
        <v>#N/A</v>
      </c>
      <c r="AA54" s="3" t="str">
        <f>IFERROR(VLOOKUP(B54,Orgs!$A$4:$G$1500,2,FALSE),"none")</f>
        <v>none</v>
      </c>
      <c r="AB54" s="3" t="str">
        <f>IFERROR(VLOOKUP(C54,UnitsDepts!$A$4:$G$1500,2,FALSE),"none")</f>
        <v>none</v>
      </c>
      <c r="AC54" s="3" t="str">
        <f>IFERROR(VLOOKUP(D54,ProjAppSvc!$A$4:$G$1500,2,FALSE),"none")</f>
        <v>none</v>
      </c>
    </row>
    <row r="55" spans="1:29" x14ac:dyDescent="0.45">
      <c r="A55" s="14" t="s">
        <v>23</v>
      </c>
      <c r="B55" s="14"/>
      <c r="C55" s="14"/>
      <c r="D55" s="14"/>
      <c r="H55" s="8"/>
      <c r="I55" s="3"/>
      <c r="J55" s="3" t="str">
        <f t="shared" si="2"/>
        <v/>
      </c>
      <c r="K55" s="3" t="str">
        <f>IF(ISNUMBER(SEARCH("-",V55)),IFERROR(IF($H$2="Lower", LOWER(ComputeResourceName(Z55,#REF!,#REF!,G55,N55,O55,P55,Q55,S55,T55,V55,A55)), UPPER(ComputeResourceName(Z55,#REF!,#REF!,G55,N55,O55,P55,Q55,S55,T55,V55,A55))),""),SUBSTITUTE(IFERROR(IF($H$2="Lower", LOWER(ComputeResourceName(#REF!,#REF!,#REF!,G55,N55,O55,P55,Q55,S55,T55,V55,A55)), UPPER(ComputeResourceName(#REF!,#REF!,#REF!,G55,N55,O55,P55,Q55,S55,T55,V55,A55))),""), "-",""))</f>
        <v/>
      </c>
      <c r="L55" s="3" t="str">
        <f xml:space="preserve"> IF(K55="","",  IFERROR(VLOOKUP(I55,Resources!$B$1:$H$1503,5,FALSE)-LEN(K55),0))</f>
        <v/>
      </c>
      <c r="M55" s="3" t="str">
        <f>IF(K55="","",IFERROR(matches(K55,VLOOKUP(I55,Resources!$A$2:$AA$1503,16,FALSE)),FALSE))</f>
        <v/>
      </c>
      <c r="N55" s="3" t="e">
        <f>VLOOKUP(E55,Enviroments!$A$3:$D$59,1,FALSE)</f>
        <v>#N/A</v>
      </c>
      <c r="O55" s="3" t="e">
        <f>VLOOKUP(E55,Enviroments!$A$3:$D$59,2,FALSE)</f>
        <v>#N/A</v>
      </c>
      <c r="P55" s="3" t="e">
        <f>VLOOKUP(E55,Enviroments!$A$3:$D$59,3,FALSE)</f>
        <v>#N/A</v>
      </c>
      <c r="Q55" s="3" t="e">
        <f>VLOOKUP(E55,Enviroments!$A$3:$D$59,4,FALSE)</f>
        <v>#N/A</v>
      </c>
      <c r="R55" s="3" t="e">
        <f>VLOOKUP(H55,AzureRegions!$A$4:$B$1493,1,FALSE)</f>
        <v>#N/A</v>
      </c>
      <c r="S55" s="3" t="e">
        <f>VLOOKUP(H55,AzureRegions!$A$4:$B$1493,2,FALSE)</f>
        <v>#N/A</v>
      </c>
      <c r="T55" s="3" t="e">
        <f>VLOOKUP(H55,AzureRegions!$A$4:$C$1493,3,FALSE)</f>
        <v>#N/A</v>
      </c>
      <c r="U55" s="3" t="e">
        <f>VLOOKUP(I55,Resources!$A$2:$AA$1503,2,FALSE)</f>
        <v>#N/A</v>
      </c>
      <c r="V55" s="3" t="e">
        <f>VLOOKUP(I55,Resources!$A$2:$H$1503,6,FALSE)</f>
        <v>#N/A</v>
      </c>
      <c r="W55" s="3" t="str">
        <f>VLOOKUP($H$2,Casing!$A$4:$A$60,1,FALSE)</f>
        <v>Lower</v>
      </c>
      <c r="X55" s="14" t="str">
        <f t="shared" si="1"/>
        <v>001</v>
      </c>
      <c r="Y55" s="3" t="str">
        <f>IFERROR(VLOOKUP(F55,Func!$A$4:$G$1500,2,FALSE),"none")</f>
        <v>none</v>
      </c>
      <c r="Z55" s="3" t="e">
        <f>VLOOKUP(I55,Resources!$A$2:$AA$1503,18,FALSE)</f>
        <v>#N/A</v>
      </c>
      <c r="AA55" s="3" t="str">
        <f>IFERROR(VLOOKUP(B55,Orgs!$A$4:$G$1500,2,FALSE),"none")</f>
        <v>none</v>
      </c>
      <c r="AB55" s="3" t="str">
        <f>IFERROR(VLOOKUP(C55,UnitsDepts!$A$4:$G$1500,2,FALSE),"none")</f>
        <v>none</v>
      </c>
      <c r="AC55" s="3" t="str">
        <f>IFERROR(VLOOKUP(D55,ProjAppSvc!$A$4:$G$1500,2,FALSE),"none")</f>
        <v>none</v>
      </c>
    </row>
    <row r="56" spans="1:29" x14ac:dyDescent="0.45">
      <c r="A56" s="14" t="s">
        <v>23</v>
      </c>
      <c r="B56" s="14"/>
      <c r="C56" s="14"/>
      <c r="D56" s="14"/>
      <c r="H56" s="8"/>
      <c r="I56" s="3"/>
      <c r="J56" s="3" t="str">
        <f t="shared" si="2"/>
        <v/>
      </c>
      <c r="K56" s="3" t="str">
        <f>IF(ISNUMBER(SEARCH("-",V56)),IFERROR(IF($H$2="Lower", LOWER(ComputeResourceName(Z56,#REF!,#REF!,G56,N56,O56,P56,Q56,S56,T56,V56,A56)), UPPER(ComputeResourceName(Z56,#REF!,#REF!,G56,N56,O56,P56,Q56,S56,T56,V56,A56))),""),SUBSTITUTE(IFERROR(IF($H$2="Lower", LOWER(ComputeResourceName(#REF!,#REF!,#REF!,G56,N56,O56,P56,Q56,S56,T56,V56,A56)), UPPER(ComputeResourceName(#REF!,#REF!,#REF!,G56,N56,O56,P56,Q56,S56,T56,V56,A56))),""), "-",""))</f>
        <v/>
      </c>
      <c r="L56" s="3" t="str">
        <f xml:space="preserve"> IF(K56="","",  IFERROR(VLOOKUP(I56,Resources!$B$1:$H$1503,5,FALSE)-LEN(K56),0))</f>
        <v/>
      </c>
      <c r="M56" s="3" t="str">
        <f>IF(K56="","",IFERROR(matches(K56,VLOOKUP(I56,Resources!$A$2:$AA$1503,16,FALSE)),FALSE))</f>
        <v/>
      </c>
      <c r="N56" s="3" t="e">
        <f>VLOOKUP(E56,Enviroments!$A$3:$D$59,1,FALSE)</f>
        <v>#N/A</v>
      </c>
      <c r="O56" s="3" t="e">
        <f>VLOOKUP(E56,Enviroments!$A$3:$D$59,2,FALSE)</f>
        <v>#N/A</v>
      </c>
      <c r="P56" s="3" t="e">
        <f>VLOOKUP(E56,Enviroments!$A$3:$D$59,3,FALSE)</f>
        <v>#N/A</v>
      </c>
      <c r="Q56" s="3" t="e">
        <f>VLOOKUP(E56,Enviroments!$A$3:$D$59,4,FALSE)</f>
        <v>#N/A</v>
      </c>
      <c r="R56" s="3" t="e">
        <f>VLOOKUP(H56,AzureRegions!$A$4:$B$1493,1,FALSE)</f>
        <v>#N/A</v>
      </c>
      <c r="S56" s="3" t="e">
        <f>VLOOKUP(H56,AzureRegions!$A$4:$B$1493,2,FALSE)</f>
        <v>#N/A</v>
      </c>
      <c r="T56" s="3" t="e">
        <f>VLOOKUP(H56,AzureRegions!$A$4:$C$1493,3,FALSE)</f>
        <v>#N/A</v>
      </c>
      <c r="U56" s="3" t="e">
        <f>VLOOKUP(I56,Resources!$A$2:$AA$1503,2,FALSE)</f>
        <v>#N/A</v>
      </c>
      <c r="V56" s="3" t="e">
        <f>VLOOKUP(I56,Resources!$A$2:$H$1503,6,FALSE)</f>
        <v>#N/A</v>
      </c>
      <c r="W56" s="3" t="str">
        <f>VLOOKUP($H$2,Casing!$A$4:$A$60,1,FALSE)</f>
        <v>Lower</v>
      </c>
      <c r="X56" s="14" t="str">
        <f t="shared" si="1"/>
        <v>001</v>
      </c>
      <c r="Y56" s="3" t="str">
        <f>IFERROR(VLOOKUP(F56,Func!$A$4:$G$1500,2,FALSE),"none")</f>
        <v>none</v>
      </c>
      <c r="Z56" s="3" t="e">
        <f>VLOOKUP(I56,Resources!$A$2:$AA$1503,18,FALSE)</f>
        <v>#N/A</v>
      </c>
      <c r="AA56" s="3" t="str">
        <f>IFERROR(VLOOKUP(B56,Orgs!$A$4:$G$1500,2,FALSE),"none")</f>
        <v>none</v>
      </c>
      <c r="AB56" s="3" t="str">
        <f>IFERROR(VLOOKUP(C56,UnitsDepts!$A$4:$G$1500,2,FALSE),"none")</f>
        <v>none</v>
      </c>
      <c r="AC56" s="3" t="str">
        <f>IFERROR(VLOOKUP(D56,ProjAppSvc!$A$4:$G$1500,2,FALSE),"none")</f>
        <v>none</v>
      </c>
    </row>
    <row r="57" spans="1:29" x14ac:dyDescent="0.45">
      <c r="A57" s="14" t="s">
        <v>23</v>
      </c>
      <c r="B57" s="14"/>
      <c r="C57" s="14"/>
      <c r="D57" s="14"/>
      <c r="H57" s="8"/>
      <c r="I57" s="3"/>
      <c r="J57" s="3" t="str">
        <f t="shared" si="2"/>
        <v/>
      </c>
      <c r="K57" s="3" t="str">
        <f>IF(ISNUMBER(SEARCH("-",V57)),IFERROR(IF($H$2="Lower", LOWER(ComputeResourceName(Z57,#REF!,#REF!,G57,N57,O57,P57,Q57,S57,T57,V57,A57)), UPPER(ComputeResourceName(Z57,#REF!,#REF!,G57,N57,O57,P57,Q57,S57,T57,V57,A57))),""),SUBSTITUTE(IFERROR(IF($H$2="Lower", LOWER(ComputeResourceName(#REF!,#REF!,#REF!,G57,N57,O57,P57,Q57,S57,T57,V57,A57)), UPPER(ComputeResourceName(#REF!,#REF!,#REF!,G57,N57,O57,P57,Q57,S57,T57,V57,A57))),""), "-",""))</f>
        <v/>
      </c>
      <c r="L57" s="3" t="str">
        <f xml:space="preserve"> IF(K57="","",  IFERROR(VLOOKUP(I57,Resources!$B$1:$H$1503,5,FALSE)-LEN(K57),0))</f>
        <v/>
      </c>
      <c r="M57" s="3" t="str">
        <f>IF(K57="","",IFERROR(matches(K57,VLOOKUP(I57,Resources!$A$2:$AA$1503,16,FALSE)),FALSE))</f>
        <v/>
      </c>
      <c r="N57" s="3" t="e">
        <f>VLOOKUP(E57,Enviroments!$A$3:$D$59,1,FALSE)</f>
        <v>#N/A</v>
      </c>
      <c r="O57" s="3" t="e">
        <f>VLOOKUP(E57,Enviroments!$A$3:$D$59,2,FALSE)</f>
        <v>#N/A</v>
      </c>
      <c r="P57" s="3" t="e">
        <f>VLOOKUP(E57,Enviroments!$A$3:$D$59,3,FALSE)</f>
        <v>#N/A</v>
      </c>
      <c r="Q57" s="3" t="e">
        <f>VLOOKUP(E57,Enviroments!$A$3:$D$59,4,FALSE)</f>
        <v>#N/A</v>
      </c>
      <c r="R57" s="3" t="e">
        <f>VLOOKUP(H57,AzureRegions!$A$4:$B$1493,1,FALSE)</f>
        <v>#N/A</v>
      </c>
      <c r="S57" s="3" t="e">
        <f>VLOOKUP(H57,AzureRegions!$A$4:$B$1493,2,FALSE)</f>
        <v>#N/A</v>
      </c>
      <c r="T57" s="3" t="e">
        <f>VLOOKUP(H57,AzureRegions!$A$4:$C$1493,3,FALSE)</f>
        <v>#N/A</v>
      </c>
      <c r="U57" s="3" t="e">
        <f>VLOOKUP(I57,Resources!$A$2:$AA$1503,2,FALSE)</f>
        <v>#N/A</v>
      </c>
      <c r="V57" s="3" t="e">
        <f>VLOOKUP(I57,Resources!$A$2:$H$1503,6,FALSE)</f>
        <v>#N/A</v>
      </c>
      <c r="W57" s="3" t="str">
        <f>VLOOKUP($H$2,Casing!$A$4:$A$60,1,FALSE)</f>
        <v>Lower</v>
      </c>
      <c r="X57" s="14" t="str">
        <f t="shared" si="1"/>
        <v>001</v>
      </c>
      <c r="Y57" s="3" t="str">
        <f>IFERROR(VLOOKUP(F57,Func!$A$4:$G$1500,2,FALSE),"none")</f>
        <v>none</v>
      </c>
      <c r="Z57" s="3" t="e">
        <f>VLOOKUP(I57,Resources!$A$2:$AA$1503,18,FALSE)</f>
        <v>#N/A</v>
      </c>
      <c r="AA57" s="3" t="str">
        <f>IFERROR(VLOOKUP(B57,Orgs!$A$4:$G$1500,2,FALSE),"none")</f>
        <v>none</v>
      </c>
      <c r="AB57" s="3" t="str">
        <f>IFERROR(VLOOKUP(C57,UnitsDepts!$A$4:$G$1500,2,FALSE),"none")</f>
        <v>none</v>
      </c>
      <c r="AC57" s="3" t="str">
        <f>IFERROR(VLOOKUP(D57,ProjAppSvc!$A$4:$G$1500,2,FALSE),"none")</f>
        <v>none</v>
      </c>
    </row>
    <row r="58" spans="1:29" x14ac:dyDescent="0.45">
      <c r="A58" s="14" t="s">
        <v>23</v>
      </c>
      <c r="B58" s="14"/>
      <c r="C58" s="14"/>
      <c r="D58" s="14"/>
      <c r="H58" s="8"/>
      <c r="I58" s="3"/>
      <c r="J58" s="3" t="str">
        <f t="shared" si="2"/>
        <v/>
      </c>
      <c r="K58" s="3" t="str">
        <f>IF(ISNUMBER(SEARCH("-",V58)),IFERROR(IF($H$2="Lower", LOWER(ComputeResourceName(Z58,#REF!,#REF!,G58,N58,O58,P58,Q58,S58,T58,V58,A58)), UPPER(ComputeResourceName(Z58,#REF!,#REF!,G58,N58,O58,P58,Q58,S58,T58,V58,A58))),""),SUBSTITUTE(IFERROR(IF($H$2="Lower", LOWER(ComputeResourceName(#REF!,#REF!,#REF!,G58,N58,O58,P58,Q58,S58,T58,V58,A58)), UPPER(ComputeResourceName(#REF!,#REF!,#REF!,G58,N58,O58,P58,Q58,S58,T58,V58,A58))),""), "-",""))</f>
        <v/>
      </c>
      <c r="L58" s="3" t="str">
        <f xml:space="preserve"> IF(K58="","",  IFERROR(VLOOKUP(I58,Resources!$B$1:$H$1503,5,FALSE)-LEN(K58),0))</f>
        <v/>
      </c>
      <c r="M58" s="3" t="str">
        <f>IF(K58="","",IFERROR(matches(K58,VLOOKUP(I58,Resources!$A$2:$AA$1503,16,FALSE)),FALSE))</f>
        <v/>
      </c>
      <c r="N58" s="3" t="e">
        <f>VLOOKUP(E58,Enviroments!$A$3:$D$59,1,FALSE)</f>
        <v>#N/A</v>
      </c>
      <c r="O58" s="3" t="e">
        <f>VLOOKUP(E58,Enviroments!$A$3:$D$59,2,FALSE)</f>
        <v>#N/A</v>
      </c>
      <c r="P58" s="3" t="e">
        <f>VLOOKUP(E58,Enviroments!$A$3:$D$59,3,FALSE)</f>
        <v>#N/A</v>
      </c>
      <c r="Q58" s="3" t="e">
        <f>VLOOKUP(E58,Enviroments!$A$3:$D$59,4,FALSE)</f>
        <v>#N/A</v>
      </c>
      <c r="R58" s="3" t="e">
        <f>VLOOKUP(H58,AzureRegions!$A$4:$B$1493,1,FALSE)</f>
        <v>#N/A</v>
      </c>
      <c r="S58" s="3" t="e">
        <f>VLOOKUP(H58,AzureRegions!$A$4:$B$1493,2,FALSE)</f>
        <v>#N/A</v>
      </c>
      <c r="T58" s="3" t="e">
        <f>VLOOKUP(H58,AzureRegions!$A$4:$C$1493,3,FALSE)</f>
        <v>#N/A</v>
      </c>
      <c r="U58" s="3" t="e">
        <f>VLOOKUP(I58,Resources!$A$2:$AA$1503,2,FALSE)</f>
        <v>#N/A</v>
      </c>
      <c r="V58" s="3" t="e">
        <f>VLOOKUP(I58,Resources!$A$2:$H$1503,6,FALSE)</f>
        <v>#N/A</v>
      </c>
      <c r="W58" s="3" t="str">
        <f>VLOOKUP($H$2,Casing!$A$4:$A$60,1,FALSE)</f>
        <v>Lower</v>
      </c>
      <c r="X58" s="14" t="str">
        <f t="shared" si="1"/>
        <v>001</v>
      </c>
      <c r="Y58" s="3" t="str">
        <f>IFERROR(VLOOKUP(F58,Func!$A$4:$G$1500,2,FALSE),"none")</f>
        <v>none</v>
      </c>
      <c r="Z58" s="3" t="e">
        <f>VLOOKUP(I58,Resources!$A$2:$AA$1503,18,FALSE)</f>
        <v>#N/A</v>
      </c>
      <c r="AA58" s="3" t="str">
        <f>IFERROR(VLOOKUP(B58,Orgs!$A$4:$G$1500,2,FALSE),"none")</f>
        <v>none</v>
      </c>
      <c r="AB58" s="3" t="str">
        <f>IFERROR(VLOOKUP(C58,UnitsDepts!$A$4:$G$1500,2,FALSE),"none")</f>
        <v>none</v>
      </c>
      <c r="AC58" s="3" t="str">
        <f>IFERROR(VLOOKUP(D58,ProjAppSvc!$A$4:$G$1500,2,FALSE),"none")</f>
        <v>none</v>
      </c>
    </row>
    <row r="59" spans="1:29" x14ac:dyDescent="0.45">
      <c r="A59" s="14" t="s">
        <v>23</v>
      </c>
      <c r="B59" s="14"/>
      <c r="C59" s="14"/>
      <c r="D59" s="14"/>
      <c r="H59" s="8"/>
      <c r="I59" s="3"/>
      <c r="J59" s="3" t="str">
        <f t="shared" si="2"/>
        <v/>
      </c>
      <c r="K59" s="3" t="str">
        <f>IF(ISNUMBER(SEARCH("-",V59)),IFERROR(IF($H$2="Lower", LOWER(ComputeResourceName(Z59,#REF!,#REF!,G59,N59,O59,P59,Q59,S59,T59,V59,A59)), UPPER(ComputeResourceName(Z59,#REF!,#REF!,G59,N59,O59,P59,Q59,S59,T59,V59,A59))),""),SUBSTITUTE(IFERROR(IF($H$2="Lower", LOWER(ComputeResourceName(#REF!,#REF!,#REF!,G59,N59,O59,P59,Q59,S59,T59,V59,A59)), UPPER(ComputeResourceName(#REF!,#REF!,#REF!,G59,N59,O59,P59,Q59,S59,T59,V59,A59))),""), "-",""))</f>
        <v/>
      </c>
      <c r="L59" s="3" t="str">
        <f xml:space="preserve"> IF(K59="","",  IFERROR(VLOOKUP(I59,Resources!$B$1:$H$1503,5,FALSE)-LEN(K59),0))</f>
        <v/>
      </c>
      <c r="M59" s="3" t="str">
        <f>IF(K59="","",IFERROR(matches(K59,VLOOKUP(I59,Resources!$A$2:$AA$1503,16,FALSE)),FALSE))</f>
        <v/>
      </c>
      <c r="N59" s="3" t="e">
        <f>VLOOKUP(E59,Enviroments!$A$3:$D$59,1,FALSE)</f>
        <v>#N/A</v>
      </c>
      <c r="O59" s="3" t="e">
        <f>VLOOKUP(E59,Enviroments!$A$3:$D$59,2,FALSE)</f>
        <v>#N/A</v>
      </c>
      <c r="P59" s="3" t="e">
        <f>VLOOKUP(E59,Enviroments!$A$3:$D$59,3,FALSE)</f>
        <v>#N/A</v>
      </c>
      <c r="Q59" s="3" t="e">
        <f>VLOOKUP(E59,Enviroments!$A$3:$D$59,4,FALSE)</f>
        <v>#N/A</v>
      </c>
      <c r="R59" s="3" t="e">
        <f>VLOOKUP(H59,AzureRegions!$A$4:$B$1493,1,FALSE)</f>
        <v>#N/A</v>
      </c>
      <c r="S59" s="3" t="e">
        <f>VLOOKUP(H59,AzureRegions!$A$4:$B$1493,2,FALSE)</f>
        <v>#N/A</v>
      </c>
      <c r="T59" s="3" t="e">
        <f>VLOOKUP(H59,AzureRegions!$A$4:$C$1493,3,FALSE)</f>
        <v>#N/A</v>
      </c>
      <c r="U59" s="3" t="e">
        <f>VLOOKUP(I59,Resources!$A$2:$AA$1503,2,FALSE)</f>
        <v>#N/A</v>
      </c>
      <c r="V59" s="3" t="e">
        <f>VLOOKUP(I59,Resources!$A$2:$H$1503,6,FALSE)</f>
        <v>#N/A</v>
      </c>
      <c r="W59" s="3" t="str">
        <f>VLOOKUP($H$2,Casing!$A$4:$A$60,1,FALSE)</f>
        <v>Lower</v>
      </c>
      <c r="X59" s="14" t="str">
        <f t="shared" si="1"/>
        <v>001</v>
      </c>
      <c r="Y59" s="3" t="str">
        <f>IFERROR(VLOOKUP(F59,Func!$A$4:$G$1500,2,FALSE),"none")</f>
        <v>none</v>
      </c>
      <c r="Z59" s="3" t="e">
        <f>VLOOKUP(I59,Resources!$A$2:$AA$1503,18,FALSE)</f>
        <v>#N/A</v>
      </c>
      <c r="AA59" s="3" t="str">
        <f>IFERROR(VLOOKUP(B59,Orgs!$A$4:$G$1500,2,FALSE),"none")</f>
        <v>none</v>
      </c>
      <c r="AB59" s="3" t="str">
        <f>IFERROR(VLOOKUP(C59,UnitsDepts!$A$4:$G$1500,2,FALSE),"none")</f>
        <v>none</v>
      </c>
      <c r="AC59" s="3" t="str">
        <f>IFERROR(VLOOKUP(D59,ProjAppSvc!$A$4:$G$1500,2,FALSE),"none")</f>
        <v>none</v>
      </c>
    </row>
    <row r="60" spans="1:29" x14ac:dyDescent="0.45">
      <c r="A60" s="14" t="s">
        <v>23</v>
      </c>
      <c r="B60" s="14"/>
      <c r="C60" s="14"/>
      <c r="D60" s="14"/>
      <c r="H60" s="8"/>
      <c r="I60" s="3"/>
      <c r="J60" s="3" t="str">
        <f t="shared" si="2"/>
        <v/>
      </c>
      <c r="K60" s="3" t="str">
        <f>IF(ISNUMBER(SEARCH("-",V60)),IFERROR(IF($H$2="Lower", LOWER(ComputeResourceName(Z60,#REF!,#REF!,G60,N60,O60,P60,Q60,S60,T60,V60,A60)), UPPER(ComputeResourceName(Z60,#REF!,#REF!,G60,N60,O60,P60,Q60,S60,T60,V60,A60))),""),SUBSTITUTE(IFERROR(IF($H$2="Lower", LOWER(ComputeResourceName(#REF!,#REF!,#REF!,G60,N60,O60,P60,Q60,S60,T60,V60,A60)), UPPER(ComputeResourceName(#REF!,#REF!,#REF!,G60,N60,O60,P60,Q60,S60,T60,V60,A60))),""), "-",""))</f>
        <v/>
      </c>
      <c r="L60" s="3" t="str">
        <f xml:space="preserve"> IF(K60="","",  IFERROR(VLOOKUP(I60,Resources!$B$1:$H$1503,5,FALSE)-LEN(K60),0))</f>
        <v/>
      </c>
      <c r="M60" s="3" t="str">
        <f>IF(K60="","",IFERROR(matches(K60,VLOOKUP(I60,Resources!$A$2:$AA$1503,16,FALSE)),FALSE))</f>
        <v/>
      </c>
      <c r="N60" s="3" t="e">
        <f>VLOOKUP(E60,Enviroments!$A$3:$D$59,1,FALSE)</f>
        <v>#N/A</v>
      </c>
      <c r="O60" s="3" t="e">
        <f>VLOOKUP(E60,Enviroments!$A$3:$D$59,2,FALSE)</f>
        <v>#N/A</v>
      </c>
      <c r="P60" s="3" t="e">
        <f>VLOOKUP(E60,Enviroments!$A$3:$D$59,3,FALSE)</f>
        <v>#N/A</v>
      </c>
      <c r="Q60" s="3" t="e">
        <f>VLOOKUP(E60,Enviroments!$A$3:$D$59,4,FALSE)</f>
        <v>#N/A</v>
      </c>
      <c r="R60" s="3" t="e">
        <f>VLOOKUP(H60,AzureRegions!$A$4:$B$1493,1,FALSE)</f>
        <v>#N/A</v>
      </c>
      <c r="S60" s="3" t="e">
        <f>VLOOKUP(H60,AzureRegions!$A$4:$B$1493,2,FALSE)</f>
        <v>#N/A</v>
      </c>
      <c r="T60" s="3" t="e">
        <f>VLOOKUP(H60,AzureRegions!$A$4:$C$1493,3,FALSE)</f>
        <v>#N/A</v>
      </c>
      <c r="U60" s="3" t="e">
        <f>VLOOKUP(I60,Resources!$A$2:$AA$1503,2,FALSE)</f>
        <v>#N/A</v>
      </c>
      <c r="V60" s="3" t="e">
        <f>VLOOKUP(I60,Resources!$A$2:$H$1503,6,FALSE)</f>
        <v>#N/A</v>
      </c>
      <c r="W60" s="3" t="str">
        <f>VLOOKUP($H$2,Casing!$A$4:$A$60,1,FALSE)</f>
        <v>Lower</v>
      </c>
      <c r="X60" s="14" t="str">
        <f t="shared" si="1"/>
        <v>001</v>
      </c>
      <c r="Y60" s="3" t="str">
        <f>IFERROR(VLOOKUP(F60,Func!$A$4:$G$1500,2,FALSE),"none")</f>
        <v>none</v>
      </c>
      <c r="Z60" s="3" t="e">
        <f>VLOOKUP(I60,Resources!$A$2:$AA$1503,18,FALSE)</f>
        <v>#N/A</v>
      </c>
      <c r="AA60" s="3" t="str">
        <f>IFERROR(VLOOKUP(B60,Orgs!$A$4:$G$1500,2,FALSE),"none")</f>
        <v>none</v>
      </c>
      <c r="AB60" s="3" t="str">
        <f>IFERROR(VLOOKUP(C60,UnitsDepts!$A$4:$G$1500,2,FALSE),"none")</f>
        <v>none</v>
      </c>
      <c r="AC60" s="3" t="str">
        <f>IFERROR(VLOOKUP(D60,ProjAppSvc!$A$4:$G$1500,2,FALSE),"none")</f>
        <v>none</v>
      </c>
    </row>
    <row r="61" spans="1:29" x14ac:dyDescent="0.45">
      <c r="A61" s="14" t="s">
        <v>23</v>
      </c>
      <c r="B61" s="14"/>
      <c r="C61" s="14"/>
      <c r="D61" s="14"/>
      <c r="H61" s="8"/>
      <c r="I61" s="3"/>
      <c r="J61" s="3" t="str">
        <f t="shared" si="2"/>
        <v/>
      </c>
      <c r="K61" s="3" t="str">
        <f>IF(ISNUMBER(SEARCH("-",V61)),IFERROR(IF($H$2="Lower", LOWER(ComputeResourceName(Z61,#REF!,#REF!,G61,N61,O61,P61,Q61,S61,T61,V61,A61)), UPPER(ComputeResourceName(Z61,#REF!,#REF!,G61,N61,O61,P61,Q61,S61,T61,V61,A61))),""),SUBSTITUTE(IFERROR(IF($H$2="Lower", LOWER(ComputeResourceName(#REF!,#REF!,#REF!,G61,N61,O61,P61,Q61,S61,T61,V61,A61)), UPPER(ComputeResourceName(#REF!,#REF!,#REF!,G61,N61,O61,P61,Q61,S61,T61,V61,A61))),""), "-",""))</f>
        <v/>
      </c>
      <c r="L61" s="3" t="str">
        <f xml:space="preserve"> IF(K61="","",  IFERROR(VLOOKUP(I61,Resources!$B$1:$H$1503,5,FALSE)-LEN(K61),0))</f>
        <v/>
      </c>
      <c r="M61" s="3" t="str">
        <f>IF(K61="","",IFERROR(matches(K61,VLOOKUP(I61,Resources!$A$2:$AA$1503,16,FALSE)),FALSE))</f>
        <v/>
      </c>
      <c r="N61" s="3" t="e">
        <f>VLOOKUP(E61,Enviroments!$A$3:$D$59,1,FALSE)</f>
        <v>#N/A</v>
      </c>
      <c r="O61" s="3" t="e">
        <f>VLOOKUP(E61,Enviroments!$A$3:$D$59,2,FALSE)</f>
        <v>#N/A</v>
      </c>
      <c r="P61" s="3" t="e">
        <f>VLOOKUP(E61,Enviroments!$A$3:$D$59,3,FALSE)</f>
        <v>#N/A</v>
      </c>
      <c r="Q61" s="3" t="e">
        <f>VLOOKUP(E61,Enviroments!$A$3:$D$59,4,FALSE)</f>
        <v>#N/A</v>
      </c>
      <c r="R61" s="3" t="e">
        <f>VLOOKUP(H61,AzureRegions!$A$4:$B$1493,1,FALSE)</f>
        <v>#N/A</v>
      </c>
      <c r="S61" s="3" t="e">
        <f>VLOOKUP(H61,AzureRegions!$A$4:$B$1493,2,FALSE)</f>
        <v>#N/A</v>
      </c>
      <c r="T61" s="3" t="e">
        <f>VLOOKUP(H61,AzureRegions!$A$4:$C$1493,3,FALSE)</f>
        <v>#N/A</v>
      </c>
      <c r="U61" s="3" t="e">
        <f>VLOOKUP(I61,Resources!$A$2:$AA$1503,2,FALSE)</f>
        <v>#N/A</v>
      </c>
      <c r="V61" s="3" t="e">
        <f>VLOOKUP(I61,Resources!$A$2:$H$1503,6,FALSE)</f>
        <v>#N/A</v>
      </c>
      <c r="W61" s="3" t="str">
        <f>VLOOKUP($H$2,Casing!$A$4:$A$60,1,FALSE)</f>
        <v>Lower</v>
      </c>
      <c r="X61" s="14" t="str">
        <f t="shared" si="1"/>
        <v>001</v>
      </c>
      <c r="Y61" s="3" t="str">
        <f>IFERROR(VLOOKUP(F61,Func!$A$4:$G$1500,2,FALSE),"none")</f>
        <v>none</v>
      </c>
      <c r="Z61" s="3" t="e">
        <f>VLOOKUP(I61,Resources!$A$2:$AA$1503,18,FALSE)</f>
        <v>#N/A</v>
      </c>
      <c r="AA61" s="3" t="str">
        <f>IFERROR(VLOOKUP(B61,Orgs!$A$4:$G$1500,2,FALSE),"none")</f>
        <v>none</v>
      </c>
      <c r="AB61" s="3" t="str">
        <f>IFERROR(VLOOKUP(C61,UnitsDepts!$A$4:$G$1500,2,FALSE),"none")</f>
        <v>none</v>
      </c>
      <c r="AC61" s="3" t="str">
        <f>IFERROR(VLOOKUP(D61,ProjAppSvc!$A$4:$G$1500,2,FALSE),"none")</f>
        <v>none</v>
      </c>
    </row>
    <row r="62" spans="1:29" x14ac:dyDescent="0.45">
      <c r="A62" s="14" t="s">
        <v>23</v>
      </c>
      <c r="B62" s="14"/>
      <c r="C62" s="14"/>
      <c r="D62" s="14"/>
      <c r="H62" s="8"/>
      <c r="I62" s="3"/>
      <c r="J62" s="3" t="str">
        <f t="shared" si="2"/>
        <v/>
      </c>
      <c r="K62" s="3" t="str">
        <f>IF(ISNUMBER(SEARCH("-",V62)),IFERROR(IF($H$2="Lower", LOWER(ComputeResourceName(Z62,#REF!,#REF!,G62,N62,O62,P62,Q62,S62,T62,V62,A62)), UPPER(ComputeResourceName(Z62,#REF!,#REF!,G62,N62,O62,P62,Q62,S62,T62,V62,A62))),""),SUBSTITUTE(IFERROR(IF($H$2="Lower", LOWER(ComputeResourceName(#REF!,#REF!,#REF!,G62,N62,O62,P62,Q62,S62,T62,V62,A62)), UPPER(ComputeResourceName(#REF!,#REF!,#REF!,G62,N62,O62,P62,Q62,S62,T62,V62,A62))),""), "-",""))</f>
        <v/>
      </c>
      <c r="L62" s="3" t="str">
        <f xml:space="preserve"> IF(K62="","",  IFERROR(VLOOKUP(I62,Resources!$B$1:$H$1503,5,FALSE)-LEN(K62),0))</f>
        <v/>
      </c>
      <c r="M62" s="3" t="str">
        <f>IF(K62="","",IFERROR(matches(K62,VLOOKUP(I62,Resources!$A$2:$AA$1503,16,FALSE)),FALSE))</f>
        <v/>
      </c>
      <c r="N62" s="3" t="e">
        <f>VLOOKUP(E62,Enviroments!$A$3:$D$59,1,FALSE)</f>
        <v>#N/A</v>
      </c>
      <c r="O62" s="3" t="e">
        <f>VLOOKUP(E62,Enviroments!$A$3:$D$59,2,FALSE)</f>
        <v>#N/A</v>
      </c>
      <c r="P62" s="3" t="e">
        <f>VLOOKUP(E62,Enviroments!$A$3:$D$59,3,FALSE)</f>
        <v>#N/A</v>
      </c>
      <c r="Q62" s="3" t="e">
        <f>VLOOKUP(E62,Enviroments!$A$3:$D$59,4,FALSE)</f>
        <v>#N/A</v>
      </c>
      <c r="R62" s="3" t="e">
        <f>VLOOKUP(H62,AzureRegions!$A$4:$B$1493,1,FALSE)</f>
        <v>#N/A</v>
      </c>
      <c r="S62" s="3" t="e">
        <f>VLOOKUP(H62,AzureRegions!$A$4:$B$1493,2,FALSE)</f>
        <v>#N/A</v>
      </c>
      <c r="T62" s="3" t="e">
        <f>VLOOKUP(H62,AzureRegions!$A$4:$C$1493,3,FALSE)</f>
        <v>#N/A</v>
      </c>
      <c r="U62" s="3" t="e">
        <f>VLOOKUP(I62,Resources!$A$2:$AA$1503,2,FALSE)</f>
        <v>#N/A</v>
      </c>
      <c r="V62" s="3" t="e">
        <f>VLOOKUP(I62,Resources!$A$2:$H$1503,6,FALSE)</f>
        <v>#N/A</v>
      </c>
      <c r="W62" s="3" t="str">
        <f>VLOOKUP($H$2,Casing!$A$4:$A$60,1,FALSE)</f>
        <v>Lower</v>
      </c>
      <c r="X62" s="14" t="str">
        <f t="shared" si="1"/>
        <v>001</v>
      </c>
      <c r="Y62" s="3" t="str">
        <f>IFERROR(VLOOKUP(F62,Func!$A$4:$G$1500,2,FALSE),"none")</f>
        <v>none</v>
      </c>
      <c r="Z62" s="3" t="e">
        <f>VLOOKUP(I62,Resources!$A$2:$AA$1503,18,FALSE)</f>
        <v>#N/A</v>
      </c>
      <c r="AA62" s="3" t="str">
        <f>IFERROR(VLOOKUP(B62,Orgs!$A$4:$G$1500,2,FALSE),"none")</f>
        <v>none</v>
      </c>
      <c r="AB62" s="3" t="str">
        <f>IFERROR(VLOOKUP(C62,UnitsDepts!$A$4:$G$1500,2,FALSE),"none")</f>
        <v>none</v>
      </c>
      <c r="AC62" s="3" t="str">
        <f>IFERROR(VLOOKUP(D62,ProjAppSvc!$A$4:$G$1500,2,FALSE),"none")</f>
        <v>none</v>
      </c>
    </row>
    <row r="63" spans="1:29" x14ac:dyDescent="0.45">
      <c r="A63" s="14" t="s">
        <v>23</v>
      </c>
      <c r="B63" s="14"/>
      <c r="C63" s="14"/>
      <c r="D63" s="14"/>
      <c r="H63" s="8"/>
      <c r="I63" s="3"/>
      <c r="J63" s="3" t="str">
        <f t="shared" si="2"/>
        <v/>
      </c>
      <c r="K63" s="3" t="str">
        <f>IF(ISNUMBER(SEARCH("-",V63)),IFERROR(IF($H$2="Lower", LOWER(ComputeResourceName(Z63,#REF!,#REF!,G63,N63,O63,P63,Q63,S63,T63,V63,A63)), UPPER(ComputeResourceName(Z63,#REF!,#REF!,G63,N63,O63,P63,Q63,S63,T63,V63,A63))),""),SUBSTITUTE(IFERROR(IF($H$2="Lower", LOWER(ComputeResourceName(#REF!,#REF!,#REF!,G63,N63,O63,P63,Q63,S63,T63,V63,A63)), UPPER(ComputeResourceName(#REF!,#REF!,#REF!,G63,N63,O63,P63,Q63,S63,T63,V63,A63))),""), "-",""))</f>
        <v/>
      </c>
      <c r="L63" s="3" t="str">
        <f xml:space="preserve"> IF(K63="","",  IFERROR(VLOOKUP(I63,Resources!$B$1:$H$1503,5,FALSE)-LEN(K63),0))</f>
        <v/>
      </c>
      <c r="M63" s="3" t="str">
        <f>IF(K63="","",IFERROR(matches(K63,VLOOKUP(I63,Resources!$A$2:$AA$1503,16,FALSE)),FALSE))</f>
        <v/>
      </c>
      <c r="N63" s="3" t="e">
        <f>VLOOKUP(E63,Enviroments!$A$3:$D$59,1,FALSE)</f>
        <v>#N/A</v>
      </c>
      <c r="O63" s="3" t="e">
        <f>VLOOKUP(E63,Enviroments!$A$3:$D$59,2,FALSE)</f>
        <v>#N/A</v>
      </c>
      <c r="P63" s="3" t="e">
        <f>VLOOKUP(E63,Enviroments!$A$3:$D$59,3,FALSE)</f>
        <v>#N/A</v>
      </c>
      <c r="Q63" s="3" t="e">
        <f>VLOOKUP(E63,Enviroments!$A$3:$D$59,4,FALSE)</f>
        <v>#N/A</v>
      </c>
      <c r="R63" s="3" t="e">
        <f>VLOOKUP(H63,AzureRegions!$A$4:$B$1493,1,FALSE)</f>
        <v>#N/A</v>
      </c>
      <c r="S63" s="3" t="e">
        <f>VLOOKUP(H63,AzureRegions!$A$4:$B$1493,2,FALSE)</f>
        <v>#N/A</v>
      </c>
      <c r="T63" s="3" t="e">
        <f>VLOOKUP(H63,AzureRegions!$A$4:$C$1493,3,FALSE)</f>
        <v>#N/A</v>
      </c>
      <c r="U63" s="3" t="e">
        <f>VLOOKUP(I63,Resources!$A$2:$AA$1503,2,FALSE)</f>
        <v>#N/A</v>
      </c>
      <c r="V63" s="3" t="e">
        <f>VLOOKUP(I63,Resources!$A$2:$H$1503,6,FALSE)</f>
        <v>#N/A</v>
      </c>
      <c r="W63" s="3" t="str">
        <f>VLOOKUP($H$2,Casing!$A$4:$A$60,1,FALSE)</f>
        <v>Lower</v>
      </c>
      <c r="X63" s="14" t="str">
        <f t="shared" si="1"/>
        <v>001</v>
      </c>
      <c r="Y63" s="3" t="str">
        <f>IFERROR(VLOOKUP(F63,Func!$A$4:$G$1500,2,FALSE),"none")</f>
        <v>none</v>
      </c>
      <c r="Z63" s="3" t="e">
        <f>VLOOKUP(I63,Resources!$A$2:$AA$1503,18,FALSE)</f>
        <v>#N/A</v>
      </c>
      <c r="AA63" s="3" t="str">
        <f>IFERROR(VLOOKUP(B63,Orgs!$A$4:$G$1500,2,FALSE),"none")</f>
        <v>none</v>
      </c>
      <c r="AB63" s="3" t="str">
        <f>IFERROR(VLOOKUP(C63,UnitsDepts!$A$4:$G$1500,2,FALSE),"none")</f>
        <v>none</v>
      </c>
      <c r="AC63" s="3" t="str">
        <f>IFERROR(VLOOKUP(D63,ProjAppSvc!$A$4:$G$1500,2,FALSE),"none")</f>
        <v>none</v>
      </c>
    </row>
    <row r="64" spans="1:29" x14ac:dyDescent="0.45">
      <c r="A64" s="14" t="s">
        <v>23</v>
      </c>
      <c r="B64" s="14"/>
      <c r="C64" s="14"/>
      <c r="D64" s="14"/>
      <c r="H64" s="8"/>
      <c r="I64" s="3"/>
      <c r="J64" s="3" t="str">
        <f t="shared" si="2"/>
        <v/>
      </c>
      <c r="K64" s="3" t="str">
        <f>IF(ISNUMBER(SEARCH("-",V64)),IFERROR(IF($H$2="Lower", LOWER(ComputeResourceName(Z64,#REF!,#REF!,G64,N64,O64,P64,Q64,S64,T64,V64,A64)), UPPER(ComputeResourceName(Z64,#REF!,#REF!,G64,N64,O64,P64,Q64,S64,T64,V64,A64))),""),SUBSTITUTE(IFERROR(IF($H$2="Lower", LOWER(ComputeResourceName(#REF!,#REF!,#REF!,G64,N64,O64,P64,Q64,S64,T64,V64,A64)), UPPER(ComputeResourceName(#REF!,#REF!,#REF!,G64,N64,O64,P64,Q64,S64,T64,V64,A64))),""), "-",""))</f>
        <v/>
      </c>
      <c r="L64" s="3" t="str">
        <f xml:space="preserve"> IF(K64="","",  IFERROR(VLOOKUP(I64,Resources!$B$1:$H$1503,5,FALSE)-LEN(K64),0))</f>
        <v/>
      </c>
      <c r="M64" s="3" t="str">
        <f>IF(K64="","",IFERROR(matches(K64,VLOOKUP(I64,Resources!$A$2:$AA$1503,16,FALSE)),FALSE))</f>
        <v/>
      </c>
      <c r="N64" s="3" t="e">
        <f>VLOOKUP(E64,Enviroments!$A$3:$D$59,1,FALSE)</f>
        <v>#N/A</v>
      </c>
      <c r="O64" s="3" t="e">
        <f>VLOOKUP(E64,Enviroments!$A$3:$D$59,2,FALSE)</f>
        <v>#N/A</v>
      </c>
      <c r="P64" s="3" t="e">
        <f>VLOOKUP(E64,Enviroments!$A$3:$D$59,3,FALSE)</f>
        <v>#N/A</v>
      </c>
      <c r="Q64" s="3" t="e">
        <f>VLOOKUP(E64,Enviroments!$A$3:$D$59,4,FALSE)</f>
        <v>#N/A</v>
      </c>
      <c r="R64" s="3" t="e">
        <f>VLOOKUP(H64,AzureRegions!$A$4:$B$1493,1,FALSE)</f>
        <v>#N/A</v>
      </c>
      <c r="S64" s="3" t="e">
        <f>VLOOKUP(H64,AzureRegions!$A$4:$B$1493,2,FALSE)</f>
        <v>#N/A</v>
      </c>
      <c r="T64" s="3" t="e">
        <f>VLOOKUP(H64,AzureRegions!$A$4:$C$1493,3,FALSE)</f>
        <v>#N/A</v>
      </c>
      <c r="U64" s="3" t="e">
        <f>VLOOKUP(I64,Resources!$A$2:$AA$1503,2,FALSE)</f>
        <v>#N/A</v>
      </c>
      <c r="V64" s="3" t="e">
        <f>VLOOKUP(I64,Resources!$A$2:$H$1503,6,FALSE)</f>
        <v>#N/A</v>
      </c>
      <c r="W64" s="3" t="str">
        <f>VLOOKUP($H$2,Casing!$A$4:$A$60,1,FALSE)</f>
        <v>Lower</v>
      </c>
      <c r="X64" s="14" t="str">
        <f t="shared" si="1"/>
        <v>001</v>
      </c>
      <c r="Y64" s="3" t="str">
        <f>IFERROR(VLOOKUP(F64,Func!$A$4:$G$1500,2,FALSE),"none")</f>
        <v>none</v>
      </c>
      <c r="Z64" s="3" t="e">
        <f>VLOOKUP(I64,Resources!$A$2:$AA$1503,18,FALSE)</f>
        <v>#N/A</v>
      </c>
      <c r="AA64" s="3" t="str">
        <f>IFERROR(VLOOKUP(B64,Orgs!$A$4:$G$1500,2,FALSE),"none")</f>
        <v>none</v>
      </c>
      <c r="AB64" s="3" t="str">
        <f>IFERROR(VLOOKUP(C64,UnitsDepts!$A$4:$G$1500,2,FALSE),"none")</f>
        <v>none</v>
      </c>
      <c r="AC64" s="3" t="str">
        <f>IFERROR(VLOOKUP(D64,ProjAppSvc!$A$4:$G$1500,2,FALSE),"none")</f>
        <v>none</v>
      </c>
    </row>
    <row r="65" spans="1:29" x14ac:dyDescent="0.45">
      <c r="A65" s="14" t="s">
        <v>23</v>
      </c>
      <c r="B65" s="14"/>
      <c r="C65" s="14"/>
      <c r="D65" s="14"/>
      <c r="H65" s="8"/>
      <c r="I65" s="3"/>
      <c r="J65" s="3" t="str">
        <f t="shared" si="2"/>
        <v/>
      </c>
      <c r="K65" s="3" t="str">
        <f>IF(ISNUMBER(SEARCH("-",V65)),IFERROR(IF($H$2="Lower", LOWER(ComputeResourceName(Z65,#REF!,#REF!,G65,N65,O65,P65,Q65,S65,T65,V65,A65)), UPPER(ComputeResourceName(Z65,#REF!,#REF!,G65,N65,O65,P65,Q65,S65,T65,V65,A65))),""),SUBSTITUTE(IFERROR(IF($H$2="Lower", LOWER(ComputeResourceName(#REF!,#REF!,#REF!,G65,N65,O65,P65,Q65,S65,T65,V65,A65)), UPPER(ComputeResourceName(#REF!,#REF!,#REF!,G65,N65,O65,P65,Q65,S65,T65,V65,A65))),""), "-",""))</f>
        <v/>
      </c>
      <c r="L65" s="3" t="str">
        <f xml:space="preserve"> IF(K65="","",  IFERROR(VLOOKUP(I65,Resources!$B$1:$H$1503,5,FALSE)-LEN(K65),0))</f>
        <v/>
      </c>
      <c r="M65" s="3" t="str">
        <f>IF(K65="","",IFERROR(matches(K65,VLOOKUP(I65,Resources!$A$2:$AA$1503,16,FALSE)),FALSE))</f>
        <v/>
      </c>
      <c r="N65" s="3" t="e">
        <f>VLOOKUP(E65,Enviroments!$A$3:$D$59,1,FALSE)</f>
        <v>#N/A</v>
      </c>
      <c r="O65" s="3" t="e">
        <f>VLOOKUP(E65,Enviroments!$A$3:$D$59,2,FALSE)</f>
        <v>#N/A</v>
      </c>
      <c r="P65" s="3" t="e">
        <f>VLOOKUP(E65,Enviroments!$A$3:$D$59,3,FALSE)</f>
        <v>#N/A</v>
      </c>
      <c r="Q65" s="3" t="e">
        <f>VLOOKUP(E65,Enviroments!$A$3:$D$59,4,FALSE)</f>
        <v>#N/A</v>
      </c>
      <c r="R65" s="3" t="e">
        <f>VLOOKUP(H65,AzureRegions!$A$4:$B$1493,1,FALSE)</f>
        <v>#N/A</v>
      </c>
      <c r="S65" s="3" t="e">
        <f>VLOOKUP(H65,AzureRegions!$A$4:$B$1493,2,FALSE)</f>
        <v>#N/A</v>
      </c>
      <c r="T65" s="3" t="e">
        <f>VLOOKUP(H65,AzureRegions!$A$4:$C$1493,3,FALSE)</f>
        <v>#N/A</v>
      </c>
      <c r="U65" s="3" t="e">
        <f>VLOOKUP(I65,Resources!$A$2:$AA$1503,2,FALSE)</f>
        <v>#N/A</v>
      </c>
      <c r="V65" s="3" t="e">
        <f>VLOOKUP(I65,Resources!$A$2:$H$1503,6,FALSE)</f>
        <v>#N/A</v>
      </c>
      <c r="W65" s="3" t="str">
        <f>VLOOKUP($H$2,Casing!$A$4:$A$60,1,FALSE)</f>
        <v>Lower</v>
      </c>
      <c r="X65" s="14" t="str">
        <f t="shared" si="1"/>
        <v>001</v>
      </c>
      <c r="Y65" s="3" t="str">
        <f>IFERROR(VLOOKUP(F65,Func!$A$4:$G$1500,2,FALSE),"none")</f>
        <v>none</v>
      </c>
      <c r="Z65" s="3" t="e">
        <f>VLOOKUP(I65,Resources!$A$2:$AA$1503,18,FALSE)</f>
        <v>#N/A</v>
      </c>
      <c r="AA65" s="3" t="str">
        <f>IFERROR(VLOOKUP(B65,Orgs!$A$4:$G$1500,2,FALSE),"none")</f>
        <v>none</v>
      </c>
      <c r="AB65" s="3" t="str">
        <f>IFERROR(VLOOKUP(C65,UnitsDepts!$A$4:$G$1500,2,FALSE),"none")</f>
        <v>none</v>
      </c>
      <c r="AC65" s="3" t="str">
        <f>IFERROR(VLOOKUP(D65,ProjAppSvc!$A$4:$G$1500,2,FALSE),"none")</f>
        <v>none</v>
      </c>
    </row>
    <row r="66" spans="1:29" x14ac:dyDescent="0.45">
      <c r="A66" s="14" t="s">
        <v>23</v>
      </c>
      <c r="B66" s="14"/>
      <c r="C66" s="14"/>
      <c r="D66" s="14"/>
      <c r="H66" s="8"/>
      <c r="I66" s="3"/>
      <c r="J66" s="3" t="str">
        <f t="shared" si="2"/>
        <v/>
      </c>
      <c r="K66" s="3" t="str">
        <f>IF(ISNUMBER(SEARCH("-",V66)),IFERROR(IF($H$2="Lower", LOWER(ComputeResourceName(Z66,#REF!,#REF!,G66,N66,O66,P66,Q66,S66,T66,V66,A66)), UPPER(ComputeResourceName(Z66,#REF!,#REF!,G66,N66,O66,P66,Q66,S66,T66,V66,A66))),""),SUBSTITUTE(IFERROR(IF($H$2="Lower", LOWER(ComputeResourceName(#REF!,#REF!,#REF!,G66,N66,O66,P66,Q66,S66,T66,V66,A66)), UPPER(ComputeResourceName(#REF!,#REF!,#REF!,G66,N66,O66,P66,Q66,S66,T66,V66,A66))),""), "-",""))</f>
        <v/>
      </c>
      <c r="L66" s="3" t="str">
        <f xml:space="preserve"> IF(K66="","",  IFERROR(VLOOKUP(I66,Resources!$B$1:$H$1503,5,FALSE)-LEN(K66),0))</f>
        <v/>
      </c>
      <c r="M66" s="3" t="str">
        <f>IF(K66="","",IFERROR(matches(K66,VLOOKUP(I66,Resources!$A$2:$AA$1503,16,FALSE)),FALSE))</f>
        <v/>
      </c>
      <c r="N66" s="3" t="e">
        <f>VLOOKUP(E66,Enviroments!$A$3:$D$59,1,FALSE)</f>
        <v>#N/A</v>
      </c>
      <c r="O66" s="3" t="e">
        <f>VLOOKUP(E66,Enviroments!$A$3:$D$59,2,FALSE)</f>
        <v>#N/A</v>
      </c>
      <c r="P66" s="3" t="e">
        <f>VLOOKUP(E66,Enviroments!$A$3:$D$59,3,FALSE)</f>
        <v>#N/A</v>
      </c>
      <c r="Q66" s="3" t="e">
        <f>VLOOKUP(E66,Enviroments!$A$3:$D$59,4,FALSE)</f>
        <v>#N/A</v>
      </c>
      <c r="R66" s="3" t="e">
        <f>VLOOKUP(H66,AzureRegions!$A$4:$B$1493,1,FALSE)</f>
        <v>#N/A</v>
      </c>
      <c r="S66" s="3" t="e">
        <f>VLOOKUP(H66,AzureRegions!$A$4:$B$1493,2,FALSE)</f>
        <v>#N/A</v>
      </c>
      <c r="T66" s="3" t="e">
        <f>VLOOKUP(H66,AzureRegions!$A$4:$C$1493,3,FALSE)</f>
        <v>#N/A</v>
      </c>
      <c r="U66" s="3" t="e">
        <f>VLOOKUP(I66,Resources!$A$2:$AA$1503,2,FALSE)</f>
        <v>#N/A</v>
      </c>
      <c r="V66" s="3" t="e">
        <f>VLOOKUP(I66,Resources!$A$2:$H$1503,6,FALSE)</f>
        <v>#N/A</v>
      </c>
      <c r="W66" s="3" t="str">
        <f>VLOOKUP($H$2,Casing!$A$4:$A$60,1,FALSE)</f>
        <v>Lower</v>
      </c>
      <c r="X66" s="14" t="str">
        <f t="shared" si="1"/>
        <v>001</v>
      </c>
      <c r="Y66" s="3" t="str">
        <f>IFERROR(VLOOKUP(F66,Func!$A$4:$G$1500,2,FALSE),"none")</f>
        <v>none</v>
      </c>
      <c r="Z66" s="3" t="e">
        <f>VLOOKUP(I66,Resources!$A$2:$AA$1503,18,FALSE)</f>
        <v>#N/A</v>
      </c>
      <c r="AA66" s="3" t="str">
        <f>IFERROR(VLOOKUP(B66,Orgs!$A$4:$G$1500,2,FALSE),"none")</f>
        <v>none</v>
      </c>
      <c r="AB66" s="3" t="str">
        <f>IFERROR(VLOOKUP(C66,UnitsDepts!$A$4:$G$1500,2,FALSE),"none")</f>
        <v>none</v>
      </c>
      <c r="AC66" s="3" t="str">
        <f>IFERROR(VLOOKUP(D66,ProjAppSvc!$A$4:$G$1500,2,FALSE),"none")</f>
        <v>none</v>
      </c>
    </row>
    <row r="67" spans="1:29" x14ac:dyDescent="0.45">
      <c r="A67" s="14" t="s">
        <v>23</v>
      </c>
      <c r="B67" s="14"/>
      <c r="C67" s="14"/>
      <c r="D67" s="14"/>
      <c r="H67" s="8"/>
      <c r="I67" s="3"/>
      <c r="J67" s="3" t="str">
        <f t="shared" si="2"/>
        <v/>
      </c>
      <c r="K67" s="3" t="str">
        <f>IF(ISNUMBER(SEARCH("-",V67)),IFERROR(IF($H$2="Lower", LOWER(ComputeResourceName(Z67,#REF!,#REF!,G67,N67,O67,P67,Q67,S67,T67,V67,A67)), UPPER(ComputeResourceName(Z67,#REF!,#REF!,G67,N67,O67,P67,Q67,S67,T67,V67,A67))),""),SUBSTITUTE(IFERROR(IF($H$2="Lower", LOWER(ComputeResourceName(#REF!,#REF!,#REF!,G67,N67,O67,P67,Q67,S67,T67,V67,A67)), UPPER(ComputeResourceName(#REF!,#REF!,#REF!,G67,N67,O67,P67,Q67,S67,T67,V67,A67))),""), "-",""))</f>
        <v/>
      </c>
      <c r="L67" s="3" t="str">
        <f xml:space="preserve"> IF(K67="","",  IFERROR(VLOOKUP(I67,Resources!$B$1:$H$1503,5,FALSE)-LEN(K67),0))</f>
        <v/>
      </c>
      <c r="M67" s="3" t="str">
        <f>IF(K67="","",IFERROR(matches(K67,VLOOKUP(I67,Resources!$A$2:$AA$1503,16,FALSE)),FALSE))</f>
        <v/>
      </c>
      <c r="N67" s="3" t="e">
        <f>VLOOKUP(E67,Enviroments!$A$3:$D$59,1,FALSE)</f>
        <v>#N/A</v>
      </c>
      <c r="O67" s="3" t="e">
        <f>VLOOKUP(E67,Enviroments!$A$3:$D$59,2,FALSE)</f>
        <v>#N/A</v>
      </c>
      <c r="P67" s="3" t="e">
        <f>VLOOKUP(E67,Enviroments!$A$3:$D$59,3,FALSE)</f>
        <v>#N/A</v>
      </c>
      <c r="Q67" s="3" t="e">
        <f>VLOOKUP(E67,Enviroments!$A$3:$D$59,4,FALSE)</f>
        <v>#N/A</v>
      </c>
      <c r="R67" s="3" t="e">
        <f>VLOOKUP(H67,AzureRegions!$A$4:$B$1493,1,FALSE)</f>
        <v>#N/A</v>
      </c>
      <c r="S67" s="3" t="e">
        <f>VLOOKUP(H67,AzureRegions!$A$4:$B$1493,2,FALSE)</f>
        <v>#N/A</v>
      </c>
      <c r="T67" s="3" t="e">
        <f>VLOOKUP(H67,AzureRegions!$A$4:$C$1493,3,FALSE)</f>
        <v>#N/A</v>
      </c>
      <c r="U67" s="3" t="e">
        <f>VLOOKUP(I67,Resources!$A$2:$AA$1503,2,FALSE)</f>
        <v>#N/A</v>
      </c>
      <c r="V67" s="3" t="e">
        <f>VLOOKUP(I67,Resources!$A$2:$H$1503,6,FALSE)</f>
        <v>#N/A</v>
      </c>
      <c r="W67" s="3" t="str">
        <f>VLOOKUP($H$2,Casing!$A$4:$A$60,1,FALSE)</f>
        <v>Lower</v>
      </c>
      <c r="X67" s="14" t="str">
        <f t="shared" si="1"/>
        <v>001</v>
      </c>
      <c r="Y67" s="3" t="str">
        <f>IFERROR(VLOOKUP(F67,Func!$A$4:$G$1500,2,FALSE),"none")</f>
        <v>none</v>
      </c>
      <c r="Z67" s="3" t="e">
        <f>VLOOKUP(I67,Resources!$A$2:$AA$1503,18,FALSE)</f>
        <v>#N/A</v>
      </c>
      <c r="AA67" s="3" t="str">
        <f>IFERROR(VLOOKUP(B67,Orgs!$A$4:$G$1500,2,FALSE),"none")</f>
        <v>none</v>
      </c>
      <c r="AB67" s="3" t="str">
        <f>IFERROR(VLOOKUP(C67,UnitsDepts!$A$4:$G$1500,2,FALSE),"none")</f>
        <v>none</v>
      </c>
      <c r="AC67" s="3" t="str">
        <f>IFERROR(VLOOKUP(D67,ProjAppSvc!$A$4:$G$1500,2,FALSE),"none")</f>
        <v>none</v>
      </c>
    </row>
    <row r="68" spans="1:29" x14ac:dyDescent="0.45">
      <c r="A68" s="14" t="s">
        <v>23</v>
      </c>
      <c r="B68" s="14"/>
      <c r="C68" s="14"/>
      <c r="D68" s="14"/>
      <c r="H68" s="8"/>
      <c r="I68" s="3"/>
      <c r="J68" s="3" t="str">
        <f t="shared" si="2"/>
        <v/>
      </c>
      <c r="K68" s="3" t="str">
        <f>IF(ISNUMBER(SEARCH("-",V68)),IFERROR(IF($H$2="Lower", LOWER(ComputeResourceName(Z68,#REF!,#REF!,G68,N68,O68,P68,Q68,S68,T68,V68,A68)), UPPER(ComputeResourceName(Z68,#REF!,#REF!,G68,N68,O68,P68,Q68,S68,T68,V68,A68))),""),SUBSTITUTE(IFERROR(IF($H$2="Lower", LOWER(ComputeResourceName(#REF!,#REF!,#REF!,G68,N68,O68,P68,Q68,S68,T68,V68,A68)), UPPER(ComputeResourceName(#REF!,#REF!,#REF!,G68,N68,O68,P68,Q68,S68,T68,V68,A68))),""), "-",""))</f>
        <v/>
      </c>
      <c r="L68" s="3" t="str">
        <f xml:space="preserve"> IF(K68="","",  IFERROR(VLOOKUP(I68,Resources!$B$1:$H$1503,5,FALSE)-LEN(K68),0))</f>
        <v/>
      </c>
      <c r="M68" s="3" t="str">
        <f>IF(K68="","",IFERROR(matches(K68,VLOOKUP(I68,Resources!$A$2:$AA$1503,16,FALSE)),FALSE))</f>
        <v/>
      </c>
      <c r="N68" s="3" t="e">
        <f>VLOOKUP(E68,Enviroments!$A$3:$D$59,1,FALSE)</f>
        <v>#N/A</v>
      </c>
      <c r="O68" s="3" t="e">
        <f>VLOOKUP(E68,Enviroments!$A$3:$D$59,2,FALSE)</f>
        <v>#N/A</v>
      </c>
      <c r="P68" s="3" t="e">
        <f>VLOOKUP(E68,Enviroments!$A$3:$D$59,3,FALSE)</f>
        <v>#N/A</v>
      </c>
      <c r="Q68" s="3" t="e">
        <f>VLOOKUP(E68,Enviroments!$A$3:$D$59,4,FALSE)</f>
        <v>#N/A</v>
      </c>
      <c r="R68" s="3" t="e">
        <f>VLOOKUP(H68,AzureRegions!$A$4:$B$1493,1,FALSE)</f>
        <v>#N/A</v>
      </c>
      <c r="S68" s="3" t="e">
        <f>VLOOKUP(H68,AzureRegions!$A$4:$B$1493,2,FALSE)</f>
        <v>#N/A</v>
      </c>
      <c r="T68" s="3" t="e">
        <f>VLOOKUP(H68,AzureRegions!$A$4:$C$1493,3,FALSE)</f>
        <v>#N/A</v>
      </c>
      <c r="U68" s="3" t="e">
        <f>VLOOKUP(I68,Resources!$A$2:$AA$1503,2,FALSE)</f>
        <v>#N/A</v>
      </c>
      <c r="V68" s="3" t="e">
        <f>VLOOKUP(I68,Resources!$A$2:$H$1503,6,FALSE)</f>
        <v>#N/A</v>
      </c>
      <c r="W68" s="3" t="str">
        <f>VLOOKUP($H$2,Casing!$A$4:$A$60,1,FALSE)</f>
        <v>Lower</v>
      </c>
      <c r="X68" s="14" t="str">
        <f t="shared" si="1"/>
        <v>001</v>
      </c>
      <c r="Y68" s="3" t="str">
        <f>IFERROR(VLOOKUP(F68,Func!$A$4:$G$1500,2,FALSE),"none")</f>
        <v>none</v>
      </c>
      <c r="Z68" s="3" t="e">
        <f>VLOOKUP(I68,Resources!$A$2:$AA$1503,18,FALSE)</f>
        <v>#N/A</v>
      </c>
      <c r="AA68" s="3" t="str">
        <f>IFERROR(VLOOKUP(B68,Orgs!$A$4:$G$1500,2,FALSE),"none")</f>
        <v>none</v>
      </c>
      <c r="AB68" s="3" t="str">
        <f>IFERROR(VLOOKUP(C68,UnitsDepts!$A$4:$G$1500,2,FALSE),"none")</f>
        <v>none</v>
      </c>
      <c r="AC68" s="3" t="str">
        <f>IFERROR(VLOOKUP(D68,ProjAppSvc!$A$4:$G$1500,2,FALSE),"none")</f>
        <v>none</v>
      </c>
    </row>
    <row r="69" spans="1:29" x14ac:dyDescent="0.45">
      <c r="A69" s="14" t="s">
        <v>23</v>
      </c>
      <c r="B69" s="14"/>
      <c r="C69" s="14"/>
      <c r="D69" s="14"/>
      <c r="H69" s="8"/>
      <c r="I69" s="3"/>
      <c r="J69" s="3" t="str">
        <f t="shared" si="2"/>
        <v/>
      </c>
      <c r="K69" s="3" t="str">
        <f>IF(ISNUMBER(SEARCH("-",V69)),IFERROR(IF($H$2="Lower", LOWER(ComputeResourceName(Z69,#REF!,#REF!,G69,N69,O69,P69,Q69,S69,T69,V69,A69)), UPPER(ComputeResourceName(Z69,#REF!,#REF!,G69,N69,O69,P69,Q69,S69,T69,V69,A69))),""),SUBSTITUTE(IFERROR(IF($H$2="Lower", LOWER(ComputeResourceName(#REF!,#REF!,#REF!,G69,N69,O69,P69,Q69,S69,T69,V69,A69)), UPPER(ComputeResourceName(#REF!,#REF!,#REF!,G69,N69,O69,P69,Q69,S69,T69,V69,A69))),""), "-",""))</f>
        <v/>
      </c>
      <c r="L69" s="3" t="str">
        <f xml:space="preserve"> IF(K69="","",  IFERROR(VLOOKUP(I69,Resources!$B$1:$H$1503,5,FALSE)-LEN(K69),0))</f>
        <v/>
      </c>
      <c r="M69" s="3" t="str">
        <f>IF(K69="","",IFERROR(matches(K69,VLOOKUP(I69,Resources!$A$2:$AA$1503,16,FALSE)),FALSE))</f>
        <v/>
      </c>
      <c r="N69" s="3" t="e">
        <f>VLOOKUP(E69,Enviroments!$A$3:$D$59,1,FALSE)</f>
        <v>#N/A</v>
      </c>
      <c r="O69" s="3" t="e">
        <f>VLOOKUP(E69,Enviroments!$A$3:$D$59,2,FALSE)</f>
        <v>#N/A</v>
      </c>
      <c r="P69" s="3" t="e">
        <f>VLOOKUP(E69,Enviroments!$A$3:$D$59,3,FALSE)</f>
        <v>#N/A</v>
      </c>
      <c r="Q69" s="3" t="e">
        <f>VLOOKUP(E69,Enviroments!$A$3:$D$59,4,FALSE)</f>
        <v>#N/A</v>
      </c>
      <c r="R69" s="3" t="e">
        <f>VLOOKUP(H69,AzureRegions!$A$4:$B$1493,1,FALSE)</f>
        <v>#N/A</v>
      </c>
      <c r="S69" s="3" t="e">
        <f>VLOOKUP(H69,AzureRegions!$A$4:$B$1493,2,FALSE)</f>
        <v>#N/A</v>
      </c>
      <c r="T69" s="3" t="e">
        <f>VLOOKUP(H69,AzureRegions!$A$4:$C$1493,3,FALSE)</f>
        <v>#N/A</v>
      </c>
      <c r="U69" s="3" t="e">
        <f>VLOOKUP(I69,Resources!$A$2:$AA$1503,2,FALSE)</f>
        <v>#N/A</v>
      </c>
      <c r="V69" s="3" t="e">
        <f>VLOOKUP(I69,Resources!$A$2:$H$1503,6,FALSE)</f>
        <v>#N/A</v>
      </c>
      <c r="W69" s="3" t="str">
        <f>VLOOKUP($H$2,Casing!$A$4:$A$60,1,FALSE)</f>
        <v>Lower</v>
      </c>
      <c r="X69" s="14" t="str">
        <f t="shared" si="1"/>
        <v>001</v>
      </c>
      <c r="Y69" s="3" t="str">
        <f>IFERROR(VLOOKUP(F69,Func!$A$4:$G$1500,2,FALSE),"none")</f>
        <v>none</v>
      </c>
      <c r="Z69" s="3" t="e">
        <f>VLOOKUP(I69,Resources!$A$2:$AA$1503,18,FALSE)</f>
        <v>#N/A</v>
      </c>
      <c r="AA69" s="3" t="str">
        <f>IFERROR(VLOOKUP(B69,Orgs!$A$4:$G$1500,2,FALSE),"none")</f>
        <v>none</v>
      </c>
      <c r="AB69" s="3" t="str">
        <f>IFERROR(VLOOKUP(C69,UnitsDepts!$A$4:$G$1500,2,FALSE),"none")</f>
        <v>none</v>
      </c>
      <c r="AC69" s="3" t="str">
        <f>IFERROR(VLOOKUP(D69,ProjAppSvc!$A$4:$G$1500,2,FALSE),"none")</f>
        <v>none</v>
      </c>
    </row>
    <row r="70" spans="1:29" x14ac:dyDescent="0.45">
      <c r="A70" s="14" t="s">
        <v>23</v>
      </c>
      <c r="B70" s="14"/>
      <c r="C70" s="14"/>
      <c r="D70" s="14"/>
      <c r="H70" s="8"/>
      <c r="I70" s="3"/>
      <c r="J70" s="3" t="str">
        <f t="shared" si="2"/>
        <v/>
      </c>
      <c r="K70" s="3" t="str">
        <f>IF(ISNUMBER(SEARCH("-",V70)),IFERROR(IF($H$2="Lower", LOWER(ComputeResourceName(Z70,#REF!,#REF!,G70,N70,O70,P70,Q70,S70,T70,V70,A70)), UPPER(ComputeResourceName(Z70,#REF!,#REF!,G70,N70,O70,P70,Q70,S70,T70,V70,A70))),""),SUBSTITUTE(IFERROR(IF($H$2="Lower", LOWER(ComputeResourceName(#REF!,#REF!,#REF!,G70,N70,O70,P70,Q70,S70,T70,V70,A70)), UPPER(ComputeResourceName(#REF!,#REF!,#REF!,G70,N70,O70,P70,Q70,S70,T70,V70,A70))),""), "-",""))</f>
        <v/>
      </c>
      <c r="L70" s="3" t="str">
        <f xml:space="preserve"> IF(K70="","",  IFERROR(VLOOKUP(I70,Resources!$B$1:$H$1503,5,FALSE)-LEN(K70),0))</f>
        <v/>
      </c>
      <c r="M70" s="3" t="str">
        <f>IF(K70="","",IFERROR(matches(K70,VLOOKUP(I70,Resources!$A$2:$AA$1503,16,FALSE)),FALSE))</f>
        <v/>
      </c>
      <c r="N70" s="3" t="e">
        <f>VLOOKUP(E70,Enviroments!$A$3:$D$59,1,FALSE)</f>
        <v>#N/A</v>
      </c>
      <c r="O70" s="3" t="e">
        <f>VLOOKUP(E70,Enviroments!$A$3:$D$59,2,FALSE)</f>
        <v>#N/A</v>
      </c>
      <c r="P70" s="3" t="e">
        <f>VLOOKUP(E70,Enviroments!$A$3:$D$59,3,FALSE)</f>
        <v>#N/A</v>
      </c>
      <c r="Q70" s="3" t="e">
        <f>VLOOKUP(E70,Enviroments!$A$3:$D$59,4,FALSE)</f>
        <v>#N/A</v>
      </c>
      <c r="R70" s="3" t="e">
        <f>VLOOKUP(H70,AzureRegions!$A$4:$B$1493,1,FALSE)</f>
        <v>#N/A</v>
      </c>
      <c r="S70" s="3" t="e">
        <f>VLOOKUP(H70,AzureRegions!$A$4:$B$1493,2,FALSE)</f>
        <v>#N/A</v>
      </c>
      <c r="T70" s="3" t="e">
        <f>VLOOKUP(H70,AzureRegions!$A$4:$C$1493,3,FALSE)</f>
        <v>#N/A</v>
      </c>
      <c r="U70" s="3" t="e">
        <f>VLOOKUP(I70,Resources!$A$2:$AA$1503,2,FALSE)</f>
        <v>#N/A</v>
      </c>
      <c r="V70" s="3" t="e">
        <f>VLOOKUP(I70,Resources!$A$2:$H$1503,6,FALSE)</f>
        <v>#N/A</v>
      </c>
      <c r="W70" s="3" t="str">
        <f>VLOOKUP($H$2,Casing!$A$4:$A$60,1,FALSE)</f>
        <v>Lower</v>
      </c>
      <c r="X70" s="14" t="str">
        <f t="shared" si="1"/>
        <v>001</v>
      </c>
      <c r="Y70" s="3" t="str">
        <f>IFERROR(VLOOKUP(F70,Func!$A$4:$G$1500,2,FALSE),"none")</f>
        <v>none</v>
      </c>
      <c r="Z70" s="3" t="e">
        <f>VLOOKUP(I70,Resources!$A$2:$AA$1503,18,FALSE)</f>
        <v>#N/A</v>
      </c>
      <c r="AA70" s="3" t="str">
        <f>IFERROR(VLOOKUP(B70,Orgs!$A$4:$G$1500,2,FALSE),"none")</f>
        <v>none</v>
      </c>
      <c r="AB70" s="3" t="str">
        <f>IFERROR(VLOOKUP(C70,UnitsDepts!$A$4:$G$1500,2,FALSE),"none")</f>
        <v>none</v>
      </c>
      <c r="AC70" s="3" t="str">
        <f>IFERROR(VLOOKUP(D70,ProjAppSvc!$A$4:$G$1500,2,FALSE),"none")</f>
        <v>none</v>
      </c>
    </row>
    <row r="71" spans="1:29" x14ac:dyDescent="0.45">
      <c r="A71" s="14" t="s">
        <v>23</v>
      </c>
      <c r="B71" s="14"/>
      <c r="C71" s="14"/>
      <c r="D71" s="14"/>
      <c r="H71" s="8"/>
      <c r="I71" s="3"/>
      <c r="J71" s="3" t="str">
        <f t="shared" si="2"/>
        <v/>
      </c>
      <c r="K71" s="3" t="str">
        <f>IF(ISNUMBER(SEARCH("-",V71)),IFERROR(IF($H$2="Lower", LOWER(ComputeResourceName(Z71,#REF!,#REF!,G71,N71,O71,P71,Q71,S71,T71,V71,A71)), UPPER(ComputeResourceName(Z71,#REF!,#REF!,G71,N71,O71,P71,Q71,S71,T71,V71,A71))),""),SUBSTITUTE(IFERROR(IF($H$2="Lower", LOWER(ComputeResourceName(#REF!,#REF!,#REF!,G71,N71,O71,P71,Q71,S71,T71,V71,A71)), UPPER(ComputeResourceName(#REF!,#REF!,#REF!,G71,N71,O71,P71,Q71,S71,T71,V71,A71))),""), "-",""))</f>
        <v/>
      </c>
      <c r="L71" s="3" t="str">
        <f xml:space="preserve"> IF(K71="","",  IFERROR(VLOOKUP(I71,Resources!$B$1:$H$1503,5,FALSE)-LEN(K71),0))</f>
        <v/>
      </c>
      <c r="M71" s="3" t="str">
        <f>IF(K71="","",IFERROR(matches(K71,VLOOKUP(I71,Resources!$A$2:$AA$1503,16,FALSE)),FALSE))</f>
        <v/>
      </c>
      <c r="N71" s="3" t="e">
        <f>VLOOKUP(E71,Enviroments!$A$3:$D$59,1,FALSE)</f>
        <v>#N/A</v>
      </c>
      <c r="O71" s="3" t="e">
        <f>VLOOKUP(E71,Enviroments!$A$3:$D$59,2,FALSE)</f>
        <v>#N/A</v>
      </c>
      <c r="P71" s="3" t="e">
        <f>VLOOKUP(E71,Enviroments!$A$3:$D$59,3,FALSE)</f>
        <v>#N/A</v>
      </c>
      <c r="Q71" s="3" t="e">
        <f>VLOOKUP(E71,Enviroments!$A$3:$D$59,4,FALSE)</f>
        <v>#N/A</v>
      </c>
      <c r="R71" s="3" t="e">
        <f>VLOOKUP(H71,AzureRegions!$A$4:$B$1493,1,FALSE)</f>
        <v>#N/A</v>
      </c>
      <c r="S71" s="3" t="e">
        <f>VLOOKUP(H71,AzureRegions!$A$4:$B$1493,2,FALSE)</f>
        <v>#N/A</v>
      </c>
      <c r="T71" s="3" t="e">
        <f>VLOOKUP(H71,AzureRegions!$A$4:$C$1493,3,FALSE)</f>
        <v>#N/A</v>
      </c>
      <c r="U71" s="3" t="e">
        <f>VLOOKUP(I71,Resources!$A$2:$AA$1503,2,FALSE)</f>
        <v>#N/A</v>
      </c>
      <c r="V71" s="3" t="e">
        <f>VLOOKUP(I71,Resources!$A$2:$H$1503,6,FALSE)</f>
        <v>#N/A</v>
      </c>
      <c r="W71" s="3" t="str">
        <f>VLOOKUP($H$2,Casing!$A$4:$A$60,1,FALSE)</f>
        <v>Lower</v>
      </c>
      <c r="X71" s="14" t="str">
        <f t="shared" ref="X71:X134" si="3">A71</f>
        <v>001</v>
      </c>
      <c r="Y71" s="3" t="str">
        <f>IFERROR(VLOOKUP(F71,Func!$A$4:$G$1500,2,FALSE),"none")</f>
        <v>none</v>
      </c>
      <c r="Z71" s="3" t="e">
        <f>VLOOKUP(I71,Resources!$A$2:$AA$1503,18,FALSE)</f>
        <v>#N/A</v>
      </c>
      <c r="AA71" s="3" t="str">
        <f>IFERROR(VLOOKUP(B71,Orgs!$A$4:$G$1500,2,FALSE),"none")</f>
        <v>none</v>
      </c>
      <c r="AB71" s="3" t="str">
        <f>IFERROR(VLOOKUP(C71,UnitsDepts!$A$4:$G$1500,2,FALSE),"none")</f>
        <v>none</v>
      </c>
      <c r="AC71" s="3" t="str">
        <f>IFERROR(VLOOKUP(D71,ProjAppSvc!$A$4:$G$1500,2,FALSE),"none")</f>
        <v>none</v>
      </c>
    </row>
    <row r="72" spans="1:29" x14ac:dyDescent="0.45">
      <c r="A72" s="14" t="s">
        <v>23</v>
      </c>
      <c r="B72" s="14"/>
      <c r="C72" s="14"/>
      <c r="D72" s="14"/>
      <c r="H72" s="8"/>
      <c r="I72" s="3"/>
      <c r="J72" s="3" t="str">
        <f t="shared" si="2"/>
        <v/>
      </c>
      <c r="K72" s="3" t="str">
        <f>IF(ISNUMBER(SEARCH("-",V72)),IFERROR(IF($H$2="Lower", LOWER(ComputeResourceName(Z72,#REF!,#REF!,G72,N72,O72,P72,Q72,S72,T72,V72,A72)), UPPER(ComputeResourceName(Z72,#REF!,#REF!,G72,N72,O72,P72,Q72,S72,T72,V72,A72))),""),SUBSTITUTE(IFERROR(IF($H$2="Lower", LOWER(ComputeResourceName(#REF!,#REF!,#REF!,G72,N72,O72,P72,Q72,S72,T72,V72,A72)), UPPER(ComputeResourceName(#REF!,#REF!,#REF!,G72,N72,O72,P72,Q72,S72,T72,V72,A72))),""), "-",""))</f>
        <v/>
      </c>
      <c r="L72" s="3" t="str">
        <f xml:space="preserve"> IF(K72="","",  IFERROR(VLOOKUP(I72,Resources!$B$1:$H$1503,5,FALSE)-LEN(K72),0))</f>
        <v/>
      </c>
      <c r="M72" s="3" t="str">
        <f>IF(K72="","",IFERROR(matches(K72,VLOOKUP(I72,Resources!$A$2:$AA$1503,16,FALSE)),FALSE))</f>
        <v/>
      </c>
      <c r="N72" s="3" t="e">
        <f>VLOOKUP(E72,Enviroments!$A$3:$D$59,1,FALSE)</f>
        <v>#N/A</v>
      </c>
      <c r="O72" s="3" t="e">
        <f>VLOOKUP(E72,Enviroments!$A$3:$D$59,2,FALSE)</f>
        <v>#N/A</v>
      </c>
      <c r="P72" s="3" t="e">
        <f>VLOOKUP(E72,Enviroments!$A$3:$D$59,3,FALSE)</f>
        <v>#N/A</v>
      </c>
      <c r="Q72" s="3" t="e">
        <f>VLOOKUP(E72,Enviroments!$A$3:$D$59,4,FALSE)</f>
        <v>#N/A</v>
      </c>
      <c r="R72" s="3" t="e">
        <f>VLOOKUP(H72,AzureRegions!$A$4:$B$1493,1,FALSE)</f>
        <v>#N/A</v>
      </c>
      <c r="S72" s="3" t="e">
        <f>VLOOKUP(H72,AzureRegions!$A$4:$B$1493,2,FALSE)</f>
        <v>#N/A</v>
      </c>
      <c r="T72" s="3" t="e">
        <f>VLOOKUP(H72,AzureRegions!$A$4:$C$1493,3,FALSE)</f>
        <v>#N/A</v>
      </c>
      <c r="U72" s="3" t="e">
        <f>VLOOKUP(I72,Resources!$A$2:$AA$1503,2,FALSE)</f>
        <v>#N/A</v>
      </c>
      <c r="V72" s="3" t="e">
        <f>VLOOKUP(I72,Resources!$A$2:$H$1503,6,FALSE)</f>
        <v>#N/A</v>
      </c>
      <c r="W72" s="3" t="str">
        <f>VLOOKUP($H$2,Casing!$A$4:$A$60,1,FALSE)</f>
        <v>Lower</v>
      </c>
      <c r="X72" s="14" t="str">
        <f t="shared" si="3"/>
        <v>001</v>
      </c>
      <c r="Y72" s="3" t="str">
        <f>IFERROR(VLOOKUP(F72,Func!$A$4:$G$1500,2,FALSE),"none")</f>
        <v>none</v>
      </c>
      <c r="Z72" s="3" t="e">
        <f>VLOOKUP(I72,Resources!$A$2:$AA$1503,18,FALSE)</f>
        <v>#N/A</v>
      </c>
      <c r="AA72" s="3" t="str">
        <f>IFERROR(VLOOKUP(B72,Orgs!$A$4:$G$1500,2,FALSE),"none")</f>
        <v>none</v>
      </c>
      <c r="AB72" s="3" t="str">
        <f>IFERROR(VLOOKUP(C72,UnitsDepts!$A$4:$G$1500,2,FALSE),"none")</f>
        <v>none</v>
      </c>
      <c r="AC72" s="3" t="str">
        <f>IFERROR(VLOOKUP(D72,ProjAppSvc!$A$4:$G$1500,2,FALSE),"none")</f>
        <v>none</v>
      </c>
    </row>
    <row r="73" spans="1:29" x14ac:dyDescent="0.45">
      <c r="A73" s="14" t="s">
        <v>23</v>
      </c>
      <c r="B73" s="14"/>
      <c r="C73" s="14"/>
      <c r="D73" s="14"/>
      <c r="H73" s="8"/>
      <c r="I73" s="3"/>
      <c r="J73" s="3" t="str">
        <f t="shared" si="2"/>
        <v/>
      </c>
      <c r="K73" s="3" t="str">
        <f>IF(ISNUMBER(SEARCH("-",V73)),IFERROR(IF($H$2="Lower", LOWER(ComputeResourceName(Z73,#REF!,#REF!,G73,N73,O73,P73,Q73,S73,T73,V73,A73)), UPPER(ComputeResourceName(Z73,#REF!,#REF!,G73,N73,O73,P73,Q73,S73,T73,V73,A73))),""),SUBSTITUTE(IFERROR(IF($H$2="Lower", LOWER(ComputeResourceName(#REF!,#REF!,#REF!,G73,N73,O73,P73,Q73,S73,T73,V73,A73)), UPPER(ComputeResourceName(#REF!,#REF!,#REF!,G73,N73,O73,P73,Q73,S73,T73,V73,A73))),""), "-",""))</f>
        <v/>
      </c>
      <c r="L73" s="3" t="str">
        <f xml:space="preserve"> IF(K73="","",  IFERROR(VLOOKUP(I73,Resources!$B$1:$H$1503,5,FALSE)-LEN(K73),0))</f>
        <v/>
      </c>
      <c r="M73" s="3" t="str">
        <f>IF(K73="","",IFERROR(matches(K73,VLOOKUP(I73,Resources!$A$2:$AA$1503,16,FALSE)),FALSE))</f>
        <v/>
      </c>
      <c r="N73" s="3" t="e">
        <f>VLOOKUP(E73,Enviroments!$A$3:$D$59,1,FALSE)</f>
        <v>#N/A</v>
      </c>
      <c r="O73" s="3" t="e">
        <f>VLOOKUP(E73,Enviroments!$A$3:$D$59,2,FALSE)</f>
        <v>#N/A</v>
      </c>
      <c r="P73" s="3" t="e">
        <f>VLOOKUP(E73,Enviroments!$A$3:$D$59,3,FALSE)</f>
        <v>#N/A</v>
      </c>
      <c r="Q73" s="3" t="e">
        <f>VLOOKUP(E73,Enviroments!$A$3:$D$59,4,FALSE)</f>
        <v>#N/A</v>
      </c>
      <c r="R73" s="3" t="e">
        <f>VLOOKUP(H73,AzureRegions!$A$4:$B$1493,1,FALSE)</f>
        <v>#N/A</v>
      </c>
      <c r="S73" s="3" t="e">
        <f>VLOOKUP(H73,AzureRegions!$A$4:$B$1493,2,FALSE)</f>
        <v>#N/A</v>
      </c>
      <c r="T73" s="3" t="e">
        <f>VLOOKUP(H73,AzureRegions!$A$4:$C$1493,3,FALSE)</f>
        <v>#N/A</v>
      </c>
      <c r="U73" s="3" t="e">
        <f>VLOOKUP(I73,Resources!$A$2:$AA$1503,2,FALSE)</f>
        <v>#N/A</v>
      </c>
      <c r="V73" s="3" t="e">
        <f>VLOOKUP(I73,Resources!$A$2:$H$1503,6,FALSE)</f>
        <v>#N/A</v>
      </c>
      <c r="W73" s="3" t="str">
        <f>VLOOKUP($H$2,Casing!$A$4:$A$60,1,FALSE)</f>
        <v>Lower</v>
      </c>
      <c r="X73" s="14" t="str">
        <f t="shared" si="3"/>
        <v>001</v>
      </c>
      <c r="Y73" s="3" t="str">
        <f>IFERROR(VLOOKUP(F73,Func!$A$4:$G$1500,2,FALSE),"none")</f>
        <v>none</v>
      </c>
      <c r="Z73" s="3" t="e">
        <f>VLOOKUP(I73,Resources!$A$2:$AA$1503,18,FALSE)</f>
        <v>#N/A</v>
      </c>
      <c r="AA73" s="3" t="str">
        <f>IFERROR(VLOOKUP(B73,Orgs!$A$4:$G$1500,2,FALSE),"none")</f>
        <v>none</v>
      </c>
      <c r="AB73" s="3" t="str">
        <f>IFERROR(VLOOKUP(C73,UnitsDepts!$A$4:$G$1500,2,FALSE),"none")</f>
        <v>none</v>
      </c>
      <c r="AC73" s="3" t="str">
        <f>IFERROR(VLOOKUP(D73,ProjAppSvc!$A$4:$G$1500,2,FALSE),"none")</f>
        <v>none</v>
      </c>
    </row>
    <row r="74" spans="1:29" x14ac:dyDescent="0.45">
      <c r="A74" s="14" t="s">
        <v>23</v>
      </c>
      <c r="B74" s="14"/>
      <c r="C74" s="14"/>
      <c r="D74" s="14"/>
      <c r="H74" s="8"/>
      <c r="I74" s="3"/>
      <c r="J74" s="3" t="str">
        <f t="shared" si="2"/>
        <v/>
      </c>
      <c r="K74" s="3" t="str">
        <f>IF(ISNUMBER(SEARCH("-",V74)),IFERROR(IF($H$2="Lower", LOWER(ComputeResourceName(Z74,#REF!,#REF!,G74,N74,O74,P74,Q74,S74,T74,V74,A74)), UPPER(ComputeResourceName(Z74,#REF!,#REF!,G74,N74,O74,P74,Q74,S74,T74,V74,A74))),""),SUBSTITUTE(IFERROR(IF($H$2="Lower", LOWER(ComputeResourceName(#REF!,#REF!,#REF!,G74,N74,O74,P74,Q74,S74,T74,V74,A74)), UPPER(ComputeResourceName(#REF!,#REF!,#REF!,G74,N74,O74,P74,Q74,S74,T74,V74,A74))),""), "-",""))</f>
        <v/>
      </c>
      <c r="L74" s="3" t="str">
        <f xml:space="preserve"> IF(K74="","",  IFERROR(VLOOKUP(I74,Resources!$B$1:$H$1503,5,FALSE)-LEN(K74),0))</f>
        <v/>
      </c>
      <c r="M74" s="3" t="str">
        <f>IF(K74="","",IFERROR(matches(K74,VLOOKUP(I74,Resources!$A$2:$AA$1503,16,FALSE)),FALSE))</f>
        <v/>
      </c>
      <c r="N74" s="3" t="e">
        <f>VLOOKUP(E74,Enviroments!$A$3:$D$59,1,FALSE)</f>
        <v>#N/A</v>
      </c>
      <c r="O74" s="3" t="e">
        <f>VLOOKUP(E74,Enviroments!$A$3:$D$59,2,FALSE)</f>
        <v>#N/A</v>
      </c>
      <c r="P74" s="3" t="e">
        <f>VLOOKUP(E74,Enviroments!$A$3:$D$59,3,FALSE)</f>
        <v>#N/A</v>
      </c>
      <c r="Q74" s="3" t="e">
        <f>VLOOKUP(E74,Enviroments!$A$3:$D$59,4,FALSE)</f>
        <v>#N/A</v>
      </c>
      <c r="R74" s="3" t="e">
        <f>VLOOKUP(H74,AzureRegions!$A$4:$B$1493,1,FALSE)</f>
        <v>#N/A</v>
      </c>
      <c r="S74" s="3" t="e">
        <f>VLOOKUP(H74,AzureRegions!$A$4:$B$1493,2,FALSE)</f>
        <v>#N/A</v>
      </c>
      <c r="T74" s="3" t="e">
        <f>VLOOKUP(H74,AzureRegions!$A$4:$C$1493,3,FALSE)</f>
        <v>#N/A</v>
      </c>
      <c r="U74" s="3" t="e">
        <f>VLOOKUP(I74,Resources!$A$2:$AA$1503,2,FALSE)</f>
        <v>#N/A</v>
      </c>
      <c r="V74" s="3" t="e">
        <f>VLOOKUP(I74,Resources!$A$2:$H$1503,6,FALSE)</f>
        <v>#N/A</v>
      </c>
      <c r="W74" s="3" t="str">
        <f>VLOOKUP($H$2,Casing!$A$4:$A$60,1,FALSE)</f>
        <v>Lower</v>
      </c>
      <c r="X74" s="14" t="str">
        <f t="shared" si="3"/>
        <v>001</v>
      </c>
      <c r="Y74" s="3" t="str">
        <f>IFERROR(VLOOKUP(F74,Func!$A$4:$G$1500,2,FALSE),"none")</f>
        <v>none</v>
      </c>
      <c r="Z74" s="3" t="e">
        <f>VLOOKUP(I74,Resources!$A$2:$AA$1503,18,FALSE)</f>
        <v>#N/A</v>
      </c>
      <c r="AA74" s="3" t="str">
        <f>IFERROR(VLOOKUP(B74,Orgs!$A$4:$G$1500,2,FALSE),"none")</f>
        <v>none</v>
      </c>
      <c r="AB74" s="3" t="str">
        <f>IFERROR(VLOOKUP(C74,UnitsDepts!$A$4:$G$1500,2,FALSE),"none")</f>
        <v>none</v>
      </c>
      <c r="AC74" s="3" t="str">
        <f>IFERROR(VLOOKUP(D74,ProjAppSvc!$A$4:$G$1500,2,FALSE),"none")</f>
        <v>none</v>
      </c>
    </row>
    <row r="75" spans="1:29" x14ac:dyDescent="0.45">
      <c r="A75" s="14" t="s">
        <v>23</v>
      </c>
      <c r="B75" s="14"/>
      <c r="C75" s="14"/>
      <c r="D75" s="14"/>
      <c r="H75" s="8"/>
      <c r="I75" s="3"/>
      <c r="J75" s="3" t="str">
        <f t="shared" si="2"/>
        <v/>
      </c>
      <c r="K75" s="3" t="str">
        <f>IF(ISNUMBER(SEARCH("-",V75)),IFERROR(IF($H$2="Lower", LOWER(ComputeResourceName(Z75,#REF!,#REF!,G75,N75,O75,P75,Q75,S75,T75,V75,A75)), UPPER(ComputeResourceName(Z75,#REF!,#REF!,G75,N75,O75,P75,Q75,S75,T75,V75,A75))),""),SUBSTITUTE(IFERROR(IF($H$2="Lower", LOWER(ComputeResourceName(#REF!,#REF!,#REF!,G75,N75,O75,P75,Q75,S75,T75,V75,A75)), UPPER(ComputeResourceName(#REF!,#REF!,#REF!,G75,N75,O75,P75,Q75,S75,T75,V75,A75))),""), "-",""))</f>
        <v/>
      </c>
      <c r="L75" s="3" t="str">
        <f xml:space="preserve"> IF(K75="","",  IFERROR(VLOOKUP(I75,Resources!$B$1:$H$1503,5,FALSE)-LEN(K75),0))</f>
        <v/>
      </c>
      <c r="M75" s="3" t="str">
        <f>IF(K75="","",IFERROR(matches(K75,VLOOKUP(I75,Resources!$A$2:$AA$1503,16,FALSE)),FALSE))</f>
        <v/>
      </c>
      <c r="N75" s="3" t="e">
        <f>VLOOKUP(E75,Enviroments!$A$3:$D$59,1,FALSE)</f>
        <v>#N/A</v>
      </c>
      <c r="O75" s="3" t="e">
        <f>VLOOKUP(E75,Enviroments!$A$3:$D$59,2,FALSE)</f>
        <v>#N/A</v>
      </c>
      <c r="P75" s="3" t="e">
        <f>VLOOKUP(E75,Enviroments!$A$3:$D$59,3,FALSE)</f>
        <v>#N/A</v>
      </c>
      <c r="Q75" s="3" t="e">
        <f>VLOOKUP(E75,Enviroments!$A$3:$D$59,4,FALSE)</f>
        <v>#N/A</v>
      </c>
      <c r="R75" s="3" t="e">
        <f>VLOOKUP(H75,AzureRegions!$A$4:$B$1493,1,FALSE)</f>
        <v>#N/A</v>
      </c>
      <c r="S75" s="3" t="e">
        <f>VLOOKUP(H75,AzureRegions!$A$4:$B$1493,2,FALSE)</f>
        <v>#N/A</v>
      </c>
      <c r="T75" s="3" t="e">
        <f>VLOOKUP(H75,AzureRegions!$A$4:$C$1493,3,FALSE)</f>
        <v>#N/A</v>
      </c>
      <c r="U75" s="3" t="e">
        <f>VLOOKUP(I75,Resources!$A$2:$AA$1503,2,FALSE)</f>
        <v>#N/A</v>
      </c>
      <c r="V75" s="3" t="e">
        <f>VLOOKUP(I75,Resources!$A$2:$H$1503,6,FALSE)</f>
        <v>#N/A</v>
      </c>
      <c r="W75" s="3" t="str">
        <f>VLOOKUP($H$2,Casing!$A$4:$A$60,1,FALSE)</f>
        <v>Lower</v>
      </c>
      <c r="X75" s="14" t="str">
        <f t="shared" si="3"/>
        <v>001</v>
      </c>
      <c r="Y75" s="3" t="str">
        <f>IFERROR(VLOOKUP(F75,Func!$A$4:$G$1500,2,FALSE),"none")</f>
        <v>none</v>
      </c>
      <c r="Z75" s="3" t="e">
        <f>VLOOKUP(I75,Resources!$A$2:$AA$1503,18,FALSE)</f>
        <v>#N/A</v>
      </c>
      <c r="AA75" s="3" t="str">
        <f>IFERROR(VLOOKUP(B75,Orgs!$A$4:$G$1500,2,FALSE),"none")</f>
        <v>none</v>
      </c>
      <c r="AB75" s="3" t="str">
        <f>IFERROR(VLOOKUP(C75,UnitsDepts!$A$4:$G$1500,2,FALSE),"none")</f>
        <v>none</v>
      </c>
      <c r="AC75" s="3" t="str">
        <f>IFERROR(VLOOKUP(D75,ProjAppSvc!$A$4:$G$1500,2,FALSE),"none")</f>
        <v>none</v>
      </c>
    </row>
    <row r="76" spans="1:29" x14ac:dyDescent="0.45">
      <c r="A76" s="14" t="s">
        <v>23</v>
      </c>
      <c r="B76" s="14"/>
      <c r="C76" s="14"/>
      <c r="D76" s="14"/>
      <c r="H76" s="8"/>
      <c r="I76" s="3"/>
      <c r="J76" s="3" t="str">
        <f t="shared" si="2"/>
        <v/>
      </c>
      <c r="K76" s="3" t="str">
        <f>IF(ISNUMBER(SEARCH("-",V76)),IFERROR(IF($H$2="Lower", LOWER(ComputeResourceName(Z76,#REF!,#REF!,G76,N76,O76,P76,Q76,S76,T76,V76,A76)), UPPER(ComputeResourceName(Z76,#REF!,#REF!,G76,N76,O76,P76,Q76,S76,T76,V76,A76))),""),SUBSTITUTE(IFERROR(IF($H$2="Lower", LOWER(ComputeResourceName(#REF!,#REF!,#REF!,G76,N76,O76,P76,Q76,S76,T76,V76,A76)), UPPER(ComputeResourceName(#REF!,#REF!,#REF!,G76,N76,O76,P76,Q76,S76,T76,V76,A76))),""), "-",""))</f>
        <v/>
      </c>
      <c r="L76" s="3" t="str">
        <f xml:space="preserve"> IF(K76="","",  IFERROR(VLOOKUP(I76,Resources!$B$1:$H$1503,5,FALSE)-LEN(K76),0))</f>
        <v/>
      </c>
      <c r="M76" s="3" t="str">
        <f>IF(K76="","",IFERROR(matches(K76,VLOOKUP(I76,Resources!$A$2:$AA$1503,16,FALSE)),FALSE))</f>
        <v/>
      </c>
      <c r="N76" s="3" t="e">
        <f>VLOOKUP(E76,Enviroments!$A$3:$D$59,1,FALSE)</f>
        <v>#N/A</v>
      </c>
      <c r="O76" s="3" t="e">
        <f>VLOOKUP(E76,Enviroments!$A$3:$D$59,2,FALSE)</f>
        <v>#N/A</v>
      </c>
      <c r="P76" s="3" t="e">
        <f>VLOOKUP(E76,Enviroments!$A$3:$D$59,3,FALSE)</f>
        <v>#N/A</v>
      </c>
      <c r="Q76" s="3" t="e">
        <f>VLOOKUP(E76,Enviroments!$A$3:$D$59,4,FALSE)</f>
        <v>#N/A</v>
      </c>
      <c r="R76" s="3" t="e">
        <f>VLOOKUP(H76,AzureRegions!$A$4:$B$1493,1,FALSE)</f>
        <v>#N/A</v>
      </c>
      <c r="S76" s="3" t="e">
        <f>VLOOKUP(H76,AzureRegions!$A$4:$B$1493,2,FALSE)</f>
        <v>#N/A</v>
      </c>
      <c r="T76" s="3" t="e">
        <f>VLOOKUP(H76,AzureRegions!$A$4:$C$1493,3,FALSE)</f>
        <v>#N/A</v>
      </c>
      <c r="U76" s="3" t="e">
        <f>VLOOKUP(I76,Resources!$A$2:$AA$1503,2,FALSE)</f>
        <v>#N/A</v>
      </c>
      <c r="V76" s="3" t="e">
        <f>VLOOKUP(I76,Resources!$A$2:$H$1503,6,FALSE)</f>
        <v>#N/A</v>
      </c>
      <c r="W76" s="3" t="str">
        <f>VLOOKUP($H$2,Casing!$A$4:$A$60,1,FALSE)</f>
        <v>Lower</v>
      </c>
      <c r="X76" s="14" t="str">
        <f t="shared" si="3"/>
        <v>001</v>
      </c>
      <c r="Y76" s="3" t="str">
        <f>IFERROR(VLOOKUP(F76,Func!$A$4:$G$1500,2,FALSE),"none")</f>
        <v>none</v>
      </c>
      <c r="Z76" s="3" t="e">
        <f>VLOOKUP(I76,Resources!$A$2:$AA$1503,18,FALSE)</f>
        <v>#N/A</v>
      </c>
      <c r="AA76" s="3" t="str">
        <f>IFERROR(VLOOKUP(B76,Orgs!$A$4:$G$1500,2,FALSE),"none")</f>
        <v>none</v>
      </c>
      <c r="AB76" s="3" t="str">
        <f>IFERROR(VLOOKUP(C76,UnitsDepts!$A$4:$G$1500,2,FALSE),"none")</f>
        <v>none</v>
      </c>
      <c r="AC76" s="3" t="str">
        <f>IFERROR(VLOOKUP(D76,ProjAppSvc!$A$4:$G$1500,2,FALSE),"none")</f>
        <v>none</v>
      </c>
    </row>
    <row r="77" spans="1:29" x14ac:dyDescent="0.45">
      <c r="A77" s="14" t="s">
        <v>23</v>
      </c>
      <c r="B77" s="14"/>
      <c r="C77" s="14"/>
      <c r="D77" s="14"/>
      <c r="H77" s="8"/>
      <c r="I77" s="3"/>
      <c r="J77" s="3" t="str">
        <f t="shared" ref="J77:J140" si="4">IFERROR(Z77, "")</f>
        <v/>
      </c>
      <c r="K77" s="3" t="str">
        <f>IF(ISNUMBER(SEARCH("-",V77)),IFERROR(IF($H$2="Lower", LOWER(ComputeResourceName(Z77,#REF!,#REF!,G77,N77,O77,P77,Q77,S77,T77,V77,A77)), UPPER(ComputeResourceName(Z77,#REF!,#REF!,G77,N77,O77,P77,Q77,S77,T77,V77,A77))),""),SUBSTITUTE(IFERROR(IF($H$2="Lower", LOWER(ComputeResourceName(#REF!,#REF!,#REF!,G77,N77,O77,P77,Q77,S77,T77,V77,A77)), UPPER(ComputeResourceName(#REF!,#REF!,#REF!,G77,N77,O77,P77,Q77,S77,T77,V77,A77))),""), "-",""))</f>
        <v/>
      </c>
      <c r="L77" s="3" t="str">
        <f xml:space="preserve"> IF(K77="","",  IFERROR(VLOOKUP(I77,Resources!$B$1:$H$1503,5,FALSE)-LEN(K77),0))</f>
        <v/>
      </c>
      <c r="M77" s="3" t="str">
        <f>IF(K77="","",IFERROR(matches(K77,VLOOKUP(I77,Resources!$A$2:$AA$1503,16,FALSE)),FALSE))</f>
        <v/>
      </c>
      <c r="N77" s="3" t="e">
        <f>VLOOKUP(E77,Enviroments!$A$3:$D$59,1,FALSE)</f>
        <v>#N/A</v>
      </c>
      <c r="O77" s="3" t="e">
        <f>VLOOKUP(E77,Enviroments!$A$3:$D$59,2,FALSE)</f>
        <v>#N/A</v>
      </c>
      <c r="P77" s="3" t="e">
        <f>VLOOKUP(E77,Enviroments!$A$3:$D$59,3,FALSE)</f>
        <v>#N/A</v>
      </c>
      <c r="Q77" s="3" t="e">
        <f>VLOOKUP(E77,Enviroments!$A$3:$D$59,4,FALSE)</f>
        <v>#N/A</v>
      </c>
      <c r="R77" s="3" t="e">
        <f>VLOOKUP(H77,AzureRegions!$A$4:$B$1493,1,FALSE)</f>
        <v>#N/A</v>
      </c>
      <c r="S77" s="3" t="e">
        <f>VLOOKUP(H77,AzureRegions!$A$4:$B$1493,2,FALSE)</f>
        <v>#N/A</v>
      </c>
      <c r="T77" s="3" t="e">
        <f>VLOOKUP(H77,AzureRegions!$A$4:$C$1493,3,FALSE)</f>
        <v>#N/A</v>
      </c>
      <c r="U77" s="3" t="e">
        <f>VLOOKUP(I77,Resources!$A$2:$AA$1503,2,FALSE)</f>
        <v>#N/A</v>
      </c>
      <c r="V77" s="3" t="e">
        <f>VLOOKUP(I77,Resources!$A$2:$H$1503,6,FALSE)</f>
        <v>#N/A</v>
      </c>
      <c r="W77" s="3" t="str">
        <f>VLOOKUP($H$2,Casing!$A$4:$A$60,1,FALSE)</f>
        <v>Lower</v>
      </c>
      <c r="X77" s="14" t="str">
        <f t="shared" si="3"/>
        <v>001</v>
      </c>
      <c r="Y77" s="3" t="str">
        <f>IFERROR(VLOOKUP(F77,Func!$A$4:$G$1500,2,FALSE),"none")</f>
        <v>none</v>
      </c>
      <c r="Z77" s="3" t="e">
        <f>VLOOKUP(I77,Resources!$A$2:$AA$1503,18,FALSE)</f>
        <v>#N/A</v>
      </c>
      <c r="AA77" s="3" t="str">
        <f>IFERROR(VLOOKUP(B77,Orgs!$A$4:$G$1500,2,FALSE),"none")</f>
        <v>none</v>
      </c>
      <c r="AB77" s="3" t="str">
        <f>IFERROR(VLOOKUP(C77,UnitsDepts!$A$4:$G$1500,2,FALSE),"none")</f>
        <v>none</v>
      </c>
      <c r="AC77" s="3" t="str">
        <f>IFERROR(VLOOKUP(D77,ProjAppSvc!$A$4:$G$1500,2,FALSE),"none")</f>
        <v>none</v>
      </c>
    </row>
    <row r="78" spans="1:29" x14ac:dyDescent="0.45">
      <c r="A78" s="14" t="s">
        <v>23</v>
      </c>
      <c r="B78" s="14"/>
      <c r="C78" s="14"/>
      <c r="D78" s="14"/>
      <c r="H78" s="8"/>
      <c r="I78" s="3"/>
      <c r="J78" s="3" t="str">
        <f t="shared" si="4"/>
        <v/>
      </c>
      <c r="K78" s="3" t="str">
        <f>IF(ISNUMBER(SEARCH("-",V78)),IFERROR(IF($H$2="Lower", LOWER(ComputeResourceName(Z78,#REF!,#REF!,G78,N78,O78,P78,Q78,S78,T78,V78,A78)), UPPER(ComputeResourceName(Z78,#REF!,#REF!,G78,N78,O78,P78,Q78,S78,T78,V78,A78))),""),SUBSTITUTE(IFERROR(IF($H$2="Lower", LOWER(ComputeResourceName(#REF!,#REF!,#REF!,G78,N78,O78,P78,Q78,S78,T78,V78,A78)), UPPER(ComputeResourceName(#REF!,#REF!,#REF!,G78,N78,O78,P78,Q78,S78,T78,V78,A78))),""), "-",""))</f>
        <v/>
      </c>
      <c r="L78" s="3" t="str">
        <f xml:space="preserve"> IF(K78="","",  IFERROR(VLOOKUP(I78,Resources!$B$1:$H$1503,5,FALSE)-LEN(K78),0))</f>
        <v/>
      </c>
      <c r="M78" s="3" t="str">
        <f>IF(K78="","",IFERROR(matches(K78,VLOOKUP(I78,Resources!$A$2:$AA$1503,16,FALSE)),FALSE))</f>
        <v/>
      </c>
      <c r="N78" s="3" t="e">
        <f>VLOOKUP(E78,Enviroments!$A$3:$D$59,1,FALSE)</f>
        <v>#N/A</v>
      </c>
      <c r="O78" s="3" t="e">
        <f>VLOOKUP(E78,Enviroments!$A$3:$D$59,2,FALSE)</f>
        <v>#N/A</v>
      </c>
      <c r="P78" s="3" t="e">
        <f>VLOOKUP(E78,Enviroments!$A$3:$D$59,3,FALSE)</f>
        <v>#N/A</v>
      </c>
      <c r="Q78" s="3" t="e">
        <f>VLOOKUP(E78,Enviroments!$A$3:$D$59,4,FALSE)</f>
        <v>#N/A</v>
      </c>
      <c r="R78" s="3" t="e">
        <f>VLOOKUP(H78,AzureRegions!$A$4:$B$1493,1,FALSE)</f>
        <v>#N/A</v>
      </c>
      <c r="S78" s="3" t="e">
        <f>VLOOKUP(H78,AzureRegions!$A$4:$B$1493,2,FALSE)</f>
        <v>#N/A</v>
      </c>
      <c r="T78" s="3" t="e">
        <f>VLOOKUP(H78,AzureRegions!$A$4:$C$1493,3,FALSE)</f>
        <v>#N/A</v>
      </c>
      <c r="U78" s="3" t="e">
        <f>VLOOKUP(I78,Resources!$A$2:$AA$1503,2,FALSE)</f>
        <v>#N/A</v>
      </c>
      <c r="V78" s="3" t="e">
        <f>VLOOKUP(I78,Resources!$A$2:$H$1503,6,FALSE)</f>
        <v>#N/A</v>
      </c>
      <c r="W78" s="3" t="str">
        <f>VLOOKUP($H$2,Casing!$A$4:$A$60,1,FALSE)</f>
        <v>Lower</v>
      </c>
      <c r="X78" s="14" t="str">
        <f t="shared" si="3"/>
        <v>001</v>
      </c>
      <c r="Y78" s="3" t="str">
        <f>IFERROR(VLOOKUP(F78,Func!$A$4:$G$1500,2,FALSE),"none")</f>
        <v>none</v>
      </c>
      <c r="Z78" s="3" t="e">
        <f>VLOOKUP(I78,Resources!$A$2:$AA$1503,18,FALSE)</f>
        <v>#N/A</v>
      </c>
      <c r="AA78" s="3" t="str">
        <f>IFERROR(VLOOKUP(B78,Orgs!$A$4:$G$1500,2,FALSE),"none")</f>
        <v>none</v>
      </c>
      <c r="AB78" s="3" t="str">
        <f>IFERROR(VLOOKUP(C78,UnitsDepts!$A$4:$G$1500,2,FALSE),"none")</f>
        <v>none</v>
      </c>
      <c r="AC78" s="3" t="str">
        <f>IFERROR(VLOOKUP(D78,ProjAppSvc!$A$4:$G$1500,2,FALSE),"none")</f>
        <v>none</v>
      </c>
    </row>
    <row r="79" spans="1:29" x14ac:dyDescent="0.45">
      <c r="A79" s="14" t="s">
        <v>23</v>
      </c>
      <c r="B79" s="14"/>
      <c r="C79" s="14"/>
      <c r="D79" s="14"/>
      <c r="H79" s="8"/>
      <c r="I79" s="3"/>
      <c r="J79" s="3" t="str">
        <f t="shared" si="4"/>
        <v/>
      </c>
      <c r="K79" s="3" t="str">
        <f>IF(ISNUMBER(SEARCH("-",V79)),IFERROR(IF($H$2="Lower", LOWER(ComputeResourceName(Z79,#REF!,#REF!,G79,N79,O79,P79,Q79,S79,T79,V79,A79)), UPPER(ComputeResourceName(Z79,#REF!,#REF!,G79,N79,O79,P79,Q79,S79,T79,V79,A79))),""),SUBSTITUTE(IFERROR(IF($H$2="Lower", LOWER(ComputeResourceName(#REF!,#REF!,#REF!,G79,N79,O79,P79,Q79,S79,T79,V79,A79)), UPPER(ComputeResourceName(#REF!,#REF!,#REF!,G79,N79,O79,P79,Q79,S79,T79,V79,A79))),""), "-",""))</f>
        <v/>
      </c>
      <c r="L79" s="3" t="str">
        <f xml:space="preserve"> IF(K79="","",  IFERROR(VLOOKUP(I79,Resources!$B$1:$H$1503,5,FALSE)-LEN(K79),0))</f>
        <v/>
      </c>
      <c r="M79" s="3" t="str">
        <f>IF(K79="","",IFERROR(matches(K79,VLOOKUP(I79,Resources!$A$2:$AA$1503,16,FALSE)),FALSE))</f>
        <v/>
      </c>
      <c r="N79" s="3" t="e">
        <f>VLOOKUP(E79,Enviroments!$A$3:$D$59,1,FALSE)</f>
        <v>#N/A</v>
      </c>
      <c r="O79" s="3" t="e">
        <f>VLOOKUP(E79,Enviroments!$A$3:$D$59,2,FALSE)</f>
        <v>#N/A</v>
      </c>
      <c r="P79" s="3" t="e">
        <f>VLOOKUP(E79,Enviroments!$A$3:$D$59,3,FALSE)</f>
        <v>#N/A</v>
      </c>
      <c r="Q79" s="3" t="e">
        <f>VLOOKUP(E79,Enviroments!$A$3:$D$59,4,FALSE)</f>
        <v>#N/A</v>
      </c>
      <c r="R79" s="3" t="e">
        <f>VLOOKUP(H79,AzureRegions!$A$4:$B$1493,1,FALSE)</f>
        <v>#N/A</v>
      </c>
      <c r="S79" s="3" t="e">
        <f>VLOOKUP(H79,AzureRegions!$A$4:$B$1493,2,FALSE)</f>
        <v>#N/A</v>
      </c>
      <c r="T79" s="3" t="e">
        <f>VLOOKUP(H79,AzureRegions!$A$4:$C$1493,3,FALSE)</f>
        <v>#N/A</v>
      </c>
      <c r="U79" s="3" t="e">
        <f>VLOOKUP(I79,Resources!$A$2:$AA$1503,2,FALSE)</f>
        <v>#N/A</v>
      </c>
      <c r="V79" s="3" t="e">
        <f>VLOOKUP(I79,Resources!$A$2:$H$1503,6,FALSE)</f>
        <v>#N/A</v>
      </c>
      <c r="W79" s="3" t="str">
        <f>VLOOKUP($H$2,Casing!$A$4:$A$60,1,FALSE)</f>
        <v>Lower</v>
      </c>
      <c r="X79" s="14" t="str">
        <f t="shared" si="3"/>
        <v>001</v>
      </c>
      <c r="Y79" s="3" t="str">
        <f>IFERROR(VLOOKUP(F79,Func!$A$4:$G$1500,2,FALSE),"none")</f>
        <v>none</v>
      </c>
      <c r="Z79" s="3" t="e">
        <f>VLOOKUP(I79,Resources!$A$2:$AA$1503,18,FALSE)</f>
        <v>#N/A</v>
      </c>
      <c r="AA79" s="3" t="str">
        <f>IFERROR(VLOOKUP(B79,Orgs!$A$4:$G$1500,2,FALSE),"none")</f>
        <v>none</v>
      </c>
      <c r="AB79" s="3" t="str">
        <f>IFERROR(VLOOKUP(C79,UnitsDepts!$A$4:$G$1500,2,FALSE),"none")</f>
        <v>none</v>
      </c>
      <c r="AC79" s="3" t="str">
        <f>IFERROR(VLOOKUP(D79,ProjAppSvc!$A$4:$G$1500,2,FALSE),"none")</f>
        <v>none</v>
      </c>
    </row>
    <row r="80" spans="1:29" x14ac:dyDescent="0.45">
      <c r="A80" s="14" t="s">
        <v>23</v>
      </c>
      <c r="B80" s="14"/>
      <c r="C80" s="14"/>
      <c r="D80" s="14"/>
      <c r="H80" s="8"/>
      <c r="I80" s="3"/>
      <c r="J80" s="3" t="str">
        <f t="shared" si="4"/>
        <v/>
      </c>
      <c r="K80" s="3" t="str">
        <f>IF(ISNUMBER(SEARCH("-",V80)),IFERROR(IF($H$2="Lower", LOWER(ComputeResourceName(Z80,#REF!,#REF!,G80,N80,O80,P80,Q80,S80,T80,V80,A80)), UPPER(ComputeResourceName(Z80,#REF!,#REF!,G80,N80,O80,P80,Q80,S80,T80,V80,A80))),""),SUBSTITUTE(IFERROR(IF($H$2="Lower", LOWER(ComputeResourceName(#REF!,#REF!,#REF!,G80,N80,O80,P80,Q80,S80,T80,V80,A80)), UPPER(ComputeResourceName(#REF!,#REF!,#REF!,G80,N80,O80,P80,Q80,S80,T80,V80,A80))),""), "-",""))</f>
        <v/>
      </c>
      <c r="L80" s="3" t="str">
        <f xml:space="preserve"> IF(K80="","",  IFERROR(VLOOKUP(I80,Resources!$B$1:$H$1503,5,FALSE)-LEN(K80),0))</f>
        <v/>
      </c>
      <c r="M80" s="3" t="str">
        <f>IF(K80="","",IFERROR(matches(K80,VLOOKUP(I80,Resources!$A$2:$AA$1503,16,FALSE)),FALSE))</f>
        <v/>
      </c>
      <c r="N80" s="3" t="e">
        <f>VLOOKUP(E80,Enviroments!$A$3:$D$59,1,FALSE)</f>
        <v>#N/A</v>
      </c>
      <c r="O80" s="3" t="e">
        <f>VLOOKUP(E80,Enviroments!$A$3:$D$59,2,FALSE)</f>
        <v>#N/A</v>
      </c>
      <c r="P80" s="3" t="e">
        <f>VLOOKUP(E80,Enviroments!$A$3:$D$59,3,FALSE)</f>
        <v>#N/A</v>
      </c>
      <c r="Q80" s="3" t="e">
        <f>VLOOKUP(E80,Enviroments!$A$3:$D$59,4,FALSE)</f>
        <v>#N/A</v>
      </c>
      <c r="R80" s="3" t="e">
        <f>VLOOKUP(H80,AzureRegions!$A$4:$B$1493,1,FALSE)</f>
        <v>#N/A</v>
      </c>
      <c r="S80" s="3" t="e">
        <f>VLOOKUP(H80,AzureRegions!$A$4:$B$1493,2,FALSE)</f>
        <v>#N/A</v>
      </c>
      <c r="T80" s="3" t="e">
        <f>VLOOKUP(H80,AzureRegions!$A$4:$C$1493,3,FALSE)</f>
        <v>#N/A</v>
      </c>
      <c r="U80" s="3" t="e">
        <f>VLOOKUP(I80,Resources!$A$2:$AA$1503,2,FALSE)</f>
        <v>#N/A</v>
      </c>
      <c r="V80" s="3" t="e">
        <f>VLOOKUP(I80,Resources!$A$2:$H$1503,6,FALSE)</f>
        <v>#N/A</v>
      </c>
      <c r="W80" s="3" t="str">
        <f>VLOOKUP($H$2,Casing!$A$4:$A$60,1,FALSE)</f>
        <v>Lower</v>
      </c>
      <c r="X80" s="14" t="str">
        <f t="shared" si="3"/>
        <v>001</v>
      </c>
      <c r="Y80" s="3" t="str">
        <f>IFERROR(VLOOKUP(F80,Func!$A$4:$G$1500,2,FALSE),"none")</f>
        <v>none</v>
      </c>
      <c r="Z80" s="3" t="e">
        <f>VLOOKUP(I80,Resources!$A$2:$AA$1503,18,FALSE)</f>
        <v>#N/A</v>
      </c>
      <c r="AA80" s="3" t="str">
        <f>IFERROR(VLOOKUP(B80,Orgs!$A$4:$G$1500,2,FALSE),"none")</f>
        <v>none</v>
      </c>
      <c r="AB80" s="3" t="str">
        <f>IFERROR(VLOOKUP(C80,UnitsDepts!$A$4:$G$1500,2,FALSE),"none")</f>
        <v>none</v>
      </c>
      <c r="AC80" s="3" t="str">
        <f>IFERROR(VLOOKUP(D80,ProjAppSvc!$A$4:$G$1500,2,FALSE),"none")</f>
        <v>none</v>
      </c>
    </row>
    <row r="81" spans="1:29" x14ac:dyDescent="0.45">
      <c r="A81" s="14" t="s">
        <v>23</v>
      </c>
      <c r="B81" s="14"/>
      <c r="C81" s="14"/>
      <c r="D81" s="14"/>
      <c r="H81" s="8"/>
      <c r="I81" s="3"/>
      <c r="J81" s="3" t="str">
        <f t="shared" si="4"/>
        <v/>
      </c>
      <c r="K81" s="3" t="str">
        <f>IF(ISNUMBER(SEARCH("-",V81)),IFERROR(IF($H$2="Lower", LOWER(ComputeResourceName(Z81,#REF!,#REF!,G81,N81,O81,P81,Q81,S81,T81,V81,A81)), UPPER(ComputeResourceName(Z81,#REF!,#REF!,G81,N81,O81,P81,Q81,S81,T81,V81,A81))),""),SUBSTITUTE(IFERROR(IF($H$2="Lower", LOWER(ComputeResourceName(#REF!,#REF!,#REF!,G81,N81,O81,P81,Q81,S81,T81,V81,A81)), UPPER(ComputeResourceName(#REF!,#REF!,#REF!,G81,N81,O81,P81,Q81,S81,T81,V81,A81))),""), "-",""))</f>
        <v/>
      </c>
      <c r="L81" s="3" t="str">
        <f xml:space="preserve"> IF(K81="","",  IFERROR(VLOOKUP(I81,Resources!$B$1:$H$1503,5,FALSE)-LEN(K81),0))</f>
        <v/>
      </c>
      <c r="M81" s="3" t="str">
        <f>IF(K81="","",IFERROR(matches(K81,VLOOKUP(I81,Resources!$A$2:$AA$1503,16,FALSE)),FALSE))</f>
        <v/>
      </c>
      <c r="N81" s="3" t="e">
        <f>VLOOKUP(E81,Enviroments!$A$3:$D$59,1,FALSE)</f>
        <v>#N/A</v>
      </c>
      <c r="O81" s="3" t="e">
        <f>VLOOKUP(E81,Enviroments!$A$3:$D$59,2,FALSE)</f>
        <v>#N/A</v>
      </c>
      <c r="P81" s="3" t="e">
        <f>VLOOKUP(E81,Enviroments!$A$3:$D$59,3,FALSE)</f>
        <v>#N/A</v>
      </c>
      <c r="Q81" s="3" t="e">
        <f>VLOOKUP(E81,Enviroments!$A$3:$D$59,4,FALSE)</f>
        <v>#N/A</v>
      </c>
      <c r="R81" s="3" t="e">
        <f>VLOOKUP(H81,AzureRegions!$A$4:$B$1493,1,FALSE)</f>
        <v>#N/A</v>
      </c>
      <c r="S81" s="3" t="e">
        <f>VLOOKUP(H81,AzureRegions!$A$4:$B$1493,2,FALSE)</f>
        <v>#N/A</v>
      </c>
      <c r="T81" s="3" t="e">
        <f>VLOOKUP(H81,AzureRegions!$A$4:$C$1493,3,FALSE)</f>
        <v>#N/A</v>
      </c>
      <c r="U81" s="3" t="e">
        <f>VLOOKUP(I81,Resources!$A$2:$AA$1503,2,FALSE)</f>
        <v>#N/A</v>
      </c>
      <c r="V81" s="3" t="e">
        <f>VLOOKUP(I81,Resources!$A$2:$H$1503,6,FALSE)</f>
        <v>#N/A</v>
      </c>
      <c r="W81" s="3" t="str">
        <f>VLOOKUP($H$2,Casing!$A$4:$A$60,1,FALSE)</f>
        <v>Lower</v>
      </c>
      <c r="X81" s="14" t="str">
        <f t="shared" si="3"/>
        <v>001</v>
      </c>
      <c r="Y81" s="3" t="str">
        <f>IFERROR(VLOOKUP(F81,Func!$A$4:$G$1500,2,FALSE),"none")</f>
        <v>none</v>
      </c>
      <c r="Z81" s="3" t="e">
        <f>VLOOKUP(I81,Resources!$A$2:$AA$1503,18,FALSE)</f>
        <v>#N/A</v>
      </c>
      <c r="AA81" s="3" t="str">
        <f>IFERROR(VLOOKUP(B81,Orgs!$A$4:$G$1500,2,FALSE),"none")</f>
        <v>none</v>
      </c>
      <c r="AB81" s="3" t="str">
        <f>IFERROR(VLOOKUP(C81,UnitsDepts!$A$4:$G$1500,2,FALSE),"none")</f>
        <v>none</v>
      </c>
      <c r="AC81" s="3" t="str">
        <f>IFERROR(VLOOKUP(D81,ProjAppSvc!$A$4:$G$1500,2,FALSE),"none")</f>
        <v>none</v>
      </c>
    </row>
    <row r="82" spans="1:29" x14ac:dyDescent="0.45">
      <c r="A82" s="14" t="s">
        <v>23</v>
      </c>
      <c r="B82" s="14"/>
      <c r="C82" s="14"/>
      <c r="D82" s="14"/>
      <c r="H82" s="8"/>
      <c r="I82" s="3"/>
      <c r="J82" s="3" t="str">
        <f t="shared" si="4"/>
        <v/>
      </c>
      <c r="K82" s="3" t="str">
        <f>IF(ISNUMBER(SEARCH("-",V82)),IFERROR(IF($H$2="Lower", LOWER(ComputeResourceName(Z82,#REF!,#REF!,G82,N82,O82,P82,Q82,S82,T82,V82,A82)), UPPER(ComputeResourceName(Z82,#REF!,#REF!,G82,N82,O82,P82,Q82,S82,T82,V82,A82))),""),SUBSTITUTE(IFERROR(IF($H$2="Lower", LOWER(ComputeResourceName(#REF!,#REF!,#REF!,G82,N82,O82,P82,Q82,S82,T82,V82,A82)), UPPER(ComputeResourceName(#REF!,#REF!,#REF!,G82,N82,O82,P82,Q82,S82,T82,V82,A82))),""), "-",""))</f>
        <v/>
      </c>
      <c r="L82" s="3" t="str">
        <f xml:space="preserve"> IF(K82="","",  IFERROR(VLOOKUP(I82,Resources!$B$1:$H$1503,5,FALSE)-LEN(K82),0))</f>
        <v/>
      </c>
      <c r="M82" s="3" t="str">
        <f>IF(K82="","",IFERROR(matches(K82,VLOOKUP(I82,Resources!$A$2:$AA$1503,16,FALSE)),FALSE))</f>
        <v/>
      </c>
      <c r="N82" s="3" t="e">
        <f>VLOOKUP(E82,Enviroments!$A$3:$D$59,1,FALSE)</f>
        <v>#N/A</v>
      </c>
      <c r="O82" s="3" t="e">
        <f>VLOOKUP(E82,Enviroments!$A$3:$D$59,2,FALSE)</f>
        <v>#N/A</v>
      </c>
      <c r="P82" s="3" t="e">
        <f>VLOOKUP(E82,Enviroments!$A$3:$D$59,3,FALSE)</f>
        <v>#N/A</v>
      </c>
      <c r="Q82" s="3" t="e">
        <f>VLOOKUP(E82,Enviroments!$A$3:$D$59,4,FALSE)</f>
        <v>#N/A</v>
      </c>
      <c r="R82" s="3" t="e">
        <f>VLOOKUP(H82,AzureRegions!$A$4:$B$1493,1,FALSE)</f>
        <v>#N/A</v>
      </c>
      <c r="S82" s="3" t="e">
        <f>VLOOKUP(H82,AzureRegions!$A$4:$B$1493,2,FALSE)</f>
        <v>#N/A</v>
      </c>
      <c r="T82" s="3" t="e">
        <f>VLOOKUP(H82,AzureRegions!$A$4:$C$1493,3,FALSE)</f>
        <v>#N/A</v>
      </c>
      <c r="U82" s="3" t="e">
        <f>VLOOKUP(I82,Resources!$A$2:$AA$1503,2,FALSE)</f>
        <v>#N/A</v>
      </c>
      <c r="V82" s="3" t="e">
        <f>VLOOKUP(I82,Resources!$A$2:$H$1503,6,FALSE)</f>
        <v>#N/A</v>
      </c>
      <c r="W82" s="3" t="str">
        <f>VLOOKUP($H$2,Casing!$A$4:$A$60,1,FALSE)</f>
        <v>Lower</v>
      </c>
      <c r="X82" s="14" t="str">
        <f t="shared" si="3"/>
        <v>001</v>
      </c>
      <c r="Y82" s="3" t="str">
        <f>IFERROR(VLOOKUP(F82,Func!$A$4:$G$1500,2,FALSE),"none")</f>
        <v>none</v>
      </c>
      <c r="Z82" s="3" t="e">
        <f>VLOOKUP(I82,Resources!$A$2:$AA$1503,18,FALSE)</f>
        <v>#N/A</v>
      </c>
      <c r="AA82" s="3" t="str">
        <f>IFERROR(VLOOKUP(B82,Orgs!$A$4:$G$1500,2,FALSE),"none")</f>
        <v>none</v>
      </c>
      <c r="AB82" s="3" t="str">
        <f>IFERROR(VLOOKUP(C82,UnitsDepts!$A$4:$G$1500,2,FALSE),"none")</f>
        <v>none</v>
      </c>
      <c r="AC82" s="3" t="str">
        <f>IFERROR(VLOOKUP(D82,ProjAppSvc!$A$4:$G$1500,2,FALSE),"none")</f>
        <v>none</v>
      </c>
    </row>
    <row r="83" spans="1:29" x14ac:dyDescent="0.45">
      <c r="A83" s="14" t="s">
        <v>23</v>
      </c>
      <c r="B83" s="14"/>
      <c r="C83" s="14"/>
      <c r="D83" s="14"/>
      <c r="H83" s="8"/>
      <c r="I83" s="3"/>
      <c r="J83" s="3" t="str">
        <f t="shared" si="4"/>
        <v/>
      </c>
      <c r="K83" s="3" t="str">
        <f>IF(ISNUMBER(SEARCH("-",V83)),IFERROR(IF($H$2="Lower", LOWER(ComputeResourceName(Z83,#REF!,#REF!,G83,N83,O83,P83,Q83,S83,T83,V83,A83)), UPPER(ComputeResourceName(Z83,#REF!,#REF!,G83,N83,O83,P83,Q83,S83,T83,V83,A83))),""),SUBSTITUTE(IFERROR(IF($H$2="Lower", LOWER(ComputeResourceName(#REF!,#REF!,#REF!,G83,N83,O83,P83,Q83,S83,T83,V83,A83)), UPPER(ComputeResourceName(#REF!,#REF!,#REF!,G83,N83,O83,P83,Q83,S83,T83,V83,A83))),""), "-",""))</f>
        <v/>
      </c>
      <c r="L83" s="3" t="str">
        <f xml:space="preserve"> IF(K83="","",  IFERROR(VLOOKUP(I83,Resources!$B$1:$H$1503,5,FALSE)-LEN(K83),0))</f>
        <v/>
      </c>
      <c r="M83" s="3" t="str">
        <f>IF(K83="","",IFERROR(matches(K83,VLOOKUP(I83,Resources!$A$2:$AA$1503,16,FALSE)),FALSE))</f>
        <v/>
      </c>
      <c r="N83" s="3" t="e">
        <f>VLOOKUP(E83,Enviroments!$A$3:$D$59,1,FALSE)</f>
        <v>#N/A</v>
      </c>
      <c r="O83" s="3" t="e">
        <f>VLOOKUP(E83,Enviroments!$A$3:$D$59,2,FALSE)</f>
        <v>#N/A</v>
      </c>
      <c r="P83" s="3" t="e">
        <f>VLOOKUP(E83,Enviroments!$A$3:$D$59,3,FALSE)</f>
        <v>#N/A</v>
      </c>
      <c r="Q83" s="3" t="e">
        <f>VLOOKUP(E83,Enviroments!$A$3:$D$59,4,FALSE)</f>
        <v>#N/A</v>
      </c>
      <c r="R83" s="3" t="e">
        <f>VLOOKUP(H83,AzureRegions!$A$4:$B$1493,1,FALSE)</f>
        <v>#N/A</v>
      </c>
      <c r="S83" s="3" t="e">
        <f>VLOOKUP(H83,AzureRegions!$A$4:$B$1493,2,FALSE)</f>
        <v>#N/A</v>
      </c>
      <c r="T83" s="3" t="e">
        <f>VLOOKUP(H83,AzureRegions!$A$4:$C$1493,3,FALSE)</f>
        <v>#N/A</v>
      </c>
      <c r="U83" s="3" t="e">
        <f>VLOOKUP(I83,Resources!$A$2:$AA$1503,2,FALSE)</f>
        <v>#N/A</v>
      </c>
      <c r="V83" s="3" t="e">
        <f>VLOOKUP(I83,Resources!$A$2:$H$1503,6,FALSE)</f>
        <v>#N/A</v>
      </c>
      <c r="W83" s="3" t="str">
        <f>VLOOKUP($H$2,Casing!$A$4:$A$60,1,FALSE)</f>
        <v>Lower</v>
      </c>
      <c r="X83" s="14" t="str">
        <f t="shared" si="3"/>
        <v>001</v>
      </c>
      <c r="Y83" s="3" t="str">
        <f>IFERROR(VLOOKUP(F83,Func!$A$4:$G$1500,2,FALSE),"none")</f>
        <v>none</v>
      </c>
      <c r="Z83" s="3" t="e">
        <f>VLOOKUP(I83,Resources!$A$2:$AA$1503,18,FALSE)</f>
        <v>#N/A</v>
      </c>
      <c r="AA83" s="3" t="str">
        <f>IFERROR(VLOOKUP(B83,Orgs!$A$4:$G$1500,2,FALSE),"none")</f>
        <v>none</v>
      </c>
      <c r="AB83" s="3" t="str">
        <f>IFERROR(VLOOKUP(C83,UnitsDepts!$A$4:$G$1500,2,FALSE),"none")</f>
        <v>none</v>
      </c>
      <c r="AC83" s="3" t="str">
        <f>IFERROR(VLOOKUP(D83,ProjAppSvc!$A$4:$G$1500,2,FALSE),"none")</f>
        <v>none</v>
      </c>
    </row>
    <row r="84" spans="1:29" x14ac:dyDescent="0.45">
      <c r="A84" s="14" t="s">
        <v>23</v>
      </c>
      <c r="B84" s="14"/>
      <c r="C84" s="14"/>
      <c r="D84" s="14"/>
      <c r="H84" s="8"/>
      <c r="I84" s="3"/>
      <c r="J84" s="3" t="str">
        <f t="shared" si="4"/>
        <v/>
      </c>
      <c r="K84" s="3" t="str">
        <f>IF(ISNUMBER(SEARCH("-",V84)),IFERROR(IF($H$2="Lower", LOWER(ComputeResourceName(Z84,#REF!,#REF!,G84,N84,O84,P84,Q84,S84,T84,V84,A84)), UPPER(ComputeResourceName(Z84,#REF!,#REF!,G84,N84,O84,P84,Q84,S84,T84,V84,A84))),""),SUBSTITUTE(IFERROR(IF($H$2="Lower", LOWER(ComputeResourceName(#REF!,#REF!,#REF!,G84,N84,O84,P84,Q84,S84,T84,V84,A84)), UPPER(ComputeResourceName(#REF!,#REF!,#REF!,G84,N84,O84,P84,Q84,S84,T84,V84,A84))),""), "-",""))</f>
        <v/>
      </c>
      <c r="L84" s="3" t="str">
        <f xml:space="preserve"> IF(K84="","",  IFERROR(VLOOKUP(I84,Resources!$B$1:$H$1503,5,FALSE)-LEN(K84),0))</f>
        <v/>
      </c>
      <c r="M84" s="3" t="str">
        <f>IF(K84="","",IFERROR(matches(K84,VLOOKUP(I84,Resources!$A$2:$AA$1503,16,FALSE)),FALSE))</f>
        <v/>
      </c>
      <c r="N84" s="3" t="e">
        <f>VLOOKUP(E84,Enviroments!$A$3:$D$59,1,FALSE)</f>
        <v>#N/A</v>
      </c>
      <c r="O84" s="3" t="e">
        <f>VLOOKUP(E84,Enviroments!$A$3:$D$59,2,FALSE)</f>
        <v>#N/A</v>
      </c>
      <c r="P84" s="3" t="e">
        <f>VLOOKUP(E84,Enviroments!$A$3:$D$59,3,FALSE)</f>
        <v>#N/A</v>
      </c>
      <c r="Q84" s="3" t="e">
        <f>VLOOKUP(E84,Enviroments!$A$3:$D$59,4,FALSE)</f>
        <v>#N/A</v>
      </c>
      <c r="R84" s="3" t="e">
        <f>VLOOKUP(H84,AzureRegions!$A$4:$B$1493,1,FALSE)</f>
        <v>#N/A</v>
      </c>
      <c r="S84" s="3" t="e">
        <f>VLOOKUP(H84,AzureRegions!$A$4:$B$1493,2,FALSE)</f>
        <v>#N/A</v>
      </c>
      <c r="T84" s="3" t="e">
        <f>VLOOKUP(H84,AzureRegions!$A$4:$C$1493,3,FALSE)</f>
        <v>#N/A</v>
      </c>
      <c r="U84" s="3" t="e">
        <f>VLOOKUP(I84,Resources!$A$2:$AA$1503,2,FALSE)</f>
        <v>#N/A</v>
      </c>
      <c r="V84" s="3" t="e">
        <f>VLOOKUP(I84,Resources!$A$2:$H$1503,6,FALSE)</f>
        <v>#N/A</v>
      </c>
      <c r="W84" s="3" t="str">
        <f>VLOOKUP($H$2,Casing!$A$4:$A$60,1,FALSE)</f>
        <v>Lower</v>
      </c>
      <c r="X84" s="14" t="str">
        <f t="shared" si="3"/>
        <v>001</v>
      </c>
      <c r="Y84" s="3" t="str">
        <f>IFERROR(VLOOKUP(F84,Func!$A$4:$G$1500,2,FALSE),"none")</f>
        <v>none</v>
      </c>
      <c r="Z84" s="3" t="e">
        <f>VLOOKUP(I84,Resources!$A$2:$AA$1503,18,FALSE)</f>
        <v>#N/A</v>
      </c>
      <c r="AA84" s="3" t="str">
        <f>IFERROR(VLOOKUP(B84,Orgs!$A$4:$G$1500,2,FALSE),"none")</f>
        <v>none</v>
      </c>
      <c r="AB84" s="3" t="str">
        <f>IFERROR(VLOOKUP(C84,UnitsDepts!$A$4:$G$1500,2,FALSE),"none")</f>
        <v>none</v>
      </c>
      <c r="AC84" s="3" t="str">
        <f>IFERROR(VLOOKUP(D84,ProjAppSvc!$A$4:$G$1500,2,FALSE),"none")</f>
        <v>none</v>
      </c>
    </row>
    <row r="85" spans="1:29" x14ac:dyDescent="0.45">
      <c r="A85" s="14" t="s">
        <v>23</v>
      </c>
      <c r="B85" s="14"/>
      <c r="C85" s="14"/>
      <c r="D85" s="14"/>
      <c r="H85" s="8"/>
      <c r="I85" s="3"/>
      <c r="J85" s="3" t="str">
        <f t="shared" si="4"/>
        <v/>
      </c>
      <c r="K85" s="3" t="str">
        <f>IF(ISNUMBER(SEARCH("-",V85)),IFERROR(IF($H$2="Lower", LOWER(ComputeResourceName(Z85,#REF!,#REF!,G85,N85,O85,P85,Q85,S85,T85,V85,A85)), UPPER(ComputeResourceName(Z85,#REF!,#REF!,G85,N85,O85,P85,Q85,S85,T85,V85,A85))),""),SUBSTITUTE(IFERROR(IF($H$2="Lower", LOWER(ComputeResourceName(#REF!,#REF!,#REF!,G85,N85,O85,P85,Q85,S85,T85,V85,A85)), UPPER(ComputeResourceName(#REF!,#REF!,#REF!,G85,N85,O85,P85,Q85,S85,T85,V85,A85))),""), "-",""))</f>
        <v/>
      </c>
      <c r="L85" s="3" t="str">
        <f xml:space="preserve"> IF(K85="","",  IFERROR(VLOOKUP(I85,Resources!$B$1:$H$1503,5,FALSE)-LEN(K85),0))</f>
        <v/>
      </c>
      <c r="M85" s="3" t="str">
        <f>IF(K85="","",IFERROR(matches(K85,VLOOKUP(I85,Resources!$A$2:$AA$1503,16,FALSE)),FALSE))</f>
        <v/>
      </c>
      <c r="N85" s="3" t="e">
        <f>VLOOKUP(E85,Enviroments!$A$3:$D$59,1,FALSE)</f>
        <v>#N/A</v>
      </c>
      <c r="O85" s="3" t="e">
        <f>VLOOKUP(E85,Enviroments!$A$3:$D$59,2,FALSE)</f>
        <v>#N/A</v>
      </c>
      <c r="P85" s="3" t="e">
        <f>VLOOKUP(E85,Enviroments!$A$3:$D$59,3,FALSE)</f>
        <v>#N/A</v>
      </c>
      <c r="Q85" s="3" t="e">
        <f>VLOOKUP(E85,Enviroments!$A$3:$D$59,4,FALSE)</f>
        <v>#N/A</v>
      </c>
      <c r="R85" s="3" t="e">
        <f>VLOOKUP(H85,AzureRegions!$A$4:$B$1493,1,FALSE)</f>
        <v>#N/A</v>
      </c>
      <c r="S85" s="3" t="e">
        <f>VLOOKUP(H85,AzureRegions!$A$4:$B$1493,2,FALSE)</f>
        <v>#N/A</v>
      </c>
      <c r="T85" s="3" t="e">
        <f>VLOOKUP(H85,AzureRegions!$A$4:$C$1493,3,FALSE)</f>
        <v>#N/A</v>
      </c>
      <c r="U85" s="3" t="e">
        <f>VLOOKUP(I85,Resources!$A$2:$AA$1503,2,FALSE)</f>
        <v>#N/A</v>
      </c>
      <c r="V85" s="3" t="e">
        <f>VLOOKUP(I85,Resources!$A$2:$H$1503,6,FALSE)</f>
        <v>#N/A</v>
      </c>
      <c r="W85" s="3" t="str">
        <f>VLOOKUP($H$2,Casing!$A$4:$A$60,1,FALSE)</f>
        <v>Lower</v>
      </c>
      <c r="X85" s="14" t="str">
        <f t="shared" si="3"/>
        <v>001</v>
      </c>
      <c r="Y85" s="3" t="str">
        <f>IFERROR(VLOOKUP(F85,Func!$A$4:$G$1500,2,FALSE),"none")</f>
        <v>none</v>
      </c>
      <c r="Z85" s="3" t="e">
        <f>VLOOKUP(I85,Resources!$A$2:$AA$1503,18,FALSE)</f>
        <v>#N/A</v>
      </c>
      <c r="AA85" s="3" t="str">
        <f>IFERROR(VLOOKUP(B85,Orgs!$A$4:$G$1500,2,FALSE),"none")</f>
        <v>none</v>
      </c>
      <c r="AB85" s="3" t="str">
        <f>IFERROR(VLOOKUP(C85,UnitsDepts!$A$4:$G$1500,2,FALSE),"none")</f>
        <v>none</v>
      </c>
      <c r="AC85" s="3" t="str">
        <f>IFERROR(VLOOKUP(D85,ProjAppSvc!$A$4:$G$1500,2,FALSE),"none")</f>
        <v>none</v>
      </c>
    </row>
    <row r="86" spans="1:29" x14ac:dyDescent="0.45">
      <c r="A86" s="14" t="s">
        <v>23</v>
      </c>
      <c r="B86" s="14"/>
      <c r="C86" s="14"/>
      <c r="D86" s="14"/>
      <c r="H86" s="8"/>
      <c r="I86" s="3"/>
      <c r="J86" s="3" t="str">
        <f t="shared" si="4"/>
        <v/>
      </c>
      <c r="K86" s="3" t="str">
        <f>IF(ISNUMBER(SEARCH("-",V86)),IFERROR(IF($H$2="Lower", LOWER(ComputeResourceName(Z86,#REF!,#REF!,G86,N86,O86,P86,Q86,S86,T86,V86,A86)), UPPER(ComputeResourceName(Z86,#REF!,#REF!,G86,N86,O86,P86,Q86,S86,T86,V86,A86))),""),SUBSTITUTE(IFERROR(IF($H$2="Lower", LOWER(ComputeResourceName(#REF!,#REF!,#REF!,G86,N86,O86,P86,Q86,S86,T86,V86,A86)), UPPER(ComputeResourceName(#REF!,#REF!,#REF!,G86,N86,O86,P86,Q86,S86,T86,V86,A86))),""), "-",""))</f>
        <v/>
      </c>
      <c r="L86" s="3" t="str">
        <f xml:space="preserve"> IF(K86="","",  IFERROR(VLOOKUP(I86,Resources!$B$1:$H$1503,5,FALSE)-LEN(K86),0))</f>
        <v/>
      </c>
      <c r="M86" s="3" t="str">
        <f>IF(K86="","",IFERROR(matches(K86,VLOOKUP(I86,Resources!$A$2:$AA$1503,16,FALSE)),FALSE))</f>
        <v/>
      </c>
      <c r="N86" s="3" t="e">
        <f>VLOOKUP(E86,Enviroments!$A$3:$D$59,1,FALSE)</f>
        <v>#N/A</v>
      </c>
      <c r="O86" s="3" t="e">
        <f>VLOOKUP(E86,Enviroments!$A$3:$D$59,2,FALSE)</f>
        <v>#N/A</v>
      </c>
      <c r="P86" s="3" t="e">
        <f>VLOOKUP(E86,Enviroments!$A$3:$D$59,3,FALSE)</f>
        <v>#N/A</v>
      </c>
      <c r="Q86" s="3" t="e">
        <f>VLOOKUP(E86,Enviroments!$A$3:$D$59,4,FALSE)</f>
        <v>#N/A</v>
      </c>
      <c r="R86" s="3" t="e">
        <f>VLOOKUP(H86,AzureRegions!$A$4:$B$1493,1,FALSE)</f>
        <v>#N/A</v>
      </c>
      <c r="S86" s="3" t="e">
        <f>VLOOKUP(H86,AzureRegions!$A$4:$B$1493,2,FALSE)</f>
        <v>#N/A</v>
      </c>
      <c r="T86" s="3" t="e">
        <f>VLOOKUP(H86,AzureRegions!$A$4:$C$1493,3,FALSE)</f>
        <v>#N/A</v>
      </c>
      <c r="U86" s="3" t="e">
        <f>VLOOKUP(I86,Resources!$A$2:$AA$1503,2,FALSE)</f>
        <v>#N/A</v>
      </c>
      <c r="V86" s="3" t="e">
        <f>VLOOKUP(I86,Resources!$A$2:$H$1503,6,FALSE)</f>
        <v>#N/A</v>
      </c>
      <c r="W86" s="3" t="str">
        <f>VLOOKUP($H$2,Casing!$A$4:$A$60,1,FALSE)</f>
        <v>Lower</v>
      </c>
      <c r="X86" s="14" t="str">
        <f t="shared" si="3"/>
        <v>001</v>
      </c>
      <c r="Y86" s="3" t="str">
        <f>IFERROR(VLOOKUP(F86,Func!$A$4:$G$1500,2,FALSE),"none")</f>
        <v>none</v>
      </c>
      <c r="Z86" s="3" t="e">
        <f>VLOOKUP(I86,Resources!$A$2:$AA$1503,18,FALSE)</f>
        <v>#N/A</v>
      </c>
      <c r="AA86" s="3" t="str">
        <f>IFERROR(VLOOKUP(B86,Orgs!$A$4:$G$1500,2,FALSE),"none")</f>
        <v>none</v>
      </c>
      <c r="AB86" s="3" t="str">
        <f>IFERROR(VLOOKUP(C86,UnitsDepts!$A$4:$G$1500,2,FALSE),"none")</f>
        <v>none</v>
      </c>
      <c r="AC86" s="3" t="str">
        <f>IFERROR(VLOOKUP(D86,ProjAppSvc!$A$4:$G$1500,2,FALSE),"none")</f>
        <v>none</v>
      </c>
    </row>
    <row r="87" spans="1:29" x14ac:dyDescent="0.45">
      <c r="A87" s="14" t="s">
        <v>23</v>
      </c>
      <c r="B87" s="14"/>
      <c r="C87" s="14"/>
      <c r="D87" s="14"/>
      <c r="H87" s="8"/>
      <c r="I87" s="3"/>
      <c r="J87" s="3" t="str">
        <f t="shared" si="4"/>
        <v/>
      </c>
      <c r="K87" s="3" t="str">
        <f>IF(ISNUMBER(SEARCH("-",V87)),IFERROR(IF($H$2="Lower", LOWER(ComputeResourceName(Z87,#REF!,#REF!,G87,N87,O87,P87,Q87,S87,T87,V87,A87)), UPPER(ComputeResourceName(Z87,#REF!,#REF!,G87,N87,O87,P87,Q87,S87,T87,V87,A87))),""),SUBSTITUTE(IFERROR(IF($H$2="Lower", LOWER(ComputeResourceName(#REF!,#REF!,#REF!,G87,N87,O87,P87,Q87,S87,T87,V87,A87)), UPPER(ComputeResourceName(#REF!,#REF!,#REF!,G87,N87,O87,P87,Q87,S87,T87,V87,A87))),""), "-",""))</f>
        <v/>
      </c>
      <c r="L87" s="3" t="str">
        <f xml:space="preserve"> IF(K87="","",  IFERROR(VLOOKUP(I87,Resources!$B$1:$H$1503,5,FALSE)-LEN(K87),0))</f>
        <v/>
      </c>
      <c r="M87" s="3" t="str">
        <f>IF(K87="","",IFERROR(matches(K87,VLOOKUP(I87,Resources!$A$2:$AA$1503,16,FALSE)),FALSE))</f>
        <v/>
      </c>
      <c r="N87" s="3" t="e">
        <f>VLOOKUP(E87,Enviroments!$A$3:$D$59,1,FALSE)</f>
        <v>#N/A</v>
      </c>
      <c r="O87" s="3" t="e">
        <f>VLOOKUP(E87,Enviroments!$A$3:$D$59,2,FALSE)</f>
        <v>#N/A</v>
      </c>
      <c r="P87" s="3" t="e">
        <f>VLOOKUP(E87,Enviroments!$A$3:$D$59,3,FALSE)</f>
        <v>#N/A</v>
      </c>
      <c r="Q87" s="3" t="e">
        <f>VLOOKUP(E87,Enviroments!$A$3:$D$59,4,FALSE)</f>
        <v>#N/A</v>
      </c>
      <c r="R87" s="3" t="e">
        <f>VLOOKUP(H87,AzureRegions!$A$4:$B$1493,1,FALSE)</f>
        <v>#N/A</v>
      </c>
      <c r="S87" s="3" t="e">
        <f>VLOOKUP(H87,AzureRegions!$A$4:$B$1493,2,FALSE)</f>
        <v>#N/A</v>
      </c>
      <c r="T87" s="3" t="e">
        <f>VLOOKUP(H87,AzureRegions!$A$4:$C$1493,3,FALSE)</f>
        <v>#N/A</v>
      </c>
      <c r="U87" s="3" t="e">
        <f>VLOOKUP(I87,Resources!$A$2:$AA$1503,2,FALSE)</f>
        <v>#N/A</v>
      </c>
      <c r="V87" s="3" t="e">
        <f>VLOOKUP(I87,Resources!$A$2:$H$1503,6,FALSE)</f>
        <v>#N/A</v>
      </c>
      <c r="W87" s="3" t="str">
        <f>VLOOKUP($H$2,Casing!$A$4:$A$60,1,FALSE)</f>
        <v>Lower</v>
      </c>
      <c r="X87" s="14" t="str">
        <f t="shared" si="3"/>
        <v>001</v>
      </c>
      <c r="Y87" s="3" t="str">
        <f>IFERROR(VLOOKUP(F87,Func!$A$4:$G$1500,2,FALSE),"none")</f>
        <v>none</v>
      </c>
      <c r="Z87" s="3" t="e">
        <f>VLOOKUP(I87,Resources!$A$2:$AA$1503,18,FALSE)</f>
        <v>#N/A</v>
      </c>
      <c r="AA87" s="3" t="str">
        <f>IFERROR(VLOOKUP(B87,Orgs!$A$4:$G$1500,2,FALSE),"none")</f>
        <v>none</v>
      </c>
      <c r="AB87" s="3" t="str">
        <f>IFERROR(VLOOKUP(C87,UnitsDepts!$A$4:$G$1500,2,FALSE),"none")</f>
        <v>none</v>
      </c>
      <c r="AC87" s="3" t="str">
        <f>IFERROR(VLOOKUP(D87,ProjAppSvc!$A$4:$G$1500,2,FALSE),"none")</f>
        <v>none</v>
      </c>
    </row>
    <row r="88" spans="1:29" x14ac:dyDescent="0.45">
      <c r="A88" s="14" t="s">
        <v>23</v>
      </c>
      <c r="B88" s="14"/>
      <c r="C88" s="14"/>
      <c r="D88" s="14"/>
      <c r="H88" s="8"/>
      <c r="I88" s="3"/>
      <c r="J88" s="3" t="str">
        <f t="shared" si="4"/>
        <v/>
      </c>
      <c r="K88" s="3" t="str">
        <f>IF(ISNUMBER(SEARCH("-",V88)),IFERROR(IF($H$2="Lower", LOWER(ComputeResourceName(Z88,#REF!,#REF!,G88,N88,O88,P88,Q88,S88,T88,V88,A88)), UPPER(ComputeResourceName(Z88,#REF!,#REF!,G88,N88,O88,P88,Q88,S88,T88,V88,A88))),""),SUBSTITUTE(IFERROR(IF($H$2="Lower", LOWER(ComputeResourceName(#REF!,#REF!,#REF!,G88,N88,O88,P88,Q88,S88,T88,V88,A88)), UPPER(ComputeResourceName(#REF!,#REF!,#REF!,G88,N88,O88,P88,Q88,S88,T88,V88,A88))),""), "-",""))</f>
        <v/>
      </c>
      <c r="L88" s="3" t="str">
        <f xml:space="preserve"> IF(K88="","",  IFERROR(VLOOKUP(I88,Resources!$B$1:$H$1503,5,FALSE)-LEN(K88),0))</f>
        <v/>
      </c>
      <c r="M88" s="3" t="str">
        <f>IF(K88="","",IFERROR(matches(K88,VLOOKUP(I88,Resources!$A$2:$AA$1503,16,FALSE)),FALSE))</f>
        <v/>
      </c>
      <c r="N88" s="3" t="e">
        <f>VLOOKUP(E88,Enviroments!$A$3:$D$59,1,FALSE)</f>
        <v>#N/A</v>
      </c>
      <c r="O88" s="3" t="e">
        <f>VLOOKUP(E88,Enviroments!$A$3:$D$59,2,FALSE)</f>
        <v>#N/A</v>
      </c>
      <c r="P88" s="3" t="e">
        <f>VLOOKUP(E88,Enviroments!$A$3:$D$59,3,FALSE)</f>
        <v>#N/A</v>
      </c>
      <c r="Q88" s="3" t="e">
        <f>VLOOKUP(E88,Enviroments!$A$3:$D$59,4,FALSE)</f>
        <v>#N/A</v>
      </c>
      <c r="R88" s="3" t="e">
        <f>VLOOKUP(H88,AzureRegions!$A$4:$B$1493,1,FALSE)</f>
        <v>#N/A</v>
      </c>
      <c r="S88" s="3" t="e">
        <f>VLOOKUP(H88,AzureRegions!$A$4:$B$1493,2,FALSE)</f>
        <v>#N/A</v>
      </c>
      <c r="T88" s="3" t="e">
        <f>VLOOKUP(H88,AzureRegions!$A$4:$C$1493,3,FALSE)</f>
        <v>#N/A</v>
      </c>
      <c r="U88" s="3" t="e">
        <f>VLOOKUP(I88,Resources!$A$2:$AA$1503,2,FALSE)</f>
        <v>#N/A</v>
      </c>
      <c r="V88" s="3" t="e">
        <f>VLOOKUP(I88,Resources!$A$2:$H$1503,6,FALSE)</f>
        <v>#N/A</v>
      </c>
      <c r="W88" s="3" t="str">
        <f>VLOOKUP($H$2,Casing!$A$4:$A$60,1,FALSE)</f>
        <v>Lower</v>
      </c>
      <c r="X88" s="14" t="str">
        <f t="shared" si="3"/>
        <v>001</v>
      </c>
      <c r="Y88" s="3" t="str">
        <f>IFERROR(VLOOKUP(F88,Func!$A$4:$G$1500,2,FALSE),"none")</f>
        <v>none</v>
      </c>
      <c r="Z88" s="3" t="e">
        <f>VLOOKUP(I88,Resources!$A$2:$AA$1503,18,FALSE)</f>
        <v>#N/A</v>
      </c>
      <c r="AA88" s="3" t="str">
        <f>IFERROR(VLOOKUP(B88,Orgs!$A$4:$G$1500,2,FALSE),"none")</f>
        <v>none</v>
      </c>
      <c r="AB88" s="3" t="str">
        <f>IFERROR(VLOOKUP(C88,UnitsDepts!$A$4:$G$1500,2,FALSE),"none")</f>
        <v>none</v>
      </c>
      <c r="AC88" s="3" t="str">
        <f>IFERROR(VLOOKUP(D88,ProjAppSvc!$A$4:$G$1500,2,FALSE),"none")</f>
        <v>none</v>
      </c>
    </row>
    <row r="89" spans="1:29" x14ac:dyDescent="0.45">
      <c r="A89" s="14" t="s">
        <v>23</v>
      </c>
      <c r="B89" s="14"/>
      <c r="C89" s="14"/>
      <c r="D89" s="14"/>
      <c r="H89" s="8"/>
      <c r="I89" s="3"/>
      <c r="J89" s="3" t="str">
        <f t="shared" si="4"/>
        <v/>
      </c>
      <c r="K89" s="3" t="str">
        <f>IF(ISNUMBER(SEARCH("-",V89)),IFERROR(IF($H$2="Lower", LOWER(ComputeResourceName(Z89,#REF!,#REF!,G89,N89,O89,P89,Q89,S89,T89,V89,A89)), UPPER(ComputeResourceName(Z89,#REF!,#REF!,G89,N89,O89,P89,Q89,S89,T89,V89,A89))),""),SUBSTITUTE(IFERROR(IF($H$2="Lower", LOWER(ComputeResourceName(#REF!,#REF!,#REF!,G89,N89,O89,P89,Q89,S89,T89,V89,A89)), UPPER(ComputeResourceName(#REF!,#REF!,#REF!,G89,N89,O89,P89,Q89,S89,T89,V89,A89))),""), "-",""))</f>
        <v/>
      </c>
      <c r="L89" s="3" t="str">
        <f xml:space="preserve"> IF(K89="","",  IFERROR(VLOOKUP(I89,Resources!$B$1:$H$1503,5,FALSE)-LEN(K89),0))</f>
        <v/>
      </c>
      <c r="M89" s="3" t="str">
        <f>IF(K89="","",IFERROR(matches(K89,VLOOKUP(I89,Resources!$A$2:$AA$1503,16,FALSE)),FALSE))</f>
        <v/>
      </c>
      <c r="N89" s="3" t="e">
        <f>VLOOKUP(E89,Enviroments!$A$3:$D$59,1,FALSE)</f>
        <v>#N/A</v>
      </c>
      <c r="O89" s="3" t="e">
        <f>VLOOKUP(E89,Enviroments!$A$3:$D$59,2,FALSE)</f>
        <v>#N/A</v>
      </c>
      <c r="P89" s="3" t="e">
        <f>VLOOKUP(E89,Enviroments!$A$3:$D$59,3,FALSE)</f>
        <v>#N/A</v>
      </c>
      <c r="Q89" s="3" t="e">
        <f>VLOOKUP(E89,Enviroments!$A$3:$D$59,4,FALSE)</f>
        <v>#N/A</v>
      </c>
      <c r="R89" s="3" t="e">
        <f>VLOOKUP(H89,AzureRegions!$A$4:$B$1493,1,FALSE)</f>
        <v>#N/A</v>
      </c>
      <c r="S89" s="3" t="e">
        <f>VLOOKUP(H89,AzureRegions!$A$4:$B$1493,2,FALSE)</f>
        <v>#N/A</v>
      </c>
      <c r="T89" s="3" t="e">
        <f>VLOOKUP(H89,AzureRegions!$A$4:$C$1493,3,FALSE)</f>
        <v>#N/A</v>
      </c>
      <c r="U89" s="3" t="e">
        <f>VLOOKUP(I89,Resources!$A$2:$AA$1503,2,FALSE)</f>
        <v>#N/A</v>
      </c>
      <c r="V89" s="3" t="e">
        <f>VLOOKUP(I89,Resources!$A$2:$H$1503,6,FALSE)</f>
        <v>#N/A</v>
      </c>
      <c r="W89" s="3" t="str">
        <f>VLOOKUP($H$2,Casing!$A$4:$A$60,1,FALSE)</f>
        <v>Lower</v>
      </c>
      <c r="X89" s="14" t="str">
        <f t="shared" si="3"/>
        <v>001</v>
      </c>
      <c r="Y89" s="3" t="str">
        <f>IFERROR(VLOOKUP(F89,Func!$A$4:$G$1500,2,FALSE),"none")</f>
        <v>none</v>
      </c>
      <c r="Z89" s="3" t="e">
        <f>VLOOKUP(I89,Resources!$A$2:$AA$1503,18,FALSE)</f>
        <v>#N/A</v>
      </c>
      <c r="AA89" s="3" t="str">
        <f>IFERROR(VLOOKUP(B89,Orgs!$A$4:$G$1500,2,FALSE),"none")</f>
        <v>none</v>
      </c>
      <c r="AB89" s="3" t="str">
        <f>IFERROR(VLOOKUP(C89,UnitsDepts!$A$4:$G$1500,2,FALSE),"none")</f>
        <v>none</v>
      </c>
      <c r="AC89" s="3" t="str">
        <f>IFERROR(VLOOKUP(D89,ProjAppSvc!$A$4:$G$1500,2,FALSE),"none")</f>
        <v>none</v>
      </c>
    </row>
    <row r="90" spans="1:29" x14ac:dyDescent="0.45">
      <c r="A90" s="14" t="s">
        <v>23</v>
      </c>
      <c r="B90" s="14"/>
      <c r="C90" s="14"/>
      <c r="D90" s="14"/>
      <c r="H90" s="8"/>
      <c r="I90" s="3"/>
      <c r="J90" s="3" t="str">
        <f t="shared" si="4"/>
        <v/>
      </c>
      <c r="K90" s="3" t="str">
        <f>IF(ISNUMBER(SEARCH("-",V90)),IFERROR(IF($H$2="Lower", LOWER(ComputeResourceName(Z90,#REF!,#REF!,G90,N90,O90,P90,Q90,S90,T90,V90,A90)), UPPER(ComputeResourceName(Z90,#REF!,#REF!,G90,N90,O90,P90,Q90,S90,T90,V90,A90))),""),SUBSTITUTE(IFERROR(IF($H$2="Lower", LOWER(ComputeResourceName(#REF!,#REF!,#REF!,G90,N90,O90,P90,Q90,S90,T90,V90,A90)), UPPER(ComputeResourceName(#REF!,#REF!,#REF!,G90,N90,O90,P90,Q90,S90,T90,V90,A90))),""), "-",""))</f>
        <v/>
      </c>
      <c r="L90" s="3" t="str">
        <f xml:space="preserve"> IF(K90="","",  IFERROR(VLOOKUP(I90,Resources!$B$1:$H$1503,5,FALSE)-LEN(K90),0))</f>
        <v/>
      </c>
      <c r="M90" s="3" t="str">
        <f>IF(K90="","",IFERROR(matches(K90,VLOOKUP(I90,Resources!$A$2:$AA$1503,16,FALSE)),FALSE))</f>
        <v/>
      </c>
      <c r="N90" s="3" t="e">
        <f>VLOOKUP(E90,Enviroments!$A$3:$D$59,1,FALSE)</f>
        <v>#N/A</v>
      </c>
      <c r="O90" s="3" t="e">
        <f>VLOOKUP(E90,Enviroments!$A$3:$D$59,2,FALSE)</f>
        <v>#N/A</v>
      </c>
      <c r="P90" s="3" t="e">
        <f>VLOOKUP(E90,Enviroments!$A$3:$D$59,3,FALSE)</f>
        <v>#N/A</v>
      </c>
      <c r="Q90" s="3" t="e">
        <f>VLOOKUP(E90,Enviroments!$A$3:$D$59,4,FALSE)</f>
        <v>#N/A</v>
      </c>
      <c r="R90" s="3" t="e">
        <f>VLOOKUP(H90,AzureRegions!$A$4:$B$1493,1,FALSE)</f>
        <v>#N/A</v>
      </c>
      <c r="S90" s="3" t="e">
        <f>VLOOKUP(H90,AzureRegions!$A$4:$B$1493,2,FALSE)</f>
        <v>#N/A</v>
      </c>
      <c r="T90" s="3" t="e">
        <f>VLOOKUP(H90,AzureRegions!$A$4:$C$1493,3,FALSE)</f>
        <v>#N/A</v>
      </c>
      <c r="U90" s="3" t="e">
        <f>VLOOKUP(I90,Resources!$A$2:$AA$1503,2,FALSE)</f>
        <v>#N/A</v>
      </c>
      <c r="V90" s="3" t="e">
        <f>VLOOKUP(I90,Resources!$A$2:$H$1503,6,FALSE)</f>
        <v>#N/A</v>
      </c>
      <c r="W90" s="3" t="str">
        <f>VLOOKUP($H$2,Casing!$A$4:$A$60,1,FALSE)</f>
        <v>Lower</v>
      </c>
      <c r="X90" s="14" t="str">
        <f t="shared" si="3"/>
        <v>001</v>
      </c>
      <c r="Y90" s="3" t="str">
        <f>IFERROR(VLOOKUP(F90,Func!$A$4:$G$1500,2,FALSE),"none")</f>
        <v>none</v>
      </c>
      <c r="Z90" s="3" t="e">
        <f>VLOOKUP(I90,Resources!$A$2:$AA$1503,18,FALSE)</f>
        <v>#N/A</v>
      </c>
      <c r="AA90" s="3" t="str">
        <f>IFERROR(VLOOKUP(B90,Orgs!$A$4:$G$1500,2,FALSE),"none")</f>
        <v>none</v>
      </c>
      <c r="AB90" s="3" t="str">
        <f>IFERROR(VLOOKUP(C90,UnitsDepts!$A$4:$G$1500,2,FALSE),"none")</f>
        <v>none</v>
      </c>
      <c r="AC90" s="3" t="str">
        <f>IFERROR(VLOOKUP(D90,ProjAppSvc!$A$4:$G$1500,2,FALSE),"none")</f>
        <v>none</v>
      </c>
    </row>
    <row r="91" spans="1:29" x14ac:dyDescent="0.45">
      <c r="A91" s="14" t="s">
        <v>23</v>
      </c>
      <c r="B91" s="14"/>
      <c r="C91" s="14"/>
      <c r="D91" s="14"/>
      <c r="H91" s="8"/>
      <c r="I91" s="3"/>
      <c r="J91" s="3" t="str">
        <f t="shared" si="4"/>
        <v/>
      </c>
      <c r="K91" s="3" t="str">
        <f>IF(ISNUMBER(SEARCH("-",V91)),IFERROR(IF($H$2="Lower", LOWER(ComputeResourceName(Z91,#REF!,#REF!,G91,N91,O91,P91,Q91,S91,T91,V91,A91)), UPPER(ComputeResourceName(Z91,#REF!,#REF!,G91,N91,O91,P91,Q91,S91,T91,V91,A91))),""),SUBSTITUTE(IFERROR(IF($H$2="Lower", LOWER(ComputeResourceName(#REF!,#REF!,#REF!,G91,N91,O91,P91,Q91,S91,T91,V91,A91)), UPPER(ComputeResourceName(#REF!,#REF!,#REF!,G91,N91,O91,P91,Q91,S91,T91,V91,A91))),""), "-",""))</f>
        <v/>
      </c>
      <c r="L91" s="3" t="str">
        <f xml:space="preserve"> IF(K91="","",  IFERROR(VLOOKUP(I91,Resources!$B$1:$H$1503,5,FALSE)-LEN(K91),0))</f>
        <v/>
      </c>
      <c r="M91" s="3" t="str">
        <f>IF(K91="","",IFERROR(matches(K91,VLOOKUP(I91,Resources!$A$2:$AA$1503,16,FALSE)),FALSE))</f>
        <v/>
      </c>
      <c r="N91" s="3" t="e">
        <f>VLOOKUP(E91,Enviroments!$A$3:$D$59,1,FALSE)</f>
        <v>#N/A</v>
      </c>
      <c r="O91" s="3" t="e">
        <f>VLOOKUP(E91,Enviroments!$A$3:$D$59,2,FALSE)</f>
        <v>#N/A</v>
      </c>
      <c r="P91" s="3" t="e">
        <f>VLOOKUP(E91,Enviroments!$A$3:$D$59,3,FALSE)</f>
        <v>#N/A</v>
      </c>
      <c r="Q91" s="3" t="e">
        <f>VLOOKUP(E91,Enviroments!$A$3:$D$59,4,FALSE)</f>
        <v>#N/A</v>
      </c>
      <c r="R91" s="3" t="e">
        <f>VLOOKUP(H91,AzureRegions!$A$4:$B$1493,1,FALSE)</f>
        <v>#N/A</v>
      </c>
      <c r="S91" s="3" t="e">
        <f>VLOOKUP(H91,AzureRegions!$A$4:$B$1493,2,FALSE)</f>
        <v>#N/A</v>
      </c>
      <c r="T91" s="3" t="e">
        <f>VLOOKUP(H91,AzureRegions!$A$4:$C$1493,3,FALSE)</f>
        <v>#N/A</v>
      </c>
      <c r="U91" s="3" t="e">
        <f>VLOOKUP(I91,Resources!$A$2:$AA$1503,2,FALSE)</f>
        <v>#N/A</v>
      </c>
      <c r="V91" s="3" t="e">
        <f>VLOOKUP(I91,Resources!$A$2:$H$1503,6,FALSE)</f>
        <v>#N/A</v>
      </c>
      <c r="W91" s="3" t="str">
        <f>VLOOKUP($H$2,Casing!$A$4:$A$60,1,FALSE)</f>
        <v>Lower</v>
      </c>
      <c r="X91" s="14" t="str">
        <f t="shared" si="3"/>
        <v>001</v>
      </c>
      <c r="Y91" s="3" t="str">
        <f>IFERROR(VLOOKUP(F91,Func!$A$4:$G$1500,2,FALSE),"none")</f>
        <v>none</v>
      </c>
      <c r="Z91" s="3" t="e">
        <f>VLOOKUP(I91,Resources!$A$2:$AA$1503,18,FALSE)</f>
        <v>#N/A</v>
      </c>
      <c r="AA91" s="3" t="str">
        <f>IFERROR(VLOOKUP(B91,Orgs!$A$4:$G$1500,2,FALSE),"none")</f>
        <v>none</v>
      </c>
      <c r="AB91" s="3" t="str">
        <f>IFERROR(VLOOKUP(C91,UnitsDepts!$A$4:$G$1500,2,FALSE),"none")</f>
        <v>none</v>
      </c>
      <c r="AC91" s="3" t="str">
        <f>IFERROR(VLOOKUP(D91,ProjAppSvc!$A$4:$G$1500,2,FALSE),"none")</f>
        <v>none</v>
      </c>
    </row>
    <row r="92" spans="1:29" x14ac:dyDescent="0.45">
      <c r="A92" s="14" t="s">
        <v>23</v>
      </c>
      <c r="B92" s="14"/>
      <c r="C92" s="14"/>
      <c r="D92" s="14"/>
      <c r="H92" s="8"/>
      <c r="I92" s="3"/>
      <c r="J92" s="3" t="str">
        <f t="shared" si="4"/>
        <v/>
      </c>
      <c r="K92" s="3" t="str">
        <f>IF(ISNUMBER(SEARCH("-",V92)),IFERROR(IF($H$2="Lower", LOWER(ComputeResourceName(Z92,#REF!,#REF!,G92,N92,O92,P92,Q92,S92,T92,V92,A92)), UPPER(ComputeResourceName(Z92,#REF!,#REF!,G92,N92,O92,P92,Q92,S92,T92,V92,A92))),""),SUBSTITUTE(IFERROR(IF($H$2="Lower", LOWER(ComputeResourceName(#REF!,#REF!,#REF!,G92,N92,O92,P92,Q92,S92,T92,V92,A92)), UPPER(ComputeResourceName(#REF!,#REF!,#REF!,G92,N92,O92,P92,Q92,S92,T92,V92,A92))),""), "-",""))</f>
        <v/>
      </c>
      <c r="L92" s="3" t="str">
        <f xml:space="preserve"> IF(K92="","",  IFERROR(VLOOKUP(I92,Resources!$B$1:$H$1503,5,FALSE)-LEN(K92),0))</f>
        <v/>
      </c>
      <c r="M92" s="3" t="str">
        <f>IF(K92="","",IFERROR(matches(K92,VLOOKUP(I92,Resources!$A$2:$AA$1503,16,FALSE)),FALSE))</f>
        <v/>
      </c>
      <c r="N92" s="3" t="e">
        <f>VLOOKUP(E92,Enviroments!$A$3:$D$59,1,FALSE)</f>
        <v>#N/A</v>
      </c>
      <c r="O92" s="3" t="e">
        <f>VLOOKUP(E92,Enviroments!$A$3:$D$59,2,FALSE)</f>
        <v>#N/A</v>
      </c>
      <c r="P92" s="3" t="e">
        <f>VLOOKUP(E92,Enviroments!$A$3:$D$59,3,FALSE)</f>
        <v>#N/A</v>
      </c>
      <c r="Q92" s="3" t="e">
        <f>VLOOKUP(E92,Enviroments!$A$3:$D$59,4,FALSE)</f>
        <v>#N/A</v>
      </c>
      <c r="R92" s="3" t="e">
        <f>VLOOKUP(H92,AzureRegions!$A$4:$B$1493,1,FALSE)</f>
        <v>#N/A</v>
      </c>
      <c r="S92" s="3" t="e">
        <f>VLOOKUP(H92,AzureRegions!$A$4:$B$1493,2,FALSE)</f>
        <v>#N/A</v>
      </c>
      <c r="T92" s="3" t="e">
        <f>VLOOKUP(H92,AzureRegions!$A$4:$C$1493,3,FALSE)</f>
        <v>#N/A</v>
      </c>
      <c r="U92" s="3" t="e">
        <f>VLOOKUP(I92,Resources!$A$2:$AA$1503,2,FALSE)</f>
        <v>#N/A</v>
      </c>
      <c r="V92" s="3" t="e">
        <f>VLOOKUP(I92,Resources!$A$2:$H$1503,6,FALSE)</f>
        <v>#N/A</v>
      </c>
      <c r="W92" s="3" t="str">
        <f>VLOOKUP($H$2,Casing!$A$4:$A$60,1,FALSE)</f>
        <v>Lower</v>
      </c>
      <c r="X92" s="14" t="str">
        <f t="shared" si="3"/>
        <v>001</v>
      </c>
      <c r="Y92" s="3" t="str">
        <f>IFERROR(VLOOKUP(F92,Func!$A$4:$G$1500,2,FALSE),"none")</f>
        <v>none</v>
      </c>
      <c r="Z92" s="3" t="e">
        <f>VLOOKUP(I92,Resources!$A$2:$AA$1503,18,FALSE)</f>
        <v>#N/A</v>
      </c>
      <c r="AA92" s="3" t="str">
        <f>IFERROR(VLOOKUP(B92,Orgs!$A$4:$G$1500,2,FALSE),"none")</f>
        <v>none</v>
      </c>
      <c r="AB92" s="3" t="str">
        <f>IFERROR(VLOOKUP(C92,UnitsDepts!$A$4:$G$1500,2,FALSE),"none")</f>
        <v>none</v>
      </c>
      <c r="AC92" s="3" t="str">
        <f>IFERROR(VLOOKUP(D92,ProjAppSvc!$A$4:$G$1500,2,FALSE),"none")</f>
        <v>none</v>
      </c>
    </row>
    <row r="93" spans="1:29" x14ac:dyDescent="0.45">
      <c r="A93" s="14" t="s">
        <v>23</v>
      </c>
      <c r="B93" s="14"/>
      <c r="C93" s="14"/>
      <c r="D93" s="14"/>
      <c r="H93" s="8"/>
      <c r="I93" s="3"/>
      <c r="J93" s="3" t="str">
        <f t="shared" si="4"/>
        <v/>
      </c>
      <c r="K93" s="3" t="str">
        <f>IF(ISNUMBER(SEARCH("-",V93)),IFERROR(IF($H$2="Lower", LOWER(ComputeResourceName(Z93,#REF!,#REF!,G93,N93,O93,P93,Q93,S93,T93,V93,A93)), UPPER(ComputeResourceName(Z93,#REF!,#REF!,G93,N93,O93,P93,Q93,S93,T93,V93,A93))),""),SUBSTITUTE(IFERROR(IF($H$2="Lower", LOWER(ComputeResourceName(#REF!,#REF!,#REF!,G93,N93,O93,P93,Q93,S93,T93,V93,A93)), UPPER(ComputeResourceName(#REF!,#REF!,#REF!,G93,N93,O93,P93,Q93,S93,T93,V93,A93))),""), "-",""))</f>
        <v/>
      </c>
      <c r="L93" s="3" t="str">
        <f xml:space="preserve"> IF(K93="","",  IFERROR(VLOOKUP(I93,Resources!$B$1:$H$1503,5,FALSE)-LEN(K93),0))</f>
        <v/>
      </c>
      <c r="M93" s="3" t="str">
        <f>IF(K93="","",IFERROR(matches(K93,VLOOKUP(I93,Resources!$A$2:$AA$1503,16,FALSE)),FALSE))</f>
        <v/>
      </c>
      <c r="N93" s="3" t="e">
        <f>VLOOKUP(E93,Enviroments!$A$3:$D$59,1,FALSE)</f>
        <v>#N/A</v>
      </c>
      <c r="O93" s="3" t="e">
        <f>VLOOKUP(E93,Enviroments!$A$3:$D$59,2,FALSE)</f>
        <v>#N/A</v>
      </c>
      <c r="P93" s="3" t="e">
        <f>VLOOKUP(E93,Enviroments!$A$3:$D$59,3,FALSE)</f>
        <v>#N/A</v>
      </c>
      <c r="Q93" s="3" t="e">
        <f>VLOOKUP(E93,Enviroments!$A$3:$D$59,4,FALSE)</f>
        <v>#N/A</v>
      </c>
      <c r="R93" s="3" t="e">
        <f>VLOOKUP(H93,AzureRegions!$A$4:$B$1493,1,FALSE)</f>
        <v>#N/A</v>
      </c>
      <c r="S93" s="3" t="e">
        <f>VLOOKUP(H93,AzureRegions!$A$4:$B$1493,2,FALSE)</f>
        <v>#N/A</v>
      </c>
      <c r="T93" s="3" t="e">
        <f>VLOOKUP(H93,AzureRegions!$A$4:$C$1493,3,FALSE)</f>
        <v>#N/A</v>
      </c>
      <c r="U93" s="3" t="e">
        <f>VLOOKUP(I93,Resources!$A$2:$AA$1503,2,FALSE)</f>
        <v>#N/A</v>
      </c>
      <c r="V93" s="3" t="e">
        <f>VLOOKUP(I93,Resources!$A$2:$H$1503,6,FALSE)</f>
        <v>#N/A</v>
      </c>
      <c r="W93" s="3" t="str">
        <f>VLOOKUP($H$2,Casing!$A$4:$A$60,1,FALSE)</f>
        <v>Lower</v>
      </c>
      <c r="X93" s="14" t="str">
        <f t="shared" si="3"/>
        <v>001</v>
      </c>
      <c r="Y93" s="3" t="str">
        <f>IFERROR(VLOOKUP(F93,Func!$A$4:$G$1500,2,FALSE),"none")</f>
        <v>none</v>
      </c>
      <c r="Z93" s="3" t="e">
        <f>VLOOKUP(I93,Resources!$A$2:$AA$1503,18,FALSE)</f>
        <v>#N/A</v>
      </c>
      <c r="AA93" s="3" t="str">
        <f>IFERROR(VLOOKUP(B93,Orgs!$A$4:$G$1500,2,FALSE),"none")</f>
        <v>none</v>
      </c>
      <c r="AB93" s="3" t="str">
        <f>IFERROR(VLOOKUP(C93,UnitsDepts!$A$4:$G$1500,2,FALSE),"none")</f>
        <v>none</v>
      </c>
      <c r="AC93" s="3" t="str">
        <f>IFERROR(VLOOKUP(D93,ProjAppSvc!$A$4:$G$1500,2,FALSE),"none")</f>
        <v>none</v>
      </c>
    </row>
    <row r="94" spans="1:29" x14ac:dyDescent="0.45">
      <c r="A94" s="14" t="s">
        <v>23</v>
      </c>
      <c r="B94" s="14"/>
      <c r="C94" s="14"/>
      <c r="D94" s="14"/>
      <c r="H94" s="8"/>
      <c r="I94" s="3"/>
      <c r="J94" s="3" t="str">
        <f t="shared" si="4"/>
        <v/>
      </c>
      <c r="K94" s="3" t="str">
        <f>IF(ISNUMBER(SEARCH("-",V94)),IFERROR(IF($H$2="Lower", LOWER(ComputeResourceName(Z94,#REF!,#REF!,G94,N94,O94,P94,Q94,S94,T94,V94,A94)), UPPER(ComputeResourceName(Z94,#REF!,#REF!,G94,N94,O94,P94,Q94,S94,T94,V94,A94))),""),SUBSTITUTE(IFERROR(IF($H$2="Lower", LOWER(ComputeResourceName(#REF!,#REF!,#REF!,G94,N94,O94,P94,Q94,S94,T94,V94,A94)), UPPER(ComputeResourceName(#REF!,#REF!,#REF!,G94,N94,O94,P94,Q94,S94,T94,V94,A94))),""), "-",""))</f>
        <v/>
      </c>
      <c r="L94" s="3" t="str">
        <f xml:space="preserve"> IF(K94="","",  IFERROR(VLOOKUP(I94,Resources!$B$1:$H$1503,5,FALSE)-LEN(K94),0))</f>
        <v/>
      </c>
      <c r="M94" s="3" t="str">
        <f>IF(K94="","",IFERROR(matches(K94,VLOOKUP(I94,Resources!$A$2:$AA$1503,16,FALSE)),FALSE))</f>
        <v/>
      </c>
      <c r="N94" s="3" t="e">
        <f>VLOOKUP(E94,Enviroments!$A$3:$D$59,1,FALSE)</f>
        <v>#N/A</v>
      </c>
      <c r="O94" s="3" t="e">
        <f>VLOOKUP(E94,Enviroments!$A$3:$D$59,2,FALSE)</f>
        <v>#N/A</v>
      </c>
      <c r="P94" s="3" t="e">
        <f>VLOOKUP(E94,Enviroments!$A$3:$D$59,3,FALSE)</f>
        <v>#N/A</v>
      </c>
      <c r="Q94" s="3" t="e">
        <f>VLOOKUP(E94,Enviroments!$A$3:$D$59,4,FALSE)</f>
        <v>#N/A</v>
      </c>
      <c r="R94" s="3" t="e">
        <f>VLOOKUP(H94,AzureRegions!$A$4:$B$1493,1,FALSE)</f>
        <v>#N/A</v>
      </c>
      <c r="S94" s="3" t="e">
        <f>VLOOKUP(H94,AzureRegions!$A$4:$B$1493,2,FALSE)</f>
        <v>#N/A</v>
      </c>
      <c r="T94" s="3" t="e">
        <f>VLOOKUP(H94,AzureRegions!$A$4:$C$1493,3,FALSE)</f>
        <v>#N/A</v>
      </c>
      <c r="U94" s="3" t="e">
        <f>VLOOKUP(I94,Resources!$A$2:$AA$1503,2,FALSE)</f>
        <v>#N/A</v>
      </c>
      <c r="V94" s="3" t="e">
        <f>VLOOKUP(I94,Resources!$A$2:$H$1503,6,FALSE)</f>
        <v>#N/A</v>
      </c>
      <c r="W94" s="3" t="str">
        <f>VLOOKUP($H$2,Casing!$A$4:$A$60,1,FALSE)</f>
        <v>Lower</v>
      </c>
      <c r="X94" s="14" t="str">
        <f t="shared" si="3"/>
        <v>001</v>
      </c>
      <c r="Y94" s="3" t="str">
        <f>IFERROR(VLOOKUP(F94,Func!$A$4:$G$1500,2,FALSE),"none")</f>
        <v>none</v>
      </c>
      <c r="Z94" s="3" t="e">
        <f>VLOOKUP(I94,Resources!$A$2:$AA$1503,18,FALSE)</f>
        <v>#N/A</v>
      </c>
      <c r="AA94" s="3" t="str">
        <f>IFERROR(VLOOKUP(B94,Orgs!$A$4:$G$1500,2,FALSE),"none")</f>
        <v>none</v>
      </c>
      <c r="AB94" s="3" t="str">
        <f>IFERROR(VLOOKUP(C94,UnitsDepts!$A$4:$G$1500,2,FALSE),"none")</f>
        <v>none</v>
      </c>
      <c r="AC94" s="3" t="str">
        <f>IFERROR(VLOOKUP(D94,ProjAppSvc!$A$4:$G$1500,2,FALSE),"none")</f>
        <v>none</v>
      </c>
    </row>
    <row r="95" spans="1:29" x14ac:dyDescent="0.45">
      <c r="A95" s="14" t="s">
        <v>23</v>
      </c>
      <c r="B95" s="14"/>
      <c r="C95" s="14"/>
      <c r="D95" s="14"/>
      <c r="H95" s="8"/>
      <c r="I95" s="3"/>
      <c r="J95" s="3" t="str">
        <f t="shared" si="4"/>
        <v/>
      </c>
      <c r="K95" s="3" t="str">
        <f>IF(ISNUMBER(SEARCH("-",V95)),IFERROR(IF($H$2="Lower", LOWER(ComputeResourceName(Z95,#REF!,#REF!,G95,N95,O95,P95,Q95,S95,T95,V95,A95)), UPPER(ComputeResourceName(Z95,#REF!,#REF!,G95,N95,O95,P95,Q95,S95,T95,V95,A95))),""),SUBSTITUTE(IFERROR(IF($H$2="Lower", LOWER(ComputeResourceName(#REF!,#REF!,#REF!,G95,N95,O95,P95,Q95,S95,T95,V95,A95)), UPPER(ComputeResourceName(#REF!,#REF!,#REF!,G95,N95,O95,P95,Q95,S95,T95,V95,A95))),""), "-",""))</f>
        <v/>
      </c>
      <c r="L95" s="3" t="str">
        <f xml:space="preserve"> IF(K95="","",  IFERROR(VLOOKUP(I95,Resources!$B$1:$H$1503,5,FALSE)-LEN(K95),0))</f>
        <v/>
      </c>
      <c r="M95" s="3" t="str">
        <f>IF(K95="","",IFERROR(matches(K95,VLOOKUP(I95,Resources!$A$2:$AA$1503,16,FALSE)),FALSE))</f>
        <v/>
      </c>
      <c r="N95" s="3" t="e">
        <f>VLOOKUP(E95,Enviroments!$A$3:$D$59,1,FALSE)</f>
        <v>#N/A</v>
      </c>
      <c r="O95" s="3" t="e">
        <f>VLOOKUP(E95,Enviroments!$A$3:$D$59,2,FALSE)</f>
        <v>#N/A</v>
      </c>
      <c r="P95" s="3" t="e">
        <f>VLOOKUP(E95,Enviroments!$A$3:$D$59,3,FALSE)</f>
        <v>#N/A</v>
      </c>
      <c r="Q95" s="3" t="e">
        <f>VLOOKUP(E95,Enviroments!$A$3:$D$59,4,FALSE)</f>
        <v>#N/A</v>
      </c>
      <c r="R95" s="3" t="e">
        <f>VLOOKUP(H95,AzureRegions!$A$4:$B$1493,1,FALSE)</f>
        <v>#N/A</v>
      </c>
      <c r="S95" s="3" t="e">
        <f>VLOOKUP(H95,AzureRegions!$A$4:$B$1493,2,FALSE)</f>
        <v>#N/A</v>
      </c>
      <c r="T95" s="3" t="e">
        <f>VLOOKUP(H95,AzureRegions!$A$4:$C$1493,3,FALSE)</f>
        <v>#N/A</v>
      </c>
      <c r="U95" s="3" t="e">
        <f>VLOOKUP(I95,Resources!$A$2:$AA$1503,2,FALSE)</f>
        <v>#N/A</v>
      </c>
      <c r="V95" s="3" t="e">
        <f>VLOOKUP(I95,Resources!$A$2:$H$1503,6,FALSE)</f>
        <v>#N/A</v>
      </c>
      <c r="W95" s="3" t="str">
        <f>VLOOKUP($H$2,Casing!$A$4:$A$60,1,FALSE)</f>
        <v>Lower</v>
      </c>
      <c r="X95" s="14" t="str">
        <f t="shared" si="3"/>
        <v>001</v>
      </c>
      <c r="Y95" s="3" t="str">
        <f>IFERROR(VLOOKUP(F95,Func!$A$4:$G$1500,2,FALSE),"none")</f>
        <v>none</v>
      </c>
      <c r="Z95" s="3" t="e">
        <f>VLOOKUP(I95,Resources!$A$2:$AA$1503,18,FALSE)</f>
        <v>#N/A</v>
      </c>
      <c r="AA95" s="3" t="str">
        <f>IFERROR(VLOOKUP(B95,Orgs!$A$4:$G$1500,2,FALSE),"none")</f>
        <v>none</v>
      </c>
      <c r="AB95" s="3" t="str">
        <f>IFERROR(VLOOKUP(C95,UnitsDepts!$A$4:$G$1500,2,FALSE),"none")</f>
        <v>none</v>
      </c>
      <c r="AC95" s="3" t="str">
        <f>IFERROR(VLOOKUP(D95,ProjAppSvc!$A$4:$G$1500,2,FALSE),"none")</f>
        <v>none</v>
      </c>
    </row>
    <row r="96" spans="1:29" x14ac:dyDescent="0.45">
      <c r="A96" s="14" t="s">
        <v>23</v>
      </c>
      <c r="B96" s="14"/>
      <c r="C96" s="14"/>
      <c r="D96" s="14"/>
      <c r="H96" s="8"/>
      <c r="I96" s="3"/>
      <c r="J96" s="3" t="str">
        <f t="shared" si="4"/>
        <v/>
      </c>
      <c r="K96" s="3" t="str">
        <f>IF(ISNUMBER(SEARCH("-",V96)),IFERROR(IF($H$2="Lower", LOWER(ComputeResourceName(Z96,#REF!,#REF!,G96,N96,O96,P96,Q96,S96,T96,V96,A96)), UPPER(ComputeResourceName(Z96,#REF!,#REF!,G96,N96,O96,P96,Q96,S96,T96,V96,A96))),""),SUBSTITUTE(IFERROR(IF($H$2="Lower", LOWER(ComputeResourceName(#REF!,#REF!,#REF!,G96,N96,O96,P96,Q96,S96,T96,V96,A96)), UPPER(ComputeResourceName(#REF!,#REF!,#REF!,G96,N96,O96,P96,Q96,S96,T96,V96,A96))),""), "-",""))</f>
        <v/>
      </c>
      <c r="L96" s="3" t="str">
        <f xml:space="preserve"> IF(K96="","",  IFERROR(VLOOKUP(I96,Resources!$B$1:$H$1503,5,FALSE)-LEN(K96),0))</f>
        <v/>
      </c>
      <c r="M96" s="3" t="str">
        <f>IF(K96="","",IFERROR(matches(K96,VLOOKUP(I96,Resources!$A$2:$AA$1503,16,FALSE)),FALSE))</f>
        <v/>
      </c>
      <c r="N96" s="3" t="e">
        <f>VLOOKUP(E96,Enviroments!$A$3:$D$59,1,FALSE)</f>
        <v>#N/A</v>
      </c>
      <c r="O96" s="3" t="e">
        <f>VLOOKUP(E96,Enviroments!$A$3:$D$59,2,FALSE)</f>
        <v>#N/A</v>
      </c>
      <c r="P96" s="3" t="e">
        <f>VLOOKUP(E96,Enviroments!$A$3:$D$59,3,FALSE)</f>
        <v>#N/A</v>
      </c>
      <c r="Q96" s="3" t="e">
        <f>VLOOKUP(E96,Enviroments!$A$3:$D$59,4,FALSE)</f>
        <v>#N/A</v>
      </c>
      <c r="R96" s="3" t="e">
        <f>VLOOKUP(H96,AzureRegions!$A$4:$B$1493,1,FALSE)</f>
        <v>#N/A</v>
      </c>
      <c r="S96" s="3" t="e">
        <f>VLOOKUP(H96,AzureRegions!$A$4:$B$1493,2,FALSE)</f>
        <v>#N/A</v>
      </c>
      <c r="T96" s="3" t="e">
        <f>VLOOKUP(H96,AzureRegions!$A$4:$C$1493,3,FALSE)</f>
        <v>#N/A</v>
      </c>
      <c r="U96" s="3" t="e">
        <f>VLOOKUP(I96,Resources!$A$2:$AA$1503,2,FALSE)</f>
        <v>#N/A</v>
      </c>
      <c r="V96" s="3" t="e">
        <f>VLOOKUP(I96,Resources!$A$2:$H$1503,6,FALSE)</f>
        <v>#N/A</v>
      </c>
      <c r="W96" s="3" t="str">
        <f>VLOOKUP($H$2,Casing!$A$4:$A$60,1,FALSE)</f>
        <v>Lower</v>
      </c>
      <c r="X96" s="14" t="str">
        <f t="shared" si="3"/>
        <v>001</v>
      </c>
      <c r="Y96" s="3" t="str">
        <f>IFERROR(VLOOKUP(F96,Func!$A$4:$G$1500,2,FALSE),"none")</f>
        <v>none</v>
      </c>
      <c r="Z96" s="3" t="e">
        <f>VLOOKUP(I96,Resources!$A$2:$AA$1503,18,FALSE)</f>
        <v>#N/A</v>
      </c>
      <c r="AA96" s="3" t="str">
        <f>IFERROR(VLOOKUP(B96,Orgs!$A$4:$G$1500,2,FALSE),"none")</f>
        <v>none</v>
      </c>
      <c r="AB96" s="3" t="str">
        <f>IFERROR(VLOOKUP(C96,UnitsDepts!$A$4:$G$1500,2,FALSE),"none")</f>
        <v>none</v>
      </c>
      <c r="AC96" s="3" t="str">
        <f>IFERROR(VLOOKUP(D96,ProjAppSvc!$A$4:$G$1500,2,FALSE),"none")</f>
        <v>none</v>
      </c>
    </row>
    <row r="97" spans="1:29" x14ac:dyDescent="0.45">
      <c r="A97" s="14" t="s">
        <v>23</v>
      </c>
      <c r="B97" s="14"/>
      <c r="C97" s="14"/>
      <c r="D97" s="14"/>
      <c r="H97" s="8"/>
      <c r="I97" s="3"/>
      <c r="J97" s="3" t="str">
        <f t="shared" si="4"/>
        <v/>
      </c>
      <c r="K97" s="3" t="str">
        <f>IF(ISNUMBER(SEARCH("-",V97)),IFERROR(IF($H$2="Lower", LOWER(ComputeResourceName(Z97,#REF!,#REF!,G97,N97,O97,P97,Q97,S97,T97,V97,A97)), UPPER(ComputeResourceName(Z97,#REF!,#REF!,G97,N97,O97,P97,Q97,S97,T97,V97,A97))),""),SUBSTITUTE(IFERROR(IF($H$2="Lower", LOWER(ComputeResourceName(#REF!,#REF!,#REF!,G97,N97,O97,P97,Q97,S97,T97,V97,A97)), UPPER(ComputeResourceName(#REF!,#REF!,#REF!,G97,N97,O97,P97,Q97,S97,T97,V97,A97))),""), "-",""))</f>
        <v/>
      </c>
      <c r="L97" s="3" t="str">
        <f xml:space="preserve"> IF(K97="","",  IFERROR(VLOOKUP(I97,Resources!$B$1:$H$1503,5,FALSE)-LEN(K97),0))</f>
        <v/>
      </c>
      <c r="M97" s="3" t="str">
        <f>IF(K97="","",IFERROR(matches(K97,VLOOKUP(I97,Resources!$A$2:$AA$1503,16,FALSE)),FALSE))</f>
        <v/>
      </c>
      <c r="N97" s="3" t="e">
        <f>VLOOKUP(E97,Enviroments!$A$3:$D$59,1,FALSE)</f>
        <v>#N/A</v>
      </c>
      <c r="O97" s="3" t="e">
        <f>VLOOKUP(E97,Enviroments!$A$3:$D$59,2,FALSE)</f>
        <v>#N/A</v>
      </c>
      <c r="P97" s="3" t="e">
        <f>VLOOKUP(E97,Enviroments!$A$3:$D$59,3,FALSE)</f>
        <v>#N/A</v>
      </c>
      <c r="Q97" s="3" t="e">
        <f>VLOOKUP(E97,Enviroments!$A$3:$D$59,4,FALSE)</f>
        <v>#N/A</v>
      </c>
      <c r="R97" s="3" t="e">
        <f>VLOOKUP(H97,AzureRegions!$A$4:$B$1493,1,FALSE)</f>
        <v>#N/A</v>
      </c>
      <c r="S97" s="3" t="e">
        <f>VLOOKUP(H97,AzureRegions!$A$4:$B$1493,2,FALSE)</f>
        <v>#N/A</v>
      </c>
      <c r="T97" s="3" t="e">
        <f>VLOOKUP(H97,AzureRegions!$A$4:$C$1493,3,FALSE)</f>
        <v>#N/A</v>
      </c>
      <c r="U97" s="3" t="e">
        <f>VLOOKUP(I97,Resources!$A$2:$AA$1503,2,FALSE)</f>
        <v>#N/A</v>
      </c>
      <c r="V97" s="3" t="e">
        <f>VLOOKUP(I97,Resources!$A$2:$H$1503,6,FALSE)</f>
        <v>#N/A</v>
      </c>
      <c r="W97" s="3" t="str">
        <f>VLOOKUP($H$2,Casing!$A$4:$A$60,1,FALSE)</f>
        <v>Lower</v>
      </c>
      <c r="X97" s="14" t="str">
        <f t="shared" si="3"/>
        <v>001</v>
      </c>
      <c r="Y97" s="3" t="str">
        <f>IFERROR(VLOOKUP(F97,Func!$A$4:$G$1500,2,FALSE),"none")</f>
        <v>none</v>
      </c>
      <c r="Z97" s="3" t="e">
        <f>VLOOKUP(I97,Resources!$A$2:$AA$1503,18,FALSE)</f>
        <v>#N/A</v>
      </c>
      <c r="AA97" s="3" t="str">
        <f>IFERROR(VLOOKUP(B97,Orgs!$A$4:$G$1500,2,FALSE),"none")</f>
        <v>none</v>
      </c>
      <c r="AB97" s="3" t="str">
        <f>IFERROR(VLOOKUP(C97,UnitsDepts!$A$4:$G$1500,2,FALSE),"none")</f>
        <v>none</v>
      </c>
      <c r="AC97" s="3" t="str">
        <f>IFERROR(VLOOKUP(D97,ProjAppSvc!$A$4:$G$1500,2,FALSE),"none")</f>
        <v>none</v>
      </c>
    </row>
    <row r="98" spans="1:29" x14ac:dyDescent="0.45">
      <c r="A98" s="14" t="s">
        <v>23</v>
      </c>
      <c r="B98" s="14"/>
      <c r="C98" s="14"/>
      <c r="D98" s="14"/>
      <c r="H98" s="8"/>
      <c r="I98" s="3"/>
      <c r="J98" s="3" t="str">
        <f t="shared" si="4"/>
        <v/>
      </c>
      <c r="K98" s="3" t="str">
        <f>IF(ISNUMBER(SEARCH("-",V98)),IFERROR(IF($H$2="Lower", LOWER(ComputeResourceName(Z98,#REF!,#REF!,G98,N98,O98,P98,Q98,S98,T98,V98,A98)), UPPER(ComputeResourceName(Z98,#REF!,#REF!,G98,N98,O98,P98,Q98,S98,T98,V98,A98))),""),SUBSTITUTE(IFERROR(IF($H$2="Lower", LOWER(ComputeResourceName(#REF!,#REF!,#REF!,G98,N98,O98,P98,Q98,S98,T98,V98,A98)), UPPER(ComputeResourceName(#REF!,#REF!,#REF!,G98,N98,O98,P98,Q98,S98,T98,V98,A98))),""), "-",""))</f>
        <v/>
      </c>
      <c r="L98" s="3" t="str">
        <f xml:space="preserve"> IF(K98="","",  IFERROR(VLOOKUP(I98,Resources!$B$1:$H$1503,5,FALSE)-LEN(K98),0))</f>
        <v/>
      </c>
      <c r="M98" s="3" t="str">
        <f>IF(K98="","",IFERROR(matches(K98,VLOOKUP(I98,Resources!$A$2:$AA$1503,16,FALSE)),FALSE))</f>
        <v/>
      </c>
      <c r="N98" s="3" t="e">
        <f>VLOOKUP(E98,Enviroments!$A$3:$D$59,1,FALSE)</f>
        <v>#N/A</v>
      </c>
      <c r="O98" s="3" t="e">
        <f>VLOOKUP(E98,Enviroments!$A$3:$D$59,2,FALSE)</f>
        <v>#N/A</v>
      </c>
      <c r="P98" s="3" t="e">
        <f>VLOOKUP(E98,Enviroments!$A$3:$D$59,3,FALSE)</f>
        <v>#N/A</v>
      </c>
      <c r="Q98" s="3" t="e">
        <f>VLOOKUP(E98,Enviroments!$A$3:$D$59,4,FALSE)</f>
        <v>#N/A</v>
      </c>
      <c r="R98" s="3" t="e">
        <f>VLOOKUP(H98,AzureRegions!$A$4:$B$1493,1,FALSE)</f>
        <v>#N/A</v>
      </c>
      <c r="S98" s="3" t="e">
        <f>VLOOKUP(H98,AzureRegions!$A$4:$B$1493,2,FALSE)</f>
        <v>#N/A</v>
      </c>
      <c r="T98" s="3" t="e">
        <f>VLOOKUP(H98,AzureRegions!$A$4:$C$1493,3,FALSE)</f>
        <v>#N/A</v>
      </c>
      <c r="U98" s="3" t="e">
        <f>VLOOKUP(I98,Resources!$A$2:$AA$1503,2,FALSE)</f>
        <v>#N/A</v>
      </c>
      <c r="V98" s="3" t="e">
        <f>VLOOKUP(I98,Resources!$A$2:$H$1503,6,FALSE)</f>
        <v>#N/A</v>
      </c>
      <c r="W98" s="3" t="str">
        <f>VLOOKUP($H$2,Casing!$A$4:$A$60,1,FALSE)</f>
        <v>Lower</v>
      </c>
      <c r="X98" s="14" t="str">
        <f t="shared" si="3"/>
        <v>001</v>
      </c>
      <c r="Y98" s="3" t="str">
        <f>IFERROR(VLOOKUP(F98,Func!$A$4:$G$1500,2,FALSE),"none")</f>
        <v>none</v>
      </c>
      <c r="Z98" s="3" t="e">
        <f>VLOOKUP(I98,Resources!$A$2:$AA$1503,18,FALSE)</f>
        <v>#N/A</v>
      </c>
      <c r="AA98" s="3" t="str">
        <f>IFERROR(VLOOKUP(B98,Orgs!$A$4:$G$1500,2,FALSE),"none")</f>
        <v>none</v>
      </c>
      <c r="AB98" s="3" t="str">
        <f>IFERROR(VLOOKUP(C98,UnitsDepts!$A$4:$G$1500,2,FALSE),"none")</f>
        <v>none</v>
      </c>
      <c r="AC98" s="3" t="str">
        <f>IFERROR(VLOOKUP(D98,ProjAppSvc!$A$4:$G$1500,2,FALSE),"none")</f>
        <v>none</v>
      </c>
    </row>
    <row r="99" spans="1:29" x14ac:dyDescent="0.45">
      <c r="A99" s="14" t="s">
        <v>23</v>
      </c>
      <c r="B99" s="14"/>
      <c r="C99" s="14"/>
      <c r="D99" s="14"/>
      <c r="H99" s="8"/>
      <c r="I99" s="3"/>
      <c r="J99" s="3" t="str">
        <f t="shared" si="4"/>
        <v/>
      </c>
      <c r="K99" s="3" t="str">
        <f>IF(ISNUMBER(SEARCH("-",V99)),IFERROR(IF($H$2="Lower", LOWER(ComputeResourceName(Z99,#REF!,#REF!,G99,N99,O99,P99,Q99,S99,T99,V99,A99)), UPPER(ComputeResourceName(Z99,#REF!,#REF!,G99,N99,O99,P99,Q99,S99,T99,V99,A99))),""),SUBSTITUTE(IFERROR(IF($H$2="Lower", LOWER(ComputeResourceName(#REF!,#REF!,#REF!,G99,N99,O99,P99,Q99,S99,T99,V99,A99)), UPPER(ComputeResourceName(#REF!,#REF!,#REF!,G99,N99,O99,P99,Q99,S99,T99,V99,A99))),""), "-",""))</f>
        <v/>
      </c>
      <c r="L99" s="3" t="str">
        <f xml:space="preserve"> IF(K99="","",  IFERROR(VLOOKUP(I99,Resources!$B$1:$H$1503,5,FALSE)-LEN(K99),0))</f>
        <v/>
      </c>
      <c r="M99" s="3" t="str">
        <f>IF(K99="","",IFERROR(matches(K99,VLOOKUP(I99,Resources!$A$2:$AA$1503,16,FALSE)),FALSE))</f>
        <v/>
      </c>
      <c r="N99" s="3" t="e">
        <f>VLOOKUP(E99,Enviroments!$A$3:$D$59,1,FALSE)</f>
        <v>#N/A</v>
      </c>
      <c r="O99" s="3" t="e">
        <f>VLOOKUP(E99,Enviroments!$A$3:$D$59,2,FALSE)</f>
        <v>#N/A</v>
      </c>
      <c r="P99" s="3" t="e">
        <f>VLOOKUP(E99,Enviroments!$A$3:$D$59,3,FALSE)</f>
        <v>#N/A</v>
      </c>
      <c r="Q99" s="3" t="e">
        <f>VLOOKUP(E99,Enviroments!$A$3:$D$59,4,FALSE)</f>
        <v>#N/A</v>
      </c>
      <c r="R99" s="3" t="e">
        <f>VLOOKUP(H99,AzureRegions!$A$4:$B$1493,1,FALSE)</f>
        <v>#N/A</v>
      </c>
      <c r="S99" s="3" t="e">
        <f>VLOOKUP(H99,AzureRegions!$A$4:$B$1493,2,FALSE)</f>
        <v>#N/A</v>
      </c>
      <c r="T99" s="3" t="e">
        <f>VLOOKUP(H99,AzureRegions!$A$4:$C$1493,3,FALSE)</f>
        <v>#N/A</v>
      </c>
      <c r="U99" s="3" t="e">
        <f>VLOOKUP(I99,Resources!$A$2:$AA$1503,2,FALSE)</f>
        <v>#N/A</v>
      </c>
      <c r="V99" s="3" t="e">
        <f>VLOOKUP(I99,Resources!$A$2:$H$1503,6,FALSE)</f>
        <v>#N/A</v>
      </c>
      <c r="W99" s="3" t="str">
        <f>VLOOKUP($H$2,Casing!$A$4:$A$60,1,FALSE)</f>
        <v>Lower</v>
      </c>
      <c r="X99" s="14" t="str">
        <f t="shared" si="3"/>
        <v>001</v>
      </c>
      <c r="Y99" s="3" t="str">
        <f>IFERROR(VLOOKUP(F99,Func!$A$4:$G$1500,2,FALSE),"none")</f>
        <v>none</v>
      </c>
      <c r="Z99" s="3" t="e">
        <f>VLOOKUP(I99,Resources!$A$2:$AA$1503,18,FALSE)</f>
        <v>#N/A</v>
      </c>
      <c r="AA99" s="3" t="str">
        <f>IFERROR(VLOOKUP(B99,Orgs!$A$4:$G$1500,2,FALSE),"none")</f>
        <v>none</v>
      </c>
      <c r="AB99" s="3" t="str">
        <f>IFERROR(VLOOKUP(C99,UnitsDepts!$A$4:$G$1500,2,FALSE),"none")</f>
        <v>none</v>
      </c>
      <c r="AC99" s="3" t="str">
        <f>IFERROR(VLOOKUP(D99,ProjAppSvc!$A$4:$G$1500,2,FALSE),"none")</f>
        <v>none</v>
      </c>
    </row>
    <row r="100" spans="1:29" x14ac:dyDescent="0.45">
      <c r="A100" s="14" t="s">
        <v>23</v>
      </c>
      <c r="B100" s="14"/>
      <c r="C100" s="14"/>
      <c r="D100" s="14"/>
      <c r="H100" s="8"/>
      <c r="I100" s="3"/>
      <c r="J100" s="3" t="str">
        <f t="shared" si="4"/>
        <v/>
      </c>
      <c r="K100" s="3" t="str">
        <f>IF(ISNUMBER(SEARCH("-",V100)),IFERROR(IF($H$2="Lower", LOWER(ComputeResourceName(Z100,#REF!,#REF!,G100,N100,O100,P100,Q100,S100,T100,V100,A100)), UPPER(ComputeResourceName(Z100,#REF!,#REF!,G100,N100,O100,P100,Q100,S100,T100,V100,A100))),""),SUBSTITUTE(IFERROR(IF($H$2="Lower", LOWER(ComputeResourceName(#REF!,#REF!,#REF!,G100,N100,O100,P100,Q100,S100,T100,V100,A100)), UPPER(ComputeResourceName(#REF!,#REF!,#REF!,G100,N100,O100,P100,Q100,S100,T100,V100,A100))),""), "-",""))</f>
        <v/>
      </c>
      <c r="L100" s="3" t="str">
        <f xml:space="preserve"> IF(K100="","",  IFERROR(VLOOKUP(I100,Resources!$B$1:$H$1503,5,FALSE)-LEN(K100),0))</f>
        <v/>
      </c>
      <c r="M100" s="3" t="str">
        <f>IF(K100="","",IFERROR(matches(K100,VLOOKUP(I100,Resources!$A$2:$AA$1503,16,FALSE)),FALSE))</f>
        <v/>
      </c>
      <c r="N100" s="3" t="e">
        <f>VLOOKUP(E100,Enviroments!$A$3:$D$59,1,FALSE)</f>
        <v>#N/A</v>
      </c>
      <c r="O100" s="3" t="e">
        <f>VLOOKUP(E100,Enviroments!$A$3:$D$59,2,FALSE)</f>
        <v>#N/A</v>
      </c>
      <c r="P100" s="3" t="e">
        <f>VLOOKUP(E100,Enviroments!$A$3:$D$59,3,FALSE)</f>
        <v>#N/A</v>
      </c>
      <c r="Q100" s="3" t="e">
        <f>VLOOKUP(E100,Enviroments!$A$3:$D$59,4,FALSE)</f>
        <v>#N/A</v>
      </c>
      <c r="R100" s="3" t="e">
        <f>VLOOKUP(H100,AzureRegions!$A$4:$B$1493,1,FALSE)</f>
        <v>#N/A</v>
      </c>
      <c r="S100" s="3" t="e">
        <f>VLOOKUP(H100,AzureRegions!$A$4:$B$1493,2,FALSE)</f>
        <v>#N/A</v>
      </c>
      <c r="T100" s="3" t="e">
        <f>VLOOKUP(H100,AzureRegions!$A$4:$C$1493,3,FALSE)</f>
        <v>#N/A</v>
      </c>
      <c r="U100" s="3" t="e">
        <f>VLOOKUP(I100,Resources!$A$2:$AA$1503,2,FALSE)</f>
        <v>#N/A</v>
      </c>
      <c r="V100" s="3" t="e">
        <f>VLOOKUP(I100,Resources!$A$2:$H$1503,6,FALSE)</f>
        <v>#N/A</v>
      </c>
      <c r="W100" s="3" t="str">
        <f>VLOOKUP($H$2,Casing!$A$4:$A$60,1,FALSE)</f>
        <v>Lower</v>
      </c>
      <c r="X100" s="14" t="str">
        <f t="shared" si="3"/>
        <v>001</v>
      </c>
      <c r="Y100" s="3" t="str">
        <f>IFERROR(VLOOKUP(F100,Func!$A$4:$G$1500,2,FALSE),"none")</f>
        <v>none</v>
      </c>
      <c r="Z100" s="3" t="e">
        <f>VLOOKUP(I100,Resources!$A$2:$AA$1503,18,FALSE)</f>
        <v>#N/A</v>
      </c>
      <c r="AA100" s="3" t="str">
        <f>IFERROR(VLOOKUP(B100,Orgs!$A$4:$G$1500,2,FALSE),"none")</f>
        <v>none</v>
      </c>
      <c r="AB100" s="3" t="str">
        <f>IFERROR(VLOOKUP(C100,UnitsDepts!$A$4:$G$1500,2,FALSE),"none")</f>
        <v>none</v>
      </c>
      <c r="AC100" s="3" t="str">
        <f>IFERROR(VLOOKUP(D100,ProjAppSvc!$A$4:$G$1500,2,FALSE),"none")</f>
        <v>none</v>
      </c>
    </row>
    <row r="101" spans="1:29" x14ac:dyDescent="0.45">
      <c r="A101" s="14" t="s">
        <v>23</v>
      </c>
      <c r="B101" s="14"/>
      <c r="C101" s="14"/>
      <c r="D101" s="14"/>
      <c r="H101" s="8"/>
      <c r="I101" s="3"/>
      <c r="J101" s="3" t="str">
        <f t="shared" si="4"/>
        <v/>
      </c>
      <c r="K101" s="3" t="str">
        <f>IF(ISNUMBER(SEARCH("-",V101)),IFERROR(IF($H$2="Lower", LOWER(ComputeResourceName(Z101,#REF!,#REF!,G101,N101,O101,P101,Q101,S101,T101,V101,A101)), UPPER(ComputeResourceName(Z101,#REF!,#REF!,G101,N101,O101,P101,Q101,S101,T101,V101,A101))),""),SUBSTITUTE(IFERROR(IF($H$2="Lower", LOWER(ComputeResourceName(#REF!,#REF!,#REF!,G101,N101,O101,P101,Q101,S101,T101,V101,A101)), UPPER(ComputeResourceName(#REF!,#REF!,#REF!,G101,N101,O101,P101,Q101,S101,T101,V101,A101))),""), "-",""))</f>
        <v/>
      </c>
      <c r="L101" s="3" t="str">
        <f xml:space="preserve"> IF(K101="","",  IFERROR(VLOOKUP(I101,Resources!$B$1:$H$1503,5,FALSE)-LEN(K101),0))</f>
        <v/>
      </c>
      <c r="M101" s="3" t="str">
        <f>IF(K101="","",IFERROR(matches(K101,VLOOKUP(I101,Resources!$A$2:$AA$1503,16,FALSE)),FALSE))</f>
        <v/>
      </c>
      <c r="N101" s="3" t="e">
        <f>VLOOKUP(E101,Enviroments!$A$3:$D$59,1,FALSE)</f>
        <v>#N/A</v>
      </c>
      <c r="O101" s="3" t="e">
        <f>VLOOKUP(E101,Enviroments!$A$3:$D$59,2,FALSE)</f>
        <v>#N/A</v>
      </c>
      <c r="P101" s="3" t="e">
        <f>VLOOKUP(E101,Enviroments!$A$3:$D$59,3,FALSE)</f>
        <v>#N/A</v>
      </c>
      <c r="Q101" s="3" t="e">
        <f>VLOOKUP(E101,Enviroments!$A$3:$D$59,4,FALSE)</f>
        <v>#N/A</v>
      </c>
      <c r="R101" s="3" t="e">
        <f>VLOOKUP(H101,AzureRegions!$A$4:$B$1493,1,FALSE)</f>
        <v>#N/A</v>
      </c>
      <c r="S101" s="3" t="e">
        <f>VLOOKUP(H101,AzureRegions!$A$4:$B$1493,2,FALSE)</f>
        <v>#N/A</v>
      </c>
      <c r="T101" s="3" t="e">
        <f>VLOOKUP(H101,AzureRegions!$A$4:$C$1493,3,FALSE)</f>
        <v>#N/A</v>
      </c>
      <c r="U101" s="3" t="e">
        <f>VLOOKUP(I101,Resources!$A$2:$AA$1503,2,FALSE)</f>
        <v>#N/A</v>
      </c>
      <c r="V101" s="3" t="e">
        <f>VLOOKUP(I101,Resources!$A$2:$H$1503,6,FALSE)</f>
        <v>#N/A</v>
      </c>
      <c r="W101" s="3" t="str">
        <f>VLOOKUP($H$2,Casing!$A$4:$A$60,1,FALSE)</f>
        <v>Lower</v>
      </c>
      <c r="X101" s="14" t="str">
        <f t="shared" si="3"/>
        <v>001</v>
      </c>
      <c r="Y101" s="3" t="str">
        <f>IFERROR(VLOOKUP(F101,Func!$A$4:$G$1500,2,FALSE),"none")</f>
        <v>none</v>
      </c>
      <c r="Z101" s="3" t="e">
        <f>VLOOKUP(I101,Resources!$A$2:$AA$1503,18,FALSE)</f>
        <v>#N/A</v>
      </c>
      <c r="AA101" s="3" t="str">
        <f>IFERROR(VLOOKUP(B101,Orgs!$A$4:$G$1500,2,FALSE),"none")</f>
        <v>none</v>
      </c>
      <c r="AB101" s="3" t="str">
        <f>IFERROR(VLOOKUP(C101,UnitsDepts!$A$4:$G$1500,2,FALSE),"none")</f>
        <v>none</v>
      </c>
      <c r="AC101" s="3" t="str">
        <f>IFERROR(VLOOKUP(D101,ProjAppSvc!$A$4:$G$1500,2,FALSE),"none")</f>
        <v>none</v>
      </c>
    </row>
    <row r="102" spans="1:29" x14ac:dyDescent="0.45">
      <c r="A102" s="14" t="s">
        <v>23</v>
      </c>
      <c r="B102" s="14"/>
      <c r="C102" s="14"/>
      <c r="D102" s="14"/>
      <c r="H102" s="8"/>
      <c r="I102" s="3"/>
      <c r="J102" s="3" t="str">
        <f t="shared" si="4"/>
        <v/>
      </c>
      <c r="K102" s="3" t="str">
        <f>IF(ISNUMBER(SEARCH("-",V102)),IFERROR(IF($H$2="Lower", LOWER(ComputeResourceName(Z102,#REF!,#REF!,G102,N102,O102,P102,Q102,S102,T102,V102,A102)), UPPER(ComputeResourceName(Z102,#REF!,#REF!,G102,N102,O102,P102,Q102,S102,T102,V102,A102))),""),SUBSTITUTE(IFERROR(IF($H$2="Lower", LOWER(ComputeResourceName(#REF!,#REF!,#REF!,G102,N102,O102,P102,Q102,S102,T102,V102,A102)), UPPER(ComputeResourceName(#REF!,#REF!,#REF!,G102,N102,O102,P102,Q102,S102,T102,V102,A102))),""), "-",""))</f>
        <v/>
      </c>
      <c r="L102" s="3" t="str">
        <f xml:space="preserve"> IF(K102="","",  IFERROR(VLOOKUP(I102,Resources!$B$1:$H$1503,5,FALSE)-LEN(K102),0))</f>
        <v/>
      </c>
      <c r="M102" s="3" t="str">
        <f>IF(K102="","",IFERROR(matches(K102,VLOOKUP(I102,Resources!$A$2:$AA$1503,16,FALSE)),FALSE))</f>
        <v/>
      </c>
      <c r="N102" s="3" t="e">
        <f>VLOOKUP(E102,Enviroments!$A$3:$D$59,1,FALSE)</f>
        <v>#N/A</v>
      </c>
      <c r="O102" s="3" t="e">
        <f>VLOOKUP(E102,Enviroments!$A$3:$D$59,2,FALSE)</f>
        <v>#N/A</v>
      </c>
      <c r="P102" s="3" t="e">
        <f>VLOOKUP(E102,Enviroments!$A$3:$D$59,3,FALSE)</f>
        <v>#N/A</v>
      </c>
      <c r="Q102" s="3" t="e">
        <f>VLOOKUP(E102,Enviroments!$A$3:$D$59,4,FALSE)</f>
        <v>#N/A</v>
      </c>
      <c r="R102" s="3" t="e">
        <f>VLOOKUP(H102,AzureRegions!$A$4:$B$1493,1,FALSE)</f>
        <v>#N/A</v>
      </c>
      <c r="S102" s="3" t="e">
        <f>VLOOKUP(H102,AzureRegions!$A$4:$B$1493,2,FALSE)</f>
        <v>#N/A</v>
      </c>
      <c r="T102" s="3" t="e">
        <f>VLOOKUP(H102,AzureRegions!$A$4:$C$1493,3,FALSE)</f>
        <v>#N/A</v>
      </c>
      <c r="U102" s="3" t="e">
        <f>VLOOKUP(I102,Resources!$A$2:$AA$1503,2,FALSE)</f>
        <v>#N/A</v>
      </c>
      <c r="V102" s="3" t="e">
        <f>VLOOKUP(I102,Resources!$A$2:$H$1503,6,FALSE)</f>
        <v>#N/A</v>
      </c>
      <c r="W102" s="3" t="str">
        <f>VLOOKUP($H$2,Casing!$A$4:$A$60,1,FALSE)</f>
        <v>Lower</v>
      </c>
      <c r="X102" s="14" t="str">
        <f t="shared" si="3"/>
        <v>001</v>
      </c>
      <c r="Y102" s="3" t="str">
        <f>IFERROR(VLOOKUP(F102,Func!$A$4:$G$1500,2,FALSE),"none")</f>
        <v>none</v>
      </c>
      <c r="Z102" s="3" t="e">
        <f>VLOOKUP(I102,Resources!$A$2:$AA$1503,18,FALSE)</f>
        <v>#N/A</v>
      </c>
      <c r="AA102" s="3" t="str">
        <f>IFERROR(VLOOKUP(B102,Orgs!$A$4:$G$1500,2,FALSE),"none")</f>
        <v>none</v>
      </c>
      <c r="AB102" s="3" t="str">
        <f>IFERROR(VLOOKUP(C102,UnitsDepts!$A$4:$G$1500,2,FALSE),"none")</f>
        <v>none</v>
      </c>
      <c r="AC102" s="3" t="str">
        <f>IFERROR(VLOOKUP(D102,ProjAppSvc!$A$4:$G$1500,2,FALSE),"none")</f>
        <v>none</v>
      </c>
    </row>
    <row r="103" spans="1:29" x14ac:dyDescent="0.45">
      <c r="A103" s="14" t="s">
        <v>23</v>
      </c>
      <c r="B103" s="14"/>
      <c r="C103" s="14"/>
      <c r="D103" s="14"/>
      <c r="H103" s="8"/>
      <c r="I103" s="3"/>
      <c r="J103" s="3" t="str">
        <f t="shared" si="4"/>
        <v/>
      </c>
      <c r="K103" s="3" t="str">
        <f>IF(ISNUMBER(SEARCH("-",V103)),IFERROR(IF($H$2="Lower", LOWER(ComputeResourceName(Z103,#REF!,#REF!,G103,N103,O103,P103,Q103,S103,T103,V103,A103)), UPPER(ComputeResourceName(Z103,#REF!,#REF!,G103,N103,O103,P103,Q103,S103,T103,V103,A103))),""),SUBSTITUTE(IFERROR(IF($H$2="Lower", LOWER(ComputeResourceName(#REF!,#REF!,#REF!,G103,N103,O103,P103,Q103,S103,T103,V103,A103)), UPPER(ComputeResourceName(#REF!,#REF!,#REF!,G103,N103,O103,P103,Q103,S103,T103,V103,A103))),""), "-",""))</f>
        <v/>
      </c>
      <c r="L103" s="3" t="str">
        <f xml:space="preserve"> IF(K103="","",  IFERROR(VLOOKUP(I103,Resources!$B$1:$H$1503,5,FALSE)-LEN(K103),0))</f>
        <v/>
      </c>
      <c r="M103" s="3" t="str">
        <f>IF(K103="","",IFERROR(matches(K103,VLOOKUP(I103,Resources!$A$2:$AA$1503,16,FALSE)),FALSE))</f>
        <v/>
      </c>
      <c r="N103" s="3" t="e">
        <f>VLOOKUP(E103,Enviroments!$A$3:$D$59,1,FALSE)</f>
        <v>#N/A</v>
      </c>
      <c r="O103" s="3" t="e">
        <f>VLOOKUP(E103,Enviroments!$A$3:$D$59,2,FALSE)</f>
        <v>#N/A</v>
      </c>
      <c r="P103" s="3" t="e">
        <f>VLOOKUP(E103,Enviroments!$A$3:$D$59,3,FALSE)</f>
        <v>#N/A</v>
      </c>
      <c r="Q103" s="3" t="e">
        <f>VLOOKUP(E103,Enviroments!$A$3:$D$59,4,FALSE)</f>
        <v>#N/A</v>
      </c>
      <c r="R103" s="3" t="e">
        <f>VLOOKUP(H103,AzureRegions!$A$4:$B$1493,1,FALSE)</f>
        <v>#N/A</v>
      </c>
      <c r="S103" s="3" t="e">
        <f>VLOOKUP(H103,AzureRegions!$A$4:$B$1493,2,FALSE)</f>
        <v>#N/A</v>
      </c>
      <c r="T103" s="3" t="e">
        <f>VLOOKUP(H103,AzureRegions!$A$4:$C$1493,3,FALSE)</f>
        <v>#N/A</v>
      </c>
      <c r="U103" s="3" t="e">
        <f>VLOOKUP(I103,Resources!$A$2:$AA$1503,2,FALSE)</f>
        <v>#N/A</v>
      </c>
      <c r="V103" s="3" t="e">
        <f>VLOOKUP(I103,Resources!$A$2:$H$1503,6,FALSE)</f>
        <v>#N/A</v>
      </c>
      <c r="W103" s="3" t="str">
        <f>VLOOKUP($H$2,Casing!$A$4:$A$60,1,FALSE)</f>
        <v>Lower</v>
      </c>
      <c r="X103" s="14" t="str">
        <f t="shared" si="3"/>
        <v>001</v>
      </c>
      <c r="Y103" s="3" t="str">
        <f>IFERROR(VLOOKUP(F103,Func!$A$4:$G$1500,2,FALSE),"none")</f>
        <v>none</v>
      </c>
      <c r="Z103" s="3" t="e">
        <f>VLOOKUP(I103,Resources!$A$2:$AA$1503,18,FALSE)</f>
        <v>#N/A</v>
      </c>
      <c r="AA103" s="3" t="str">
        <f>IFERROR(VLOOKUP(B103,Orgs!$A$4:$G$1500,2,FALSE),"none")</f>
        <v>none</v>
      </c>
      <c r="AB103" s="3" t="str">
        <f>IFERROR(VLOOKUP(C103,UnitsDepts!$A$4:$G$1500,2,FALSE),"none")</f>
        <v>none</v>
      </c>
      <c r="AC103" s="3" t="str">
        <f>IFERROR(VLOOKUP(D103,ProjAppSvc!$A$4:$G$1500,2,FALSE),"none")</f>
        <v>none</v>
      </c>
    </row>
    <row r="104" spans="1:29" x14ac:dyDescent="0.45">
      <c r="A104" s="14" t="s">
        <v>23</v>
      </c>
      <c r="B104" s="14"/>
      <c r="C104" s="14"/>
      <c r="D104" s="14"/>
      <c r="H104" s="8"/>
      <c r="I104" s="3"/>
      <c r="J104" s="3" t="str">
        <f t="shared" si="4"/>
        <v/>
      </c>
      <c r="K104" s="3" t="str">
        <f>IF(ISNUMBER(SEARCH("-",V104)),IFERROR(IF($H$2="Lower", LOWER(ComputeResourceName(Z104,#REF!,#REF!,G104,N104,O104,P104,Q104,S104,T104,V104,A104)), UPPER(ComputeResourceName(Z104,#REF!,#REF!,G104,N104,O104,P104,Q104,S104,T104,V104,A104))),""),SUBSTITUTE(IFERROR(IF($H$2="Lower", LOWER(ComputeResourceName(#REF!,#REF!,#REF!,G104,N104,O104,P104,Q104,S104,T104,V104,A104)), UPPER(ComputeResourceName(#REF!,#REF!,#REF!,G104,N104,O104,P104,Q104,S104,T104,V104,A104))),""), "-",""))</f>
        <v/>
      </c>
      <c r="L104" s="3" t="str">
        <f xml:space="preserve"> IF(K104="","",  IFERROR(VLOOKUP(I104,Resources!$B$1:$H$1503,5,FALSE)-LEN(K104),0))</f>
        <v/>
      </c>
      <c r="M104" s="3" t="str">
        <f>IF(K104="","",IFERROR(matches(K104,VLOOKUP(I104,Resources!$A$2:$AA$1503,16,FALSE)),FALSE))</f>
        <v/>
      </c>
      <c r="N104" s="3" t="e">
        <f>VLOOKUP(E104,Enviroments!$A$3:$D$59,1,FALSE)</f>
        <v>#N/A</v>
      </c>
      <c r="O104" s="3" t="e">
        <f>VLOOKUP(E104,Enviroments!$A$3:$D$59,2,FALSE)</f>
        <v>#N/A</v>
      </c>
      <c r="P104" s="3" t="e">
        <f>VLOOKUP(E104,Enviroments!$A$3:$D$59,3,FALSE)</f>
        <v>#N/A</v>
      </c>
      <c r="Q104" s="3" t="e">
        <f>VLOOKUP(E104,Enviroments!$A$3:$D$59,4,FALSE)</f>
        <v>#N/A</v>
      </c>
      <c r="R104" s="3" t="e">
        <f>VLOOKUP(H104,AzureRegions!$A$4:$B$1493,1,FALSE)</f>
        <v>#N/A</v>
      </c>
      <c r="S104" s="3" t="e">
        <f>VLOOKUP(H104,AzureRegions!$A$4:$B$1493,2,FALSE)</f>
        <v>#N/A</v>
      </c>
      <c r="T104" s="3" t="e">
        <f>VLOOKUP(H104,AzureRegions!$A$4:$C$1493,3,FALSE)</f>
        <v>#N/A</v>
      </c>
      <c r="U104" s="3" t="e">
        <f>VLOOKUP(I104,Resources!$A$2:$AA$1503,2,FALSE)</f>
        <v>#N/A</v>
      </c>
      <c r="V104" s="3" t="e">
        <f>VLOOKUP(I104,Resources!$A$2:$H$1503,6,FALSE)</f>
        <v>#N/A</v>
      </c>
      <c r="W104" s="3" t="str">
        <f>VLOOKUP($H$2,Casing!$A$4:$A$60,1,FALSE)</f>
        <v>Lower</v>
      </c>
      <c r="X104" s="14" t="str">
        <f t="shared" si="3"/>
        <v>001</v>
      </c>
      <c r="Y104" s="3" t="str">
        <f>IFERROR(VLOOKUP(F104,Func!$A$4:$G$1500,2,FALSE),"none")</f>
        <v>none</v>
      </c>
      <c r="Z104" s="3" t="e">
        <f>VLOOKUP(I104,Resources!$A$2:$AA$1503,18,FALSE)</f>
        <v>#N/A</v>
      </c>
      <c r="AA104" s="3" t="str">
        <f>IFERROR(VLOOKUP(B104,Orgs!$A$4:$G$1500,2,FALSE),"none")</f>
        <v>none</v>
      </c>
      <c r="AB104" s="3" t="str">
        <f>IFERROR(VLOOKUP(C104,UnitsDepts!$A$4:$G$1500,2,FALSE),"none")</f>
        <v>none</v>
      </c>
      <c r="AC104" s="3" t="str">
        <f>IFERROR(VLOOKUP(D104,ProjAppSvc!$A$4:$G$1500,2,FALSE),"none")</f>
        <v>none</v>
      </c>
    </row>
    <row r="105" spans="1:29" x14ac:dyDescent="0.45">
      <c r="A105" s="14" t="s">
        <v>23</v>
      </c>
      <c r="B105" s="14"/>
      <c r="C105" s="14"/>
      <c r="D105" s="14"/>
      <c r="H105" s="8"/>
      <c r="I105" s="3"/>
      <c r="J105" s="3" t="str">
        <f t="shared" si="4"/>
        <v/>
      </c>
      <c r="K105" s="3" t="str">
        <f>IF(ISNUMBER(SEARCH("-",V105)),IFERROR(IF($H$2="Lower", LOWER(ComputeResourceName(Z105,#REF!,#REF!,G105,N105,O105,P105,Q105,S105,T105,V105,A105)), UPPER(ComputeResourceName(Z105,#REF!,#REF!,G105,N105,O105,P105,Q105,S105,T105,V105,A105))),""),SUBSTITUTE(IFERROR(IF($H$2="Lower", LOWER(ComputeResourceName(#REF!,#REF!,#REF!,G105,N105,O105,P105,Q105,S105,T105,V105,A105)), UPPER(ComputeResourceName(#REF!,#REF!,#REF!,G105,N105,O105,P105,Q105,S105,T105,V105,A105))),""), "-",""))</f>
        <v/>
      </c>
      <c r="L105" s="3" t="str">
        <f xml:space="preserve"> IF(K105="","",  IFERROR(VLOOKUP(I105,Resources!$B$1:$H$1503,5,FALSE)-LEN(K105),0))</f>
        <v/>
      </c>
      <c r="M105" s="3" t="str">
        <f>IF(K105="","",IFERROR(matches(K105,VLOOKUP(I105,Resources!$A$2:$AA$1503,16,FALSE)),FALSE))</f>
        <v/>
      </c>
      <c r="N105" s="3" t="e">
        <f>VLOOKUP(E105,Enviroments!$A$3:$D$59,1,FALSE)</f>
        <v>#N/A</v>
      </c>
      <c r="O105" s="3" t="e">
        <f>VLOOKUP(E105,Enviroments!$A$3:$D$59,2,FALSE)</f>
        <v>#N/A</v>
      </c>
      <c r="P105" s="3" t="e">
        <f>VLOOKUP(E105,Enviroments!$A$3:$D$59,3,FALSE)</f>
        <v>#N/A</v>
      </c>
      <c r="Q105" s="3" t="e">
        <f>VLOOKUP(E105,Enviroments!$A$3:$D$59,4,FALSE)</f>
        <v>#N/A</v>
      </c>
      <c r="R105" s="3" t="e">
        <f>VLOOKUP(H105,AzureRegions!$A$4:$B$1493,1,FALSE)</f>
        <v>#N/A</v>
      </c>
      <c r="S105" s="3" t="e">
        <f>VLOOKUP(H105,AzureRegions!$A$4:$B$1493,2,FALSE)</f>
        <v>#N/A</v>
      </c>
      <c r="T105" s="3" t="e">
        <f>VLOOKUP(H105,AzureRegions!$A$4:$C$1493,3,FALSE)</f>
        <v>#N/A</v>
      </c>
      <c r="U105" s="3" t="e">
        <f>VLOOKUP(I105,Resources!$A$2:$AA$1503,2,FALSE)</f>
        <v>#N/A</v>
      </c>
      <c r="V105" s="3" t="e">
        <f>VLOOKUP(I105,Resources!$A$2:$H$1503,6,FALSE)</f>
        <v>#N/A</v>
      </c>
      <c r="W105" s="3" t="str">
        <f>VLOOKUP($H$2,Casing!$A$4:$A$60,1,FALSE)</f>
        <v>Lower</v>
      </c>
      <c r="X105" s="14" t="str">
        <f t="shared" si="3"/>
        <v>001</v>
      </c>
      <c r="Y105" s="3" t="str">
        <f>IFERROR(VLOOKUP(F105,Func!$A$4:$G$1500,2,FALSE),"none")</f>
        <v>none</v>
      </c>
      <c r="Z105" s="3" t="e">
        <f>VLOOKUP(I105,Resources!$A$2:$AA$1503,18,FALSE)</f>
        <v>#N/A</v>
      </c>
      <c r="AA105" s="3" t="str">
        <f>IFERROR(VLOOKUP(B105,Orgs!$A$4:$G$1500,2,FALSE),"none")</f>
        <v>none</v>
      </c>
      <c r="AB105" s="3" t="str">
        <f>IFERROR(VLOOKUP(C105,UnitsDepts!$A$4:$G$1500,2,FALSE),"none")</f>
        <v>none</v>
      </c>
      <c r="AC105" s="3" t="str">
        <f>IFERROR(VLOOKUP(D105,ProjAppSvc!$A$4:$G$1500,2,FALSE),"none")</f>
        <v>none</v>
      </c>
    </row>
    <row r="106" spans="1:29" x14ac:dyDescent="0.45">
      <c r="A106" s="14" t="s">
        <v>23</v>
      </c>
      <c r="B106" s="14"/>
      <c r="C106" s="14"/>
      <c r="D106" s="14"/>
      <c r="H106" s="8"/>
      <c r="I106" s="3"/>
      <c r="J106" s="3" t="str">
        <f t="shared" si="4"/>
        <v/>
      </c>
      <c r="K106" s="3" t="str">
        <f>IF(ISNUMBER(SEARCH("-",V106)),IFERROR(IF($H$2="Lower", LOWER(ComputeResourceName(Z106,#REF!,#REF!,G106,N106,O106,P106,Q106,S106,T106,V106,A106)), UPPER(ComputeResourceName(Z106,#REF!,#REF!,G106,N106,O106,P106,Q106,S106,T106,V106,A106))),""),SUBSTITUTE(IFERROR(IF($H$2="Lower", LOWER(ComputeResourceName(#REF!,#REF!,#REF!,G106,N106,O106,P106,Q106,S106,T106,V106,A106)), UPPER(ComputeResourceName(#REF!,#REF!,#REF!,G106,N106,O106,P106,Q106,S106,T106,V106,A106))),""), "-",""))</f>
        <v/>
      </c>
      <c r="L106" s="3" t="str">
        <f xml:space="preserve"> IF(K106="","",  IFERROR(VLOOKUP(I106,Resources!$B$1:$H$1503,5,FALSE)-LEN(K106),0))</f>
        <v/>
      </c>
      <c r="M106" s="3" t="str">
        <f>IF(K106="","",IFERROR(matches(K106,VLOOKUP(I106,Resources!$A$2:$AA$1503,16,FALSE)),FALSE))</f>
        <v/>
      </c>
      <c r="N106" s="3" t="e">
        <f>VLOOKUP(E106,Enviroments!$A$3:$D$59,1,FALSE)</f>
        <v>#N/A</v>
      </c>
      <c r="O106" s="3" t="e">
        <f>VLOOKUP(E106,Enviroments!$A$3:$D$59,2,FALSE)</f>
        <v>#N/A</v>
      </c>
      <c r="P106" s="3" t="e">
        <f>VLOOKUP(E106,Enviroments!$A$3:$D$59,3,FALSE)</f>
        <v>#N/A</v>
      </c>
      <c r="Q106" s="3" t="e">
        <f>VLOOKUP(E106,Enviroments!$A$3:$D$59,4,FALSE)</f>
        <v>#N/A</v>
      </c>
      <c r="R106" s="3" t="e">
        <f>VLOOKUP(H106,AzureRegions!$A$4:$B$1493,1,FALSE)</f>
        <v>#N/A</v>
      </c>
      <c r="S106" s="3" t="e">
        <f>VLOOKUP(H106,AzureRegions!$A$4:$B$1493,2,FALSE)</f>
        <v>#N/A</v>
      </c>
      <c r="T106" s="3" t="e">
        <f>VLOOKUP(H106,AzureRegions!$A$4:$C$1493,3,FALSE)</f>
        <v>#N/A</v>
      </c>
      <c r="U106" s="3" t="e">
        <f>VLOOKUP(I106,Resources!$A$2:$AA$1503,2,FALSE)</f>
        <v>#N/A</v>
      </c>
      <c r="V106" s="3" t="e">
        <f>VLOOKUP(I106,Resources!$A$2:$H$1503,6,FALSE)</f>
        <v>#N/A</v>
      </c>
      <c r="W106" s="3" t="str">
        <f>VLOOKUP($H$2,Casing!$A$4:$A$60,1,FALSE)</f>
        <v>Lower</v>
      </c>
      <c r="X106" s="14" t="str">
        <f t="shared" si="3"/>
        <v>001</v>
      </c>
      <c r="Y106" s="3" t="str">
        <f>IFERROR(VLOOKUP(F106,Func!$A$4:$G$1500,2,FALSE),"none")</f>
        <v>none</v>
      </c>
      <c r="Z106" s="3" t="e">
        <f>VLOOKUP(I106,Resources!$A$2:$AA$1503,18,FALSE)</f>
        <v>#N/A</v>
      </c>
      <c r="AA106" s="3" t="str">
        <f>IFERROR(VLOOKUP(B106,Orgs!$A$4:$G$1500,2,FALSE),"none")</f>
        <v>none</v>
      </c>
      <c r="AB106" s="3" t="str">
        <f>IFERROR(VLOOKUP(C106,UnitsDepts!$A$4:$G$1500,2,FALSE),"none")</f>
        <v>none</v>
      </c>
      <c r="AC106" s="3" t="str">
        <f>IFERROR(VLOOKUP(D106,ProjAppSvc!$A$4:$G$1500,2,FALSE),"none")</f>
        <v>none</v>
      </c>
    </row>
    <row r="107" spans="1:29" x14ac:dyDescent="0.45">
      <c r="A107" s="14" t="s">
        <v>23</v>
      </c>
      <c r="B107" s="14"/>
      <c r="C107" s="14"/>
      <c r="D107" s="14"/>
      <c r="H107" s="8"/>
      <c r="I107" s="3"/>
      <c r="J107" s="3" t="str">
        <f t="shared" si="4"/>
        <v/>
      </c>
      <c r="K107" s="3" t="str">
        <f>IF(ISNUMBER(SEARCH("-",V107)),IFERROR(IF($H$2="Lower", LOWER(ComputeResourceName(Z107,#REF!,#REF!,G107,N107,O107,P107,Q107,S107,T107,V107,A107)), UPPER(ComputeResourceName(Z107,#REF!,#REF!,G107,N107,O107,P107,Q107,S107,T107,V107,A107))),""),SUBSTITUTE(IFERROR(IF($H$2="Lower", LOWER(ComputeResourceName(#REF!,#REF!,#REF!,G107,N107,O107,P107,Q107,S107,T107,V107,A107)), UPPER(ComputeResourceName(#REF!,#REF!,#REF!,G107,N107,O107,P107,Q107,S107,T107,V107,A107))),""), "-",""))</f>
        <v/>
      </c>
      <c r="L107" s="3" t="str">
        <f xml:space="preserve"> IF(K107="","",  IFERROR(VLOOKUP(I107,Resources!$B$1:$H$1503,5,FALSE)-LEN(K107),0))</f>
        <v/>
      </c>
      <c r="M107" s="3" t="str">
        <f>IF(K107="","",IFERROR(matches(K107,VLOOKUP(I107,Resources!$A$2:$AA$1503,16,FALSE)),FALSE))</f>
        <v/>
      </c>
      <c r="N107" s="3" t="e">
        <f>VLOOKUP(E107,Enviroments!$A$3:$D$59,1,FALSE)</f>
        <v>#N/A</v>
      </c>
      <c r="O107" s="3" t="e">
        <f>VLOOKUP(E107,Enviroments!$A$3:$D$59,2,FALSE)</f>
        <v>#N/A</v>
      </c>
      <c r="P107" s="3" t="e">
        <f>VLOOKUP(E107,Enviroments!$A$3:$D$59,3,FALSE)</f>
        <v>#N/A</v>
      </c>
      <c r="Q107" s="3" t="e">
        <f>VLOOKUP(E107,Enviroments!$A$3:$D$59,4,FALSE)</f>
        <v>#N/A</v>
      </c>
      <c r="R107" s="3" t="e">
        <f>VLOOKUP(H107,AzureRegions!$A$4:$B$1493,1,FALSE)</f>
        <v>#N/A</v>
      </c>
      <c r="S107" s="3" t="e">
        <f>VLOOKUP(H107,AzureRegions!$A$4:$B$1493,2,FALSE)</f>
        <v>#N/A</v>
      </c>
      <c r="T107" s="3" t="e">
        <f>VLOOKUP(H107,AzureRegions!$A$4:$C$1493,3,FALSE)</f>
        <v>#N/A</v>
      </c>
      <c r="U107" s="3" t="e">
        <f>VLOOKUP(I107,Resources!$A$2:$AA$1503,2,FALSE)</f>
        <v>#N/A</v>
      </c>
      <c r="V107" s="3" t="e">
        <f>VLOOKUP(I107,Resources!$A$2:$H$1503,6,FALSE)</f>
        <v>#N/A</v>
      </c>
      <c r="W107" s="3" t="str">
        <f>VLOOKUP($H$2,Casing!$A$4:$A$60,1,FALSE)</f>
        <v>Lower</v>
      </c>
      <c r="X107" s="14" t="str">
        <f t="shared" si="3"/>
        <v>001</v>
      </c>
      <c r="Y107" s="3" t="str">
        <f>IFERROR(VLOOKUP(F107,Func!$A$4:$G$1500,2,FALSE),"none")</f>
        <v>none</v>
      </c>
      <c r="Z107" s="3" t="e">
        <f>VLOOKUP(I107,Resources!$A$2:$AA$1503,18,FALSE)</f>
        <v>#N/A</v>
      </c>
      <c r="AA107" s="3" t="str">
        <f>IFERROR(VLOOKUP(B107,Orgs!$A$4:$G$1500,2,FALSE),"none")</f>
        <v>none</v>
      </c>
      <c r="AB107" s="3" t="str">
        <f>IFERROR(VLOOKUP(C107,UnitsDepts!$A$4:$G$1500,2,FALSE),"none")</f>
        <v>none</v>
      </c>
      <c r="AC107" s="3" t="str">
        <f>IFERROR(VLOOKUP(D107,ProjAppSvc!$A$4:$G$1500,2,FALSE),"none")</f>
        <v>none</v>
      </c>
    </row>
    <row r="108" spans="1:29" x14ac:dyDescent="0.45">
      <c r="A108" s="14" t="s">
        <v>23</v>
      </c>
      <c r="B108" s="14"/>
      <c r="C108" s="14"/>
      <c r="D108" s="14"/>
      <c r="H108" s="8"/>
      <c r="I108" s="3"/>
      <c r="J108" s="3" t="str">
        <f t="shared" si="4"/>
        <v/>
      </c>
      <c r="K108" s="3" t="str">
        <f>IF(ISNUMBER(SEARCH("-",V108)),IFERROR(IF($H$2="Lower", LOWER(ComputeResourceName(Z108,#REF!,#REF!,G108,N108,O108,P108,Q108,S108,T108,V108,A108)), UPPER(ComputeResourceName(Z108,#REF!,#REF!,G108,N108,O108,P108,Q108,S108,T108,V108,A108))),""),SUBSTITUTE(IFERROR(IF($H$2="Lower", LOWER(ComputeResourceName(#REF!,#REF!,#REF!,G108,N108,O108,P108,Q108,S108,T108,V108,A108)), UPPER(ComputeResourceName(#REF!,#REF!,#REF!,G108,N108,O108,P108,Q108,S108,T108,V108,A108))),""), "-",""))</f>
        <v/>
      </c>
      <c r="L108" s="3" t="str">
        <f xml:space="preserve"> IF(K108="","",  IFERROR(VLOOKUP(I108,Resources!$B$1:$H$1503,5,FALSE)-LEN(K108),0))</f>
        <v/>
      </c>
      <c r="M108" s="3" t="str">
        <f>IF(K108="","",IFERROR(matches(K108,VLOOKUP(I108,Resources!$A$2:$AA$1503,16,FALSE)),FALSE))</f>
        <v/>
      </c>
      <c r="N108" s="3" t="e">
        <f>VLOOKUP(E108,Enviroments!$A$3:$D$59,1,FALSE)</f>
        <v>#N/A</v>
      </c>
      <c r="O108" s="3" t="e">
        <f>VLOOKUP(E108,Enviroments!$A$3:$D$59,2,FALSE)</f>
        <v>#N/A</v>
      </c>
      <c r="P108" s="3" t="e">
        <f>VLOOKUP(E108,Enviroments!$A$3:$D$59,3,FALSE)</f>
        <v>#N/A</v>
      </c>
      <c r="Q108" s="3" t="e">
        <f>VLOOKUP(E108,Enviroments!$A$3:$D$59,4,FALSE)</f>
        <v>#N/A</v>
      </c>
      <c r="R108" s="3" t="e">
        <f>VLOOKUP(H108,AzureRegions!$A$4:$B$1493,1,FALSE)</f>
        <v>#N/A</v>
      </c>
      <c r="S108" s="3" t="e">
        <f>VLOOKUP(H108,AzureRegions!$A$4:$B$1493,2,FALSE)</f>
        <v>#N/A</v>
      </c>
      <c r="T108" s="3" t="e">
        <f>VLOOKUP(H108,AzureRegions!$A$4:$C$1493,3,FALSE)</f>
        <v>#N/A</v>
      </c>
      <c r="U108" s="3" t="e">
        <f>VLOOKUP(I108,Resources!$A$2:$AA$1503,2,FALSE)</f>
        <v>#N/A</v>
      </c>
      <c r="V108" s="3" t="e">
        <f>VLOOKUP(I108,Resources!$A$2:$H$1503,6,FALSE)</f>
        <v>#N/A</v>
      </c>
      <c r="W108" s="3" t="str">
        <f>VLOOKUP($H$2,Casing!$A$4:$A$60,1,FALSE)</f>
        <v>Lower</v>
      </c>
      <c r="X108" s="14" t="str">
        <f t="shared" si="3"/>
        <v>001</v>
      </c>
      <c r="Y108" s="3" t="str">
        <f>IFERROR(VLOOKUP(F108,Func!$A$4:$G$1500,2,FALSE),"none")</f>
        <v>none</v>
      </c>
      <c r="Z108" s="3" t="e">
        <f>VLOOKUP(I108,Resources!$A$2:$AA$1503,18,FALSE)</f>
        <v>#N/A</v>
      </c>
      <c r="AA108" s="3" t="str">
        <f>IFERROR(VLOOKUP(B108,Orgs!$A$4:$G$1500,2,FALSE),"none")</f>
        <v>none</v>
      </c>
      <c r="AB108" s="3" t="str">
        <f>IFERROR(VLOOKUP(C108,UnitsDepts!$A$4:$G$1500,2,FALSE),"none")</f>
        <v>none</v>
      </c>
      <c r="AC108" s="3" t="str">
        <f>IFERROR(VLOOKUP(D108,ProjAppSvc!$A$4:$G$1500,2,FALSE),"none")</f>
        <v>none</v>
      </c>
    </row>
    <row r="109" spans="1:29" x14ac:dyDescent="0.45">
      <c r="A109" s="14" t="s">
        <v>23</v>
      </c>
      <c r="B109" s="14"/>
      <c r="C109" s="14"/>
      <c r="D109" s="14"/>
      <c r="H109" s="8"/>
      <c r="I109" s="3"/>
      <c r="J109" s="3" t="str">
        <f t="shared" si="4"/>
        <v/>
      </c>
      <c r="K109" s="3" t="str">
        <f>IF(ISNUMBER(SEARCH("-",V109)),IFERROR(IF($H$2="Lower", LOWER(ComputeResourceName(Z109,#REF!,#REF!,G109,N109,O109,P109,Q109,S109,T109,V109,A109)), UPPER(ComputeResourceName(Z109,#REF!,#REF!,G109,N109,O109,P109,Q109,S109,T109,V109,A109))),""),SUBSTITUTE(IFERROR(IF($H$2="Lower", LOWER(ComputeResourceName(#REF!,#REF!,#REF!,G109,N109,O109,P109,Q109,S109,T109,V109,A109)), UPPER(ComputeResourceName(#REF!,#REF!,#REF!,G109,N109,O109,P109,Q109,S109,T109,V109,A109))),""), "-",""))</f>
        <v/>
      </c>
      <c r="L109" s="3" t="str">
        <f xml:space="preserve"> IF(K109="","",  IFERROR(VLOOKUP(I109,Resources!$B$1:$H$1503,5,FALSE)-LEN(K109),0))</f>
        <v/>
      </c>
      <c r="M109" s="3" t="str">
        <f>IF(K109="","",IFERROR(matches(K109,VLOOKUP(I109,Resources!$A$2:$AA$1503,16,FALSE)),FALSE))</f>
        <v/>
      </c>
      <c r="N109" s="3" t="e">
        <f>VLOOKUP(E109,Enviroments!$A$3:$D$59,1,FALSE)</f>
        <v>#N/A</v>
      </c>
      <c r="O109" s="3" t="e">
        <f>VLOOKUP(E109,Enviroments!$A$3:$D$59,2,FALSE)</f>
        <v>#N/A</v>
      </c>
      <c r="P109" s="3" t="e">
        <f>VLOOKUP(E109,Enviroments!$A$3:$D$59,3,FALSE)</f>
        <v>#N/A</v>
      </c>
      <c r="Q109" s="3" t="e">
        <f>VLOOKUP(E109,Enviroments!$A$3:$D$59,4,FALSE)</f>
        <v>#N/A</v>
      </c>
      <c r="R109" s="3" t="e">
        <f>VLOOKUP(H109,AzureRegions!$A$4:$B$1493,1,FALSE)</f>
        <v>#N/A</v>
      </c>
      <c r="S109" s="3" t="e">
        <f>VLOOKUP(H109,AzureRegions!$A$4:$B$1493,2,FALSE)</f>
        <v>#N/A</v>
      </c>
      <c r="T109" s="3" t="e">
        <f>VLOOKUP(H109,AzureRegions!$A$4:$C$1493,3,FALSE)</f>
        <v>#N/A</v>
      </c>
      <c r="U109" s="3" t="e">
        <f>VLOOKUP(I109,Resources!$A$2:$AA$1503,2,FALSE)</f>
        <v>#N/A</v>
      </c>
      <c r="V109" s="3" t="e">
        <f>VLOOKUP(I109,Resources!$A$2:$H$1503,6,FALSE)</f>
        <v>#N/A</v>
      </c>
      <c r="W109" s="3" t="str">
        <f>VLOOKUP($H$2,Casing!$A$4:$A$60,1,FALSE)</f>
        <v>Lower</v>
      </c>
      <c r="X109" s="14" t="str">
        <f t="shared" si="3"/>
        <v>001</v>
      </c>
      <c r="Y109" s="3" t="str">
        <f>IFERROR(VLOOKUP(F109,Func!$A$4:$G$1500,2,FALSE),"none")</f>
        <v>none</v>
      </c>
      <c r="Z109" s="3" t="e">
        <f>VLOOKUP(I109,Resources!$A$2:$AA$1503,18,FALSE)</f>
        <v>#N/A</v>
      </c>
      <c r="AA109" s="3" t="str">
        <f>IFERROR(VLOOKUP(B109,Orgs!$A$4:$G$1500,2,FALSE),"none")</f>
        <v>none</v>
      </c>
      <c r="AB109" s="3" t="str">
        <f>IFERROR(VLOOKUP(C109,UnitsDepts!$A$4:$G$1500,2,FALSE),"none")</f>
        <v>none</v>
      </c>
      <c r="AC109" s="3" t="str">
        <f>IFERROR(VLOOKUP(D109,ProjAppSvc!$A$4:$G$1500,2,FALSE),"none")</f>
        <v>none</v>
      </c>
    </row>
    <row r="110" spans="1:29" x14ac:dyDescent="0.45">
      <c r="A110" s="14" t="s">
        <v>23</v>
      </c>
      <c r="B110" s="14"/>
      <c r="C110" s="14"/>
      <c r="D110" s="14"/>
      <c r="H110" s="8"/>
      <c r="I110" s="3"/>
      <c r="J110" s="3" t="str">
        <f t="shared" si="4"/>
        <v/>
      </c>
      <c r="K110" s="3" t="str">
        <f>IF(ISNUMBER(SEARCH("-",V110)),IFERROR(IF($H$2="Lower", LOWER(ComputeResourceName(Z110,#REF!,#REF!,G110,N110,O110,P110,Q110,S110,T110,V110,A110)), UPPER(ComputeResourceName(Z110,#REF!,#REF!,G110,N110,O110,P110,Q110,S110,T110,V110,A110))),""),SUBSTITUTE(IFERROR(IF($H$2="Lower", LOWER(ComputeResourceName(#REF!,#REF!,#REF!,G110,N110,O110,P110,Q110,S110,T110,V110,A110)), UPPER(ComputeResourceName(#REF!,#REF!,#REF!,G110,N110,O110,P110,Q110,S110,T110,V110,A110))),""), "-",""))</f>
        <v/>
      </c>
      <c r="L110" s="3" t="str">
        <f xml:space="preserve"> IF(K110="","",  IFERROR(VLOOKUP(I110,Resources!$B$1:$H$1503,5,FALSE)-LEN(K110),0))</f>
        <v/>
      </c>
      <c r="M110" s="3" t="str">
        <f>IF(K110="","",IFERROR(matches(K110,VLOOKUP(I110,Resources!$A$2:$AA$1503,16,FALSE)),FALSE))</f>
        <v/>
      </c>
      <c r="N110" s="3" t="e">
        <f>VLOOKUP(E110,Enviroments!$A$3:$D$59,1,FALSE)</f>
        <v>#N/A</v>
      </c>
      <c r="O110" s="3" t="e">
        <f>VLOOKUP(E110,Enviroments!$A$3:$D$59,2,FALSE)</f>
        <v>#N/A</v>
      </c>
      <c r="P110" s="3" t="e">
        <f>VLOOKUP(E110,Enviroments!$A$3:$D$59,3,FALSE)</f>
        <v>#N/A</v>
      </c>
      <c r="Q110" s="3" t="e">
        <f>VLOOKUP(E110,Enviroments!$A$3:$D$59,4,FALSE)</f>
        <v>#N/A</v>
      </c>
      <c r="R110" s="3" t="e">
        <f>VLOOKUP(H110,AzureRegions!$A$4:$B$1493,1,FALSE)</f>
        <v>#N/A</v>
      </c>
      <c r="S110" s="3" t="e">
        <f>VLOOKUP(H110,AzureRegions!$A$4:$B$1493,2,FALSE)</f>
        <v>#N/A</v>
      </c>
      <c r="T110" s="3" t="e">
        <f>VLOOKUP(H110,AzureRegions!$A$4:$C$1493,3,FALSE)</f>
        <v>#N/A</v>
      </c>
      <c r="U110" s="3" t="e">
        <f>VLOOKUP(I110,Resources!$A$2:$AA$1503,2,FALSE)</f>
        <v>#N/A</v>
      </c>
      <c r="V110" s="3" t="e">
        <f>VLOOKUP(I110,Resources!$A$2:$H$1503,6,FALSE)</f>
        <v>#N/A</v>
      </c>
      <c r="W110" s="3" t="str">
        <f>VLOOKUP($H$2,Casing!$A$4:$A$60,1,FALSE)</f>
        <v>Lower</v>
      </c>
      <c r="X110" s="14" t="str">
        <f t="shared" si="3"/>
        <v>001</v>
      </c>
      <c r="Y110" s="3" t="str">
        <f>IFERROR(VLOOKUP(F110,Func!$A$4:$G$1500,2,FALSE),"none")</f>
        <v>none</v>
      </c>
      <c r="Z110" s="3" t="e">
        <f>VLOOKUP(I110,Resources!$A$2:$AA$1503,18,FALSE)</f>
        <v>#N/A</v>
      </c>
      <c r="AA110" s="3" t="str">
        <f>IFERROR(VLOOKUP(B110,Orgs!$A$4:$G$1500,2,FALSE),"none")</f>
        <v>none</v>
      </c>
      <c r="AB110" s="3" t="str">
        <f>IFERROR(VLOOKUP(C110,UnitsDepts!$A$4:$G$1500,2,FALSE),"none")</f>
        <v>none</v>
      </c>
      <c r="AC110" s="3" t="str">
        <f>IFERROR(VLOOKUP(D110,ProjAppSvc!$A$4:$G$1500,2,FALSE),"none")</f>
        <v>none</v>
      </c>
    </row>
    <row r="111" spans="1:29" x14ac:dyDescent="0.45">
      <c r="A111" s="14" t="s">
        <v>23</v>
      </c>
      <c r="B111" s="14"/>
      <c r="C111" s="14"/>
      <c r="D111" s="14"/>
      <c r="H111" s="8"/>
      <c r="I111" s="3"/>
      <c r="J111" s="3" t="str">
        <f t="shared" si="4"/>
        <v/>
      </c>
      <c r="K111" s="3" t="str">
        <f>IF(ISNUMBER(SEARCH("-",V111)),IFERROR(IF($H$2="Lower", LOWER(ComputeResourceName(Z111,#REF!,#REF!,G111,N111,O111,P111,Q111,S111,T111,V111,A111)), UPPER(ComputeResourceName(Z111,#REF!,#REF!,G111,N111,O111,P111,Q111,S111,T111,V111,A111))),""),SUBSTITUTE(IFERROR(IF($H$2="Lower", LOWER(ComputeResourceName(#REF!,#REF!,#REF!,G111,N111,O111,P111,Q111,S111,T111,V111,A111)), UPPER(ComputeResourceName(#REF!,#REF!,#REF!,G111,N111,O111,P111,Q111,S111,T111,V111,A111))),""), "-",""))</f>
        <v/>
      </c>
      <c r="L111" s="3" t="str">
        <f xml:space="preserve"> IF(K111="","",  IFERROR(VLOOKUP(I111,Resources!$B$1:$H$1503,5,FALSE)-LEN(K111),0))</f>
        <v/>
      </c>
      <c r="M111" s="3" t="str">
        <f>IF(K111="","",IFERROR(matches(K111,VLOOKUP(I111,Resources!$A$2:$AA$1503,16,FALSE)),FALSE))</f>
        <v/>
      </c>
      <c r="N111" s="3" t="e">
        <f>VLOOKUP(E111,Enviroments!$A$3:$D$59,1,FALSE)</f>
        <v>#N/A</v>
      </c>
      <c r="O111" s="3" t="e">
        <f>VLOOKUP(E111,Enviroments!$A$3:$D$59,2,FALSE)</f>
        <v>#N/A</v>
      </c>
      <c r="P111" s="3" t="e">
        <f>VLOOKUP(E111,Enviroments!$A$3:$D$59,3,FALSE)</f>
        <v>#N/A</v>
      </c>
      <c r="Q111" s="3" t="e">
        <f>VLOOKUP(E111,Enviroments!$A$3:$D$59,4,FALSE)</f>
        <v>#N/A</v>
      </c>
      <c r="R111" s="3" t="e">
        <f>VLOOKUP(H111,AzureRegions!$A$4:$B$1493,1,FALSE)</f>
        <v>#N/A</v>
      </c>
      <c r="S111" s="3" t="e">
        <f>VLOOKUP(H111,AzureRegions!$A$4:$B$1493,2,FALSE)</f>
        <v>#N/A</v>
      </c>
      <c r="T111" s="3" t="e">
        <f>VLOOKUP(H111,AzureRegions!$A$4:$C$1493,3,FALSE)</f>
        <v>#N/A</v>
      </c>
      <c r="U111" s="3" t="e">
        <f>VLOOKUP(I111,Resources!$A$2:$AA$1503,2,FALSE)</f>
        <v>#N/A</v>
      </c>
      <c r="V111" s="3" t="e">
        <f>VLOOKUP(I111,Resources!$A$2:$H$1503,6,FALSE)</f>
        <v>#N/A</v>
      </c>
      <c r="W111" s="3" t="str">
        <f>VLOOKUP($H$2,Casing!$A$4:$A$60,1,FALSE)</f>
        <v>Lower</v>
      </c>
      <c r="X111" s="14" t="str">
        <f t="shared" si="3"/>
        <v>001</v>
      </c>
      <c r="Y111" s="3" t="str">
        <f>IFERROR(VLOOKUP(F111,Func!$A$4:$G$1500,2,FALSE),"none")</f>
        <v>none</v>
      </c>
      <c r="Z111" s="3" t="e">
        <f>VLOOKUP(I111,Resources!$A$2:$AA$1503,18,FALSE)</f>
        <v>#N/A</v>
      </c>
      <c r="AA111" s="3" t="str">
        <f>IFERROR(VLOOKUP(B111,Orgs!$A$4:$G$1500,2,FALSE),"none")</f>
        <v>none</v>
      </c>
      <c r="AB111" s="3" t="str">
        <f>IFERROR(VLOOKUP(C111,UnitsDepts!$A$4:$G$1500,2,FALSE),"none")</f>
        <v>none</v>
      </c>
      <c r="AC111" s="3" t="str">
        <f>IFERROR(VLOOKUP(D111,ProjAppSvc!$A$4:$G$1500,2,FALSE),"none")</f>
        <v>none</v>
      </c>
    </row>
    <row r="112" spans="1:29" x14ac:dyDescent="0.45">
      <c r="A112" s="14" t="s">
        <v>23</v>
      </c>
      <c r="B112" s="14"/>
      <c r="C112" s="14"/>
      <c r="D112" s="14"/>
      <c r="H112" s="8"/>
      <c r="I112" s="3"/>
      <c r="J112" s="3" t="str">
        <f t="shared" si="4"/>
        <v/>
      </c>
      <c r="K112" s="3" t="str">
        <f>IF(ISNUMBER(SEARCH("-",V112)),IFERROR(IF($H$2="Lower", LOWER(ComputeResourceName(Z112,#REF!,#REF!,G112,N112,O112,P112,Q112,S112,T112,V112,A112)), UPPER(ComputeResourceName(Z112,#REF!,#REF!,G112,N112,O112,P112,Q112,S112,T112,V112,A112))),""),SUBSTITUTE(IFERROR(IF($H$2="Lower", LOWER(ComputeResourceName(#REF!,#REF!,#REF!,G112,N112,O112,P112,Q112,S112,T112,V112,A112)), UPPER(ComputeResourceName(#REF!,#REF!,#REF!,G112,N112,O112,P112,Q112,S112,T112,V112,A112))),""), "-",""))</f>
        <v/>
      </c>
      <c r="L112" s="3" t="str">
        <f xml:space="preserve"> IF(K112="","",  IFERROR(VLOOKUP(I112,Resources!$B$1:$H$1503,5,FALSE)-LEN(K112),0))</f>
        <v/>
      </c>
      <c r="M112" s="3" t="str">
        <f>IF(K112="","",IFERROR(matches(K112,VLOOKUP(I112,Resources!$A$2:$AA$1503,16,FALSE)),FALSE))</f>
        <v/>
      </c>
      <c r="N112" s="3" t="e">
        <f>VLOOKUP(E112,Enviroments!$A$3:$D$59,1,FALSE)</f>
        <v>#N/A</v>
      </c>
      <c r="O112" s="3" t="e">
        <f>VLOOKUP(E112,Enviroments!$A$3:$D$59,2,FALSE)</f>
        <v>#N/A</v>
      </c>
      <c r="P112" s="3" t="e">
        <f>VLOOKUP(E112,Enviroments!$A$3:$D$59,3,FALSE)</f>
        <v>#N/A</v>
      </c>
      <c r="Q112" s="3" t="e">
        <f>VLOOKUP(E112,Enviroments!$A$3:$D$59,4,FALSE)</f>
        <v>#N/A</v>
      </c>
      <c r="R112" s="3" t="e">
        <f>VLOOKUP(H112,AzureRegions!$A$4:$B$1493,1,FALSE)</f>
        <v>#N/A</v>
      </c>
      <c r="S112" s="3" t="e">
        <f>VLOOKUP(H112,AzureRegions!$A$4:$B$1493,2,FALSE)</f>
        <v>#N/A</v>
      </c>
      <c r="T112" s="3" t="e">
        <f>VLOOKUP(H112,AzureRegions!$A$4:$C$1493,3,FALSE)</f>
        <v>#N/A</v>
      </c>
      <c r="U112" s="3" t="e">
        <f>VLOOKUP(I112,Resources!$A$2:$AA$1503,2,FALSE)</f>
        <v>#N/A</v>
      </c>
      <c r="V112" s="3" t="e">
        <f>VLOOKUP(I112,Resources!$A$2:$H$1503,6,FALSE)</f>
        <v>#N/A</v>
      </c>
      <c r="W112" s="3" t="str">
        <f>VLOOKUP($H$2,Casing!$A$4:$A$60,1,FALSE)</f>
        <v>Lower</v>
      </c>
      <c r="X112" s="14" t="str">
        <f t="shared" si="3"/>
        <v>001</v>
      </c>
      <c r="Y112" s="3" t="str">
        <f>IFERROR(VLOOKUP(F112,Func!$A$4:$G$1500,2,FALSE),"none")</f>
        <v>none</v>
      </c>
      <c r="Z112" s="3" t="e">
        <f>VLOOKUP(I112,Resources!$A$2:$AA$1503,18,FALSE)</f>
        <v>#N/A</v>
      </c>
      <c r="AA112" s="3" t="str">
        <f>IFERROR(VLOOKUP(B112,Orgs!$A$4:$G$1500,2,FALSE),"none")</f>
        <v>none</v>
      </c>
      <c r="AB112" s="3" t="str">
        <f>IFERROR(VLOOKUP(C112,UnitsDepts!$A$4:$G$1500,2,FALSE),"none")</f>
        <v>none</v>
      </c>
      <c r="AC112" s="3" t="str">
        <f>IFERROR(VLOOKUP(D112,ProjAppSvc!$A$4:$G$1500,2,FALSE),"none")</f>
        <v>none</v>
      </c>
    </row>
    <row r="113" spans="1:29" x14ac:dyDescent="0.45">
      <c r="A113" s="14" t="s">
        <v>23</v>
      </c>
      <c r="B113" s="14"/>
      <c r="C113" s="14"/>
      <c r="D113" s="14"/>
      <c r="H113" s="8"/>
      <c r="I113" s="3"/>
      <c r="J113" s="3" t="str">
        <f t="shared" si="4"/>
        <v/>
      </c>
      <c r="K113" s="3" t="str">
        <f>IF(ISNUMBER(SEARCH("-",V113)),IFERROR(IF($H$2="Lower", LOWER(ComputeResourceName(Z113,#REF!,#REF!,G113,N113,O113,P113,Q113,S113,T113,V113,A113)), UPPER(ComputeResourceName(Z113,#REF!,#REF!,G113,N113,O113,P113,Q113,S113,T113,V113,A113))),""),SUBSTITUTE(IFERROR(IF($H$2="Lower", LOWER(ComputeResourceName(#REF!,#REF!,#REF!,G113,N113,O113,P113,Q113,S113,T113,V113,A113)), UPPER(ComputeResourceName(#REF!,#REF!,#REF!,G113,N113,O113,P113,Q113,S113,T113,V113,A113))),""), "-",""))</f>
        <v/>
      </c>
      <c r="L113" s="3" t="str">
        <f xml:space="preserve"> IF(K113="","",  IFERROR(VLOOKUP(I113,Resources!$B$1:$H$1503,5,FALSE)-LEN(K113),0))</f>
        <v/>
      </c>
      <c r="M113" s="3" t="str">
        <f>IF(K113="","",IFERROR(matches(K113,VLOOKUP(I113,Resources!$A$2:$AA$1503,16,FALSE)),FALSE))</f>
        <v/>
      </c>
      <c r="N113" s="3" t="e">
        <f>VLOOKUP(E113,Enviroments!$A$3:$D$59,1,FALSE)</f>
        <v>#N/A</v>
      </c>
      <c r="O113" s="3" t="e">
        <f>VLOOKUP(E113,Enviroments!$A$3:$D$59,2,FALSE)</f>
        <v>#N/A</v>
      </c>
      <c r="P113" s="3" t="e">
        <f>VLOOKUP(E113,Enviroments!$A$3:$D$59,3,FALSE)</f>
        <v>#N/A</v>
      </c>
      <c r="Q113" s="3" t="e">
        <f>VLOOKUP(E113,Enviroments!$A$3:$D$59,4,FALSE)</f>
        <v>#N/A</v>
      </c>
      <c r="R113" s="3" t="e">
        <f>VLOOKUP(H113,AzureRegions!$A$4:$B$1493,1,FALSE)</f>
        <v>#N/A</v>
      </c>
      <c r="S113" s="3" t="e">
        <f>VLOOKUP(H113,AzureRegions!$A$4:$B$1493,2,FALSE)</f>
        <v>#N/A</v>
      </c>
      <c r="T113" s="3" t="e">
        <f>VLOOKUP(H113,AzureRegions!$A$4:$C$1493,3,FALSE)</f>
        <v>#N/A</v>
      </c>
      <c r="U113" s="3" t="e">
        <f>VLOOKUP(I113,Resources!$A$2:$AA$1503,2,FALSE)</f>
        <v>#N/A</v>
      </c>
      <c r="V113" s="3" t="e">
        <f>VLOOKUP(I113,Resources!$A$2:$H$1503,6,FALSE)</f>
        <v>#N/A</v>
      </c>
      <c r="W113" s="3" t="str">
        <f>VLOOKUP($H$2,Casing!$A$4:$A$60,1,FALSE)</f>
        <v>Lower</v>
      </c>
      <c r="X113" s="14" t="str">
        <f t="shared" si="3"/>
        <v>001</v>
      </c>
      <c r="Y113" s="3" t="str">
        <f>IFERROR(VLOOKUP(F113,Func!$A$4:$G$1500,2,FALSE),"none")</f>
        <v>none</v>
      </c>
      <c r="Z113" s="3" t="e">
        <f>VLOOKUP(I113,Resources!$A$2:$AA$1503,18,FALSE)</f>
        <v>#N/A</v>
      </c>
      <c r="AA113" s="3" t="str">
        <f>IFERROR(VLOOKUP(B113,Orgs!$A$4:$G$1500,2,FALSE),"none")</f>
        <v>none</v>
      </c>
      <c r="AB113" s="3" t="str">
        <f>IFERROR(VLOOKUP(C113,UnitsDepts!$A$4:$G$1500,2,FALSE),"none")</f>
        <v>none</v>
      </c>
      <c r="AC113" s="3" t="str">
        <f>IFERROR(VLOOKUP(D113,ProjAppSvc!$A$4:$G$1500,2,FALSE),"none")</f>
        <v>none</v>
      </c>
    </row>
    <row r="114" spans="1:29" x14ac:dyDescent="0.45">
      <c r="A114" s="14" t="s">
        <v>23</v>
      </c>
      <c r="B114" s="14"/>
      <c r="C114" s="14"/>
      <c r="D114" s="14"/>
      <c r="H114" s="8"/>
      <c r="I114" s="3"/>
      <c r="J114" s="3" t="str">
        <f t="shared" si="4"/>
        <v/>
      </c>
      <c r="K114" s="3" t="str">
        <f>IF(ISNUMBER(SEARCH("-",V114)),IFERROR(IF($H$2="Lower", LOWER(ComputeResourceName(Z114,#REF!,#REF!,G114,N114,O114,P114,Q114,S114,T114,V114,A114)), UPPER(ComputeResourceName(Z114,#REF!,#REF!,G114,N114,O114,P114,Q114,S114,T114,V114,A114))),""),SUBSTITUTE(IFERROR(IF($H$2="Lower", LOWER(ComputeResourceName(#REF!,#REF!,#REF!,G114,N114,O114,P114,Q114,S114,T114,V114,A114)), UPPER(ComputeResourceName(#REF!,#REF!,#REF!,G114,N114,O114,P114,Q114,S114,T114,V114,A114))),""), "-",""))</f>
        <v/>
      </c>
      <c r="L114" s="3" t="str">
        <f xml:space="preserve"> IF(K114="","",  IFERROR(VLOOKUP(I114,Resources!$B$1:$H$1503,5,FALSE)-LEN(K114),0))</f>
        <v/>
      </c>
      <c r="M114" s="3" t="str">
        <f>IF(K114="","",IFERROR(matches(K114,VLOOKUP(I114,Resources!$A$2:$AA$1503,16,FALSE)),FALSE))</f>
        <v/>
      </c>
      <c r="N114" s="3" t="e">
        <f>VLOOKUP(E114,Enviroments!$A$3:$D$59,1,FALSE)</f>
        <v>#N/A</v>
      </c>
      <c r="O114" s="3" t="e">
        <f>VLOOKUP(E114,Enviroments!$A$3:$D$59,2,FALSE)</f>
        <v>#N/A</v>
      </c>
      <c r="P114" s="3" t="e">
        <f>VLOOKUP(E114,Enviroments!$A$3:$D$59,3,FALSE)</f>
        <v>#N/A</v>
      </c>
      <c r="Q114" s="3" t="e">
        <f>VLOOKUP(E114,Enviroments!$A$3:$D$59,4,FALSE)</f>
        <v>#N/A</v>
      </c>
      <c r="R114" s="3" t="e">
        <f>VLOOKUP(H114,AzureRegions!$A$4:$B$1493,1,FALSE)</f>
        <v>#N/A</v>
      </c>
      <c r="S114" s="3" t="e">
        <f>VLOOKUP(H114,AzureRegions!$A$4:$B$1493,2,FALSE)</f>
        <v>#N/A</v>
      </c>
      <c r="T114" s="3" t="e">
        <f>VLOOKUP(H114,AzureRegions!$A$4:$C$1493,3,FALSE)</f>
        <v>#N/A</v>
      </c>
      <c r="U114" s="3" t="e">
        <f>VLOOKUP(I114,Resources!$A$2:$AA$1503,2,FALSE)</f>
        <v>#N/A</v>
      </c>
      <c r="V114" s="3" t="e">
        <f>VLOOKUP(I114,Resources!$A$2:$H$1503,6,FALSE)</f>
        <v>#N/A</v>
      </c>
      <c r="W114" s="3" t="str">
        <f>VLOOKUP($H$2,Casing!$A$4:$A$60,1,FALSE)</f>
        <v>Lower</v>
      </c>
      <c r="X114" s="14" t="str">
        <f t="shared" si="3"/>
        <v>001</v>
      </c>
      <c r="Y114" s="3" t="str">
        <f>IFERROR(VLOOKUP(F114,Func!$A$4:$G$1500,2,FALSE),"none")</f>
        <v>none</v>
      </c>
      <c r="Z114" s="3" t="e">
        <f>VLOOKUP(I114,Resources!$A$2:$AA$1503,18,FALSE)</f>
        <v>#N/A</v>
      </c>
      <c r="AA114" s="3" t="str">
        <f>IFERROR(VLOOKUP(B114,Orgs!$A$4:$G$1500,2,FALSE),"none")</f>
        <v>none</v>
      </c>
      <c r="AB114" s="3" t="str">
        <f>IFERROR(VLOOKUP(C114,UnitsDepts!$A$4:$G$1500,2,FALSE),"none")</f>
        <v>none</v>
      </c>
      <c r="AC114" s="3" t="str">
        <f>IFERROR(VLOOKUP(D114,ProjAppSvc!$A$4:$G$1500,2,FALSE),"none")</f>
        <v>none</v>
      </c>
    </row>
    <row r="115" spans="1:29" x14ac:dyDescent="0.45">
      <c r="A115" s="14" t="s">
        <v>23</v>
      </c>
      <c r="B115" s="14"/>
      <c r="C115" s="14"/>
      <c r="D115" s="14"/>
      <c r="H115" s="8"/>
      <c r="I115" s="3"/>
      <c r="J115" s="3" t="str">
        <f t="shared" si="4"/>
        <v/>
      </c>
      <c r="K115" s="3" t="str">
        <f>IF(ISNUMBER(SEARCH("-",V115)),IFERROR(IF($H$2="Lower", LOWER(ComputeResourceName(Z115,#REF!,#REF!,G115,N115,O115,P115,Q115,S115,T115,V115,A115)), UPPER(ComputeResourceName(Z115,#REF!,#REF!,G115,N115,O115,P115,Q115,S115,T115,V115,A115))),""),SUBSTITUTE(IFERROR(IF($H$2="Lower", LOWER(ComputeResourceName(#REF!,#REF!,#REF!,G115,N115,O115,P115,Q115,S115,T115,V115,A115)), UPPER(ComputeResourceName(#REF!,#REF!,#REF!,G115,N115,O115,P115,Q115,S115,T115,V115,A115))),""), "-",""))</f>
        <v/>
      </c>
      <c r="L115" s="3" t="str">
        <f xml:space="preserve"> IF(K115="","",  IFERROR(VLOOKUP(I115,Resources!$B$1:$H$1503,5,FALSE)-LEN(K115),0))</f>
        <v/>
      </c>
      <c r="M115" s="3" t="str">
        <f>IF(K115="","",IFERROR(matches(K115,VLOOKUP(I115,Resources!$A$2:$AA$1503,16,FALSE)),FALSE))</f>
        <v/>
      </c>
      <c r="N115" s="3" t="e">
        <f>VLOOKUP(E115,Enviroments!$A$3:$D$59,1,FALSE)</f>
        <v>#N/A</v>
      </c>
      <c r="O115" s="3" t="e">
        <f>VLOOKUP(E115,Enviroments!$A$3:$D$59,2,FALSE)</f>
        <v>#N/A</v>
      </c>
      <c r="P115" s="3" t="e">
        <f>VLOOKUP(E115,Enviroments!$A$3:$D$59,3,FALSE)</f>
        <v>#N/A</v>
      </c>
      <c r="Q115" s="3" t="e">
        <f>VLOOKUP(E115,Enviroments!$A$3:$D$59,4,FALSE)</f>
        <v>#N/A</v>
      </c>
      <c r="R115" s="3" t="e">
        <f>VLOOKUP(H115,AzureRegions!$A$4:$B$1493,1,FALSE)</f>
        <v>#N/A</v>
      </c>
      <c r="S115" s="3" t="e">
        <f>VLOOKUP(H115,AzureRegions!$A$4:$B$1493,2,FALSE)</f>
        <v>#N/A</v>
      </c>
      <c r="T115" s="3" t="e">
        <f>VLOOKUP(H115,AzureRegions!$A$4:$C$1493,3,FALSE)</f>
        <v>#N/A</v>
      </c>
      <c r="U115" s="3" t="e">
        <f>VLOOKUP(I115,Resources!$A$2:$AA$1503,2,FALSE)</f>
        <v>#N/A</v>
      </c>
      <c r="V115" s="3" t="e">
        <f>VLOOKUP(I115,Resources!$A$2:$H$1503,6,FALSE)</f>
        <v>#N/A</v>
      </c>
      <c r="W115" s="3" t="str">
        <f>VLOOKUP($H$2,Casing!$A$4:$A$60,1,FALSE)</f>
        <v>Lower</v>
      </c>
      <c r="X115" s="14" t="str">
        <f t="shared" si="3"/>
        <v>001</v>
      </c>
      <c r="Y115" s="3" t="str">
        <f>IFERROR(VLOOKUP(F115,Func!$A$4:$G$1500,2,FALSE),"none")</f>
        <v>none</v>
      </c>
      <c r="Z115" s="3" t="e">
        <f>VLOOKUP(I115,Resources!$A$2:$AA$1503,18,FALSE)</f>
        <v>#N/A</v>
      </c>
      <c r="AA115" s="3" t="str">
        <f>IFERROR(VLOOKUP(B115,Orgs!$A$4:$G$1500,2,FALSE),"none")</f>
        <v>none</v>
      </c>
      <c r="AB115" s="3" t="str">
        <f>IFERROR(VLOOKUP(C115,UnitsDepts!$A$4:$G$1500,2,FALSE),"none")</f>
        <v>none</v>
      </c>
      <c r="AC115" s="3" t="str">
        <f>IFERROR(VLOOKUP(D115,ProjAppSvc!$A$4:$G$1500,2,FALSE),"none")</f>
        <v>none</v>
      </c>
    </row>
    <row r="116" spans="1:29" x14ac:dyDescent="0.45">
      <c r="A116" s="14" t="s">
        <v>23</v>
      </c>
      <c r="B116" s="14"/>
      <c r="C116" s="14"/>
      <c r="D116" s="14"/>
      <c r="H116" s="8"/>
      <c r="I116" s="3"/>
      <c r="J116" s="3" t="str">
        <f t="shared" si="4"/>
        <v/>
      </c>
      <c r="K116" s="3" t="str">
        <f>IF(ISNUMBER(SEARCH("-",V116)),IFERROR(IF($H$2="Lower", LOWER(ComputeResourceName(Z116,#REF!,#REF!,G116,N116,O116,P116,Q116,S116,T116,V116,A116)), UPPER(ComputeResourceName(Z116,#REF!,#REF!,G116,N116,O116,P116,Q116,S116,T116,V116,A116))),""),SUBSTITUTE(IFERROR(IF($H$2="Lower", LOWER(ComputeResourceName(#REF!,#REF!,#REF!,G116,N116,O116,P116,Q116,S116,T116,V116,A116)), UPPER(ComputeResourceName(#REF!,#REF!,#REF!,G116,N116,O116,P116,Q116,S116,T116,V116,A116))),""), "-",""))</f>
        <v/>
      </c>
      <c r="L116" s="3" t="str">
        <f xml:space="preserve"> IF(K116="","",  IFERROR(VLOOKUP(I116,Resources!$B$1:$H$1503,5,FALSE)-LEN(K116),0))</f>
        <v/>
      </c>
      <c r="M116" s="3" t="str">
        <f>IF(K116="","",IFERROR(matches(K116,VLOOKUP(I116,Resources!$A$2:$AA$1503,16,FALSE)),FALSE))</f>
        <v/>
      </c>
      <c r="N116" s="3" t="e">
        <f>VLOOKUP(E116,Enviroments!$A$3:$D$59,1,FALSE)</f>
        <v>#N/A</v>
      </c>
      <c r="O116" s="3" t="e">
        <f>VLOOKUP(E116,Enviroments!$A$3:$D$59,2,FALSE)</f>
        <v>#N/A</v>
      </c>
      <c r="P116" s="3" t="e">
        <f>VLOOKUP(E116,Enviroments!$A$3:$D$59,3,FALSE)</f>
        <v>#N/A</v>
      </c>
      <c r="Q116" s="3" t="e">
        <f>VLOOKUP(E116,Enviroments!$A$3:$D$59,4,FALSE)</f>
        <v>#N/A</v>
      </c>
      <c r="R116" s="3" t="e">
        <f>VLOOKUP(H116,AzureRegions!$A$4:$B$1493,1,FALSE)</f>
        <v>#N/A</v>
      </c>
      <c r="S116" s="3" t="e">
        <f>VLOOKUP(H116,AzureRegions!$A$4:$B$1493,2,FALSE)</f>
        <v>#N/A</v>
      </c>
      <c r="T116" s="3" t="e">
        <f>VLOOKUP(H116,AzureRegions!$A$4:$C$1493,3,FALSE)</f>
        <v>#N/A</v>
      </c>
      <c r="U116" s="3" t="e">
        <f>VLOOKUP(I116,Resources!$A$2:$AA$1503,2,FALSE)</f>
        <v>#N/A</v>
      </c>
      <c r="V116" s="3" t="e">
        <f>VLOOKUP(I116,Resources!$A$2:$H$1503,6,FALSE)</f>
        <v>#N/A</v>
      </c>
      <c r="W116" s="3" t="str">
        <f>VLOOKUP($H$2,Casing!$A$4:$A$60,1,FALSE)</f>
        <v>Lower</v>
      </c>
      <c r="X116" s="14" t="str">
        <f t="shared" si="3"/>
        <v>001</v>
      </c>
      <c r="Y116" s="3" t="str">
        <f>IFERROR(VLOOKUP(F116,Func!$A$4:$G$1500,2,FALSE),"none")</f>
        <v>none</v>
      </c>
      <c r="Z116" s="3" t="e">
        <f>VLOOKUP(I116,Resources!$A$2:$AA$1503,18,FALSE)</f>
        <v>#N/A</v>
      </c>
      <c r="AA116" s="3" t="str">
        <f>IFERROR(VLOOKUP(B116,Orgs!$A$4:$G$1500,2,FALSE),"none")</f>
        <v>none</v>
      </c>
      <c r="AB116" s="3" t="str">
        <f>IFERROR(VLOOKUP(C116,UnitsDepts!$A$4:$G$1500,2,FALSE),"none")</f>
        <v>none</v>
      </c>
      <c r="AC116" s="3" t="str">
        <f>IFERROR(VLOOKUP(D116,ProjAppSvc!$A$4:$G$1500,2,FALSE),"none")</f>
        <v>none</v>
      </c>
    </row>
    <row r="117" spans="1:29" x14ac:dyDescent="0.45">
      <c r="A117" s="14" t="s">
        <v>23</v>
      </c>
      <c r="B117" s="14"/>
      <c r="C117" s="14"/>
      <c r="D117" s="14"/>
      <c r="H117" s="8"/>
      <c r="I117" s="3"/>
      <c r="J117" s="3" t="str">
        <f t="shared" si="4"/>
        <v/>
      </c>
      <c r="K117" s="3" t="str">
        <f>IF(ISNUMBER(SEARCH("-",V117)),IFERROR(IF($H$2="Lower", LOWER(ComputeResourceName(Z117,#REF!,#REF!,G117,N117,O117,P117,Q117,S117,T117,V117,A117)), UPPER(ComputeResourceName(Z117,#REF!,#REF!,G117,N117,O117,P117,Q117,S117,T117,V117,A117))),""),SUBSTITUTE(IFERROR(IF($H$2="Lower", LOWER(ComputeResourceName(#REF!,#REF!,#REF!,G117,N117,O117,P117,Q117,S117,T117,V117,A117)), UPPER(ComputeResourceName(#REF!,#REF!,#REF!,G117,N117,O117,P117,Q117,S117,T117,V117,A117))),""), "-",""))</f>
        <v/>
      </c>
      <c r="L117" s="3" t="str">
        <f xml:space="preserve"> IF(K117="","",  IFERROR(VLOOKUP(I117,Resources!$B$1:$H$1503,5,FALSE)-LEN(K117),0))</f>
        <v/>
      </c>
      <c r="M117" s="3" t="str">
        <f>IF(K117="","",IFERROR(matches(K117,VLOOKUP(I117,Resources!$A$2:$AA$1503,16,FALSE)),FALSE))</f>
        <v/>
      </c>
      <c r="N117" s="3" t="e">
        <f>VLOOKUP(E117,Enviroments!$A$3:$D$59,1,FALSE)</f>
        <v>#N/A</v>
      </c>
      <c r="O117" s="3" t="e">
        <f>VLOOKUP(E117,Enviroments!$A$3:$D$59,2,FALSE)</f>
        <v>#N/A</v>
      </c>
      <c r="P117" s="3" t="e">
        <f>VLOOKUP(E117,Enviroments!$A$3:$D$59,3,FALSE)</f>
        <v>#N/A</v>
      </c>
      <c r="Q117" s="3" t="e">
        <f>VLOOKUP(E117,Enviroments!$A$3:$D$59,4,FALSE)</f>
        <v>#N/A</v>
      </c>
      <c r="R117" s="3" t="e">
        <f>VLOOKUP(H117,AzureRegions!$A$4:$B$1493,1,FALSE)</f>
        <v>#N/A</v>
      </c>
      <c r="S117" s="3" t="e">
        <f>VLOOKUP(H117,AzureRegions!$A$4:$B$1493,2,FALSE)</f>
        <v>#N/A</v>
      </c>
      <c r="T117" s="3" t="e">
        <f>VLOOKUP(H117,AzureRegions!$A$4:$C$1493,3,FALSE)</f>
        <v>#N/A</v>
      </c>
      <c r="U117" s="3" t="e">
        <f>VLOOKUP(I117,Resources!$A$2:$AA$1503,2,FALSE)</f>
        <v>#N/A</v>
      </c>
      <c r="V117" s="3" t="e">
        <f>VLOOKUP(I117,Resources!$A$2:$H$1503,6,FALSE)</f>
        <v>#N/A</v>
      </c>
      <c r="W117" s="3" t="str">
        <f>VLOOKUP($H$2,Casing!$A$4:$A$60,1,FALSE)</f>
        <v>Lower</v>
      </c>
      <c r="X117" s="14" t="str">
        <f t="shared" si="3"/>
        <v>001</v>
      </c>
      <c r="Y117" s="3" t="str">
        <f>IFERROR(VLOOKUP(F117,Func!$A$4:$G$1500,2,FALSE),"none")</f>
        <v>none</v>
      </c>
      <c r="Z117" s="3" t="e">
        <f>VLOOKUP(I117,Resources!$A$2:$AA$1503,18,FALSE)</f>
        <v>#N/A</v>
      </c>
      <c r="AA117" s="3" t="str">
        <f>IFERROR(VLOOKUP(B117,Orgs!$A$4:$G$1500,2,FALSE),"none")</f>
        <v>none</v>
      </c>
      <c r="AB117" s="3" t="str">
        <f>IFERROR(VLOOKUP(C117,UnitsDepts!$A$4:$G$1500,2,FALSE),"none")</f>
        <v>none</v>
      </c>
      <c r="AC117" s="3" t="str">
        <f>IFERROR(VLOOKUP(D117,ProjAppSvc!$A$4:$G$1500,2,FALSE),"none")</f>
        <v>none</v>
      </c>
    </row>
    <row r="118" spans="1:29" x14ac:dyDescent="0.45">
      <c r="A118" s="14" t="s">
        <v>23</v>
      </c>
      <c r="B118" s="14"/>
      <c r="C118" s="14"/>
      <c r="D118" s="14"/>
      <c r="H118" s="8"/>
      <c r="I118" s="3"/>
      <c r="J118" s="3" t="str">
        <f t="shared" si="4"/>
        <v/>
      </c>
      <c r="K118" s="3" t="str">
        <f>IF(ISNUMBER(SEARCH("-",V118)),IFERROR(IF($H$2="Lower", LOWER(ComputeResourceName(Z118,#REF!,#REF!,G118,N118,O118,P118,Q118,S118,T118,V118,A118)), UPPER(ComputeResourceName(Z118,#REF!,#REF!,G118,N118,O118,P118,Q118,S118,T118,V118,A118))),""),SUBSTITUTE(IFERROR(IF($H$2="Lower", LOWER(ComputeResourceName(#REF!,#REF!,#REF!,G118,N118,O118,P118,Q118,S118,T118,V118,A118)), UPPER(ComputeResourceName(#REF!,#REF!,#REF!,G118,N118,O118,P118,Q118,S118,T118,V118,A118))),""), "-",""))</f>
        <v/>
      </c>
      <c r="L118" s="3" t="str">
        <f xml:space="preserve"> IF(K118="","",  IFERROR(VLOOKUP(I118,Resources!$B$1:$H$1503,5,FALSE)-LEN(K118),0))</f>
        <v/>
      </c>
      <c r="M118" s="3" t="str">
        <f>IF(K118="","",IFERROR(matches(K118,VLOOKUP(I118,Resources!$A$2:$AA$1503,16,FALSE)),FALSE))</f>
        <v/>
      </c>
      <c r="N118" s="3" t="e">
        <f>VLOOKUP(E118,Enviroments!$A$3:$D$59,1,FALSE)</f>
        <v>#N/A</v>
      </c>
      <c r="O118" s="3" t="e">
        <f>VLOOKUP(E118,Enviroments!$A$3:$D$59,2,FALSE)</f>
        <v>#N/A</v>
      </c>
      <c r="P118" s="3" t="e">
        <f>VLOOKUP(E118,Enviroments!$A$3:$D$59,3,FALSE)</f>
        <v>#N/A</v>
      </c>
      <c r="Q118" s="3" t="e">
        <f>VLOOKUP(E118,Enviroments!$A$3:$D$59,4,FALSE)</f>
        <v>#N/A</v>
      </c>
      <c r="R118" s="3" t="e">
        <f>VLOOKUP(H118,AzureRegions!$A$4:$B$1493,1,FALSE)</f>
        <v>#N/A</v>
      </c>
      <c r="S118" s="3" t="e">
        <f>VLOOKUP(H118,AzureRegions!$A$4:$B$1493,2,FALSE)</f>
        <v>#N/A</v>
      </c>
      <c r="T118" s="3" t="e">
        <f>VLOOKUP(H118,AzureRegions!$A$4:$C$1493,3,FALSE)</f>
        <v>#N/A</v>
      </c>
      <c r="U118" s="3" t="e">
        <f>VLOOKUP(I118,Resources!$A$2:$AA$1503,2,FALSE)</f>
        <v>#N/A</v>
      </c>
      <c r="V118" s="3" t="e">
        <f>VLOOKUP(I118,Resources!$A$2:$H$1503,6,FALSE)</f>
        <v>#N/A</v>
      </c>
      <c r="W118" s="3" t="str">
        <f>VLOOKUP($H$2,Casing!$A$4:$A$60,1,FALSE)</f>
        <v>Lower</v>
      </c>
      <c r="X118" s="14" t="str">
        <f t="shared" si="3"/>
        <v>001</v>
      </c>
      <c r="Y118" s="3" t="str">
        <f>IFERROR(VLOOKUP(F118,Func!$A$4:$G$1500,2,FALSE),"none")</f>
        <v>none</v>
      </c>
      <c r="Z118" s="3" t="e">
        <f>VLOOKUP(I118,Resources!$A$2:$AA$1503,18,FALSE)</f>
        <v>#N/A</v>
      </c>
      <c r="AA118" s="3" t="str">
        <f>IFERROR(VLOOKUP(B118,Orgs!$A$4:$G$1500,2,FALSE),"none")</f>
        <v>none</v>
      </c>
      <c r="AB118" s="3" t="str">
        <f>IFERROR(VLOOKUP(C118,UnitsDepts!$A$4:$G$1500,2,FALSE),"none")</f>
        <v>none</v>
      </c>
      <c r="AC118" s="3" t="str">
        <f>IFERROR(VLOOKUP(D118,ProjAppSvc!$A$4:$G$1500,2,FALSE),"none")</f>
        <v>none</v>
      </c>
    </row>
    <row r="119" spans="1:29" x14ac:dyDescent="0.45">
      <c r="A119" s="14" t="s">
        <v>23</v>
      </c>
      <c r="B119" s="14"/>
      <c r="C119" s="14"/>
      <c r="D119" s="14"/>
      <c r="H119" s="8"/>
      <c r="I119" s="3"/>
      <c r="J119" s="3" t="str">
        <f t="shared" si="4"/>
        <v/>
      </c>
      <c r="K119" s="3" t="str">
        <f>IF(ISNUMBER(SEARCH("-",V119)),IFERROR(IF($H$2="Lower", LOWER(ComputeResourceName(Z119,#REF!,#REF!,G119,N119,O119,P119,Q119,S119,T119,V119,A119)), UPPER(ComputeResourceName(Z119,#REF!,#REF!,G119,N119,O119,P119,Q119,S119,T119,V119,A119))),""),SUBSTITUTE(IFERROR(IF($H$2="Lower", LOWER(ComputeResourceName(#REF!,#REF!,#REF!,G119,N119,O119,P119,Q119,S119,T119,V119,A119)), UPPER(ComputeResourceName(#REF!,#REF!,#REF!,G119,N119,O119,P119,Q119,S119,T119,V119,A119))),""), "-",""))</f>
        <v/>
      </c>
      <c r="L119" s="3" t="str">
        <f xml:space="preserve"> IF(K119="","",  IFERROR(VLOOKUP(I119,Resources!$B$1:$H$1503,5,FALSE)-LEN(K119),0))</f>
        <v/>
      </c>
      <c r="M119" s="3" t="str">
        <f>IF(K119="","",IFERROR(matches(K119,VLOOKUP(I119,Resources!$A$2:$AA$1503,16,FALSE)),FALSE))</f>
        <v/>
      </c>
      <c r="N119" s="3" t="e">
        <f>VLOOKUP(E119,Enviroments!$A$3:$D$59,1,FALSE)</f>
        <v>#N/A</v>
      </c>
      <c r="O119" s="3" t="e">
        <f>VLOOKUP(E119,Enviroments!$A$3:$D$59,2,FALSE)</f>
        <v>#N/A</v>
      </c>
      <c r="P119" s="3" t="e">
        <f>VLOOKUP(E119,Enviroments!$A$3:$D$59,3,FALSE)</f>
        <v>#N/A</v>
      </c>
      <c r="Q119" s="3" t="e">
        <f>VLOOKUP(E119,Enviroments!$A$3:$D$59,4,FALSE)</f>
        <v>#N/A</v>
      </c>
      <c r="R119" s="3" t="e">
        <f>VLOOKUP(H119,AzureRegions!$A$4:$B$1493,1,FALSE)</f>
        <v>#N/A</v>
      </c>
      <c r="S119" s="3" t="e">
        <f>VLOOKUP(H119,AzureRegions!$A$4:$B$1493,2,FALSE)</f>
        <v>#N/A</v>
      </c>
      <c r="T119" s="3" t="e">
        <f>VLOOKUP(H119,AzureRegions!$A$4:$C$1493,3,FALSE)</f>
        <v>#N/A</v>
      </c>
      <c r="U119" s="3" t="e">
        <f>VLOOKUP(I119,Resources!$A$2:$AA$1503,2,FALSE)</f>
        <v>#N/A</v>
      </c>
      <c r="V119" s="3" t="e">
        <f>VLOOKUP(I119,Resources!$A$2:$H$1503,6,FALSE)</f>
        <v>#N/A</v>
      </c>
      <c r="W119" s="3" t="str">
        <f>VLOOKUP($H$2,Casing!$A$4:$A$60,1,FALSE)</f>
        <v>Lower</v>
      </c>
      <c r="X119" s="14" t="str">
        <f t="shared" si="3"/>
        <v>001</v>
      </c>
      <c r="Y119" s="3" t="str">
        <f>IFERROR(VLOOKUP(F119,Func!$A$4:$G$1500,2,FALSE),"none")</f>
        <v>none</v>
      </c>
      <c r="Z119" s="3" t="e">
        <f>VLOOKUP(I119,Resources!$A$2:$AA$1503,18,FALSE)</f>
        <v>#N/A</v>
      </c>
      <c r="AA119" s="3" t="str">
        <f>IFERROR(VLOOKUP(B119,Orgs!$A$4:$G$1500,2,FALSE),"none")</f>
        <v>none</v>
      </c>
      <c r="AB119" s="3" t="str">
        <f>IFERROR(VLOOKUP(C119,UnitsDepts!$A$4:$G$1500,2,FALSE),"none")</f>
        <v>none</v>
      </c>
      <c r="AC119" s="3" t="str">
        <f>IFERROR(VLOOKUP(D119,ProjAppSvc!$A$4:$G$1500,2,FALSE),"none")</f>
        <v>none</v>
      </c>
    </row>
    <row r="120" spans="1:29" x14ac:dyDescent="0.45">
      <c r="A120" s="14" t="s">
        <v>23</v>
      </c>
      <c r="B120" s="14"/>
      <c r="C120" s="14"/>
      <c r="D120" s="14"/>
      <c r="H120" s="8"/>
      <c r="I120" s="3"/>
      <c r="J120" s="3" t="str">
        <f t="shared" si="4"/>
        <v/>
      </c>
      <c r="K120" s="3" t="str">
        <f>IF(ISNUMBER(SEARCH("-",V120)),IFERROR(IF($H$2="Lower", LOWER(ComputeResourceName(Z120,#REF!,#REF!,G120,N120,O120,P120,Q120,S120,T120,V120,A120)), UPPER(ComputeResourceName(Z120,#REF!,#REF!,G120,N120,O120,P120,Q120,S120,T120,V120,A120))),""),SUBSTITUTE(IFERROR(IF($H$2="Lower", LOWER(ComputeResourceName(#REF!,#REF!,#REF!,G120,N120,O120,P120,Q120,S120,T120,V120,A120)), UPPER(ComputeResourceName(#REF!,#REF!,#REF!,G120,N120,O120,P120,Q120,S120,T120,V120,A120))),""), "-",""))</f>
        <v/>
      </c>
      <c r="L120" s="3" t="str">
        <f xml:space="preserve"> IF(K120="","",  IFERROR(VLOOKUP(I120,Resources!$B$1:$H$1503,5,FALSE)-LEN(K120),0))</f>
        <v/>
      </c>
      <c r="M120" s="3" t="str">
        <f>IF(K120="","",IFERROR(matches(K120,VLOOKUP(I120,Resources!$A$2:$AA$1503,16,FALSE)),FALSE))</f>
        <v/>
      </c>
      <c r="N120" s="3" t="e">
        <f>VLOOKUP(E120,Enviroments!$A$3:$D$59,1,FALSE)</f>
        <v>#N/A</v>
      </c>
      <c r="O120" s="3" t="e">
        <f>VLOOKUP(E120,Enviroments!$A$3:$D$59,2,FALSE)</f>
        <v>#N/A</v>
      </c>
      <c r="P120" s="3" t="e">
        <f>VLOOKUP(E120,Enviroments!$A$3:$D$59,3,FALSE)</f>
        <v>#N/A</v>
      </c>
      <c r="Q120" s="3" t="e">
        <f>VLOOKUP(E120,Enviroments!$A$3:$D$59,4,FALSE)</f>
        <v>#N/A</v>
      </c>
      <c r="R120" s="3" t="e">
        <f>VLOOKUP(H120,AzureRegions!$A$4:$B$1493,1,FALSE)</f>
        <v>#N/A</v>
      </c>
      <c r="S120" s="3" t="e">
        <f>VLOOKUP(H120,AzureRegions!$A$4:$B$1493,2,FALSE)</f>
        <v>#N/A</v>
      </c>
      <c r="T120" s="3" t="e">
        <f>VLOOKUP(H120,AzureRegions!$A$4:$C$1493,3,FALSE)</f>
        <v>#N/A</v>
      </c>
      <c r="U120" s="3" t="e">
        <f>VLOOKUP(I120,Resources!$A$2:$AA$1503,2,FALSE)</f>
        <v>#N/A</v>
      </c>
      <c r="V120" s="3" t="e">
        <f>VLOOKUP(I120,Resources!$A$2:$H$1503,6,FALSE)</f>
        <v>#N/A</v>
      </c>
      <c r="W120" s="3" t="str">
        <f>VLOOKUP($H$2,Casing!$A$4:$A$60,1,FALSE)</f>
        <v>Lower</v>
      </c>
      <c r="X120" s="14" t="str">
        <f t="shared" si="3"/>
        <v>001</v>
      </c>
      <c r="Y120" s="3" t="str">
        <f>IFERROR(VLOOKUP(F120,Func!$A$4:$G$1500,2,FALSE),"none")</f>
        <v>none</v>
      </c>
      <c r="Z120" s="3" t="e">
        <f>VLOOKUP(I120,Resources!$A$2:$AA$1503,18,FALSE)</f>
        <v>#N/A</v>
      </c>
      <c r="AA120" s="3" t="str">
        <f>IFERROR(VLOOKUP(B120,Orgs!$A$4:$G$1500,2,FALSE),"none")</f>
        <v>none</v>
      </c>
      <c r="AB120" s="3" t="str">
        <f>IFERROR(VLOOKUP(C120,UnitsDepts!$A$4:$G$1500,2,FALSE),"none")</f>
        <v>none</v>
      </c>
      <c r="AC120" s="3" t="str">
        <f>IFERROR(VLOOKUP(D120,ProjAppSvc!$A$4:$G$1500,2,FALSE),"none")</f>
        <v>none</v>
      </c>
    </row>
    <row r="121" spans="1:29" x14ac:dyDescent="0.45">
      <c r="A121" s="14" t="s">
        <v>23</v>
      </c>
      <c r="B121" s="14"/>
      <c r="C121" s="14"/>
      <c r="D121" s="14"/>
      <c r="H121" s="8"/>
      <c r="I121" s="3"/>
      <c r="J121" s="3" t="str">
        <f t="shared" si="4"/>
        <v/>
      </c>
      <c r="K121" s="3" t="str">
        <f>IF(ISNUMBER(SEARCH("-",V121)),IFERROR(IF($H$2="Lower", LOWER(ComputeResourceName(Z121,#REF!,#REF!,G121,N121,O121,P121,Q121,S121,T121,V121,A121)), UPPER(ComputeResourceName(Z121,#REF!,#REF!,G121,N121,O121,P121,Q121,S121,T121,V121,A121))),""),SUBSTITUTE(IFERROR(IF($H$2="Lower", LOWER(ComputeResourceName(#REF!,#REF!,#REF!,G121,N121,O121,P121,Q121,S121,T121,V121,A121)), UPPER(ComputeResourceName(#REF!,#REF!,#REF!,G121,N121,O121,P121,Q121,S121,T121,V121,A121))),""), "-",""))</f>
        <v/>
      </c>
      <c r="L121" s="3" t="str">
        <f xml:space="preserve"> IF(K121="","",  IFERROR(VLOOKUP(I121,Resources!$B$1:$H$1503,5,FALSE)-LEN(K121),0))</f>
        <v/>
      </c>
      <c r="M121" s="3" t="str">
        <f>IF(K121="","",IFERROR(matches(K121,VLOOKUP(I121,Resources!$A$2:$AA$1503,16,FALSE)),FALSE))</f>
        <v/>
      </c>
      <c r="N121" s="3" t="e">
        <f>VLOOKUP(E121,Enviroments!$A$3:$D$59,1,FALSE)</f>
        <v>#N/A</v>
      </c>
      <c r="O121" s="3" t="e">
        <f>VLOOKUP(E121,Enviroments!$A$3:$D$59,2,FALSE)</f>
        <v>#N/A</v>
      </c>
      <c r="P121" s="3" t="e">
        <f>VLOOKUP(E121,Enviroments!$A$3:$D$59,3,FALSE)</f>
        <v>#N/A</v>
      </c>
      <c r="Q121" s="3" t="e">
        <f>VLOOKUP(E121,Enviroments!$A$3:$D$59,4,FALSE)</f>
        <v>#N/A</v>
      </c>
      <c r="R121" s="3" t="e">
        <f>VLOOKUP(H121,AzureRegions!$A$4:$B$1493,1,FALSE)</f>
        <v>#N/A</v>
      </c>
      <c r="S121" s="3" t="e">
        <f>VLOOKUP(H121,AzureRegions!$A$4:$B$1493,2,FALSE)</f>
        <v>#N/A</v>
      </c>
      <c r="T121" s="3" t="e">
        <f>VLOOKUP(H121,AzureRegions!$A$4:$C$1493,3,FALSE)</f>
        <v>#N/A</v>
      </c>
      <c r="U121" s="3" t="e">
        <f>VLOOKUP(I121,Resources!$A$2:$AA$1503,2,FALSE)</f>
        <v>#N/A</v>
      </c>
      <c r="V121" s="3" t="e">
        <f>VLOOKUP(I121,Resources!$A$2:$H$1503,6,FALSE)</f>
        <v>#N/A</v>
      </c>
      <c r="W121" s="3" t="str">
        <f>VLOOKUP($H$2,Casing!$A$4:$A$60,1,FALSE)</f>
        <v>Lower</v>
      </c>
      <c r="X121" s="14" t="str">
        <f t="shared" si="3"/>
        <v>001</v>
      </c>
      <c r="Y121" s="3" t="str">
        <f>IFERROR(VLOOKUP(F121,Func!$A$4:$G$1500,2,FALSE),"none")</f>
        <v>none</v>
      </c>
      <c r="Z121" s="3" t="e">
        <f>VLOOKUP(I121,Resources!$A$2:$AA$1503,18,FALSE)</f>
        <v>#N/A</v>
      </c>
      <c r="AA121" s="3" t="str">
        <f>IFERROR(VLOOKUP(B121,Orgs!$A$4:$G$1500,2,FALSE),"none")</f>
        <v>none</v>
      </c>
      <c r="AB121" s="3" t="str">
        <f>IFERROR(VLOOKUP(C121,UnitsDepts!$A$4:$G$1500,2,FALSE),"none")</f>
        <v>none</v>
      </c>
      <c r="AC121" s="3" t="str">
        <f>IFERROR(VLOOKUP(D121,ProjAppSvc!$A$4:$G$1500,2,FALSE),"none")</f>
        <v>none</v>
      </c>
    </row>
    <row r="122" spans="1:29" x14ac:dyDescent="0.45">
      <c r="A122" s="14" t="s">
        <v>23</v>
      </c>
      <c r="B122" s="14"/>
      <c r="C122" s="14"/>
      <c r="D122" s="14"/>
      <c r="H122" s="8"/>
      <c r="I122" s="3"/>
      <c r="J122" s="3" t="str">
        <f t="shared" si="4"/>
        <v/>
      </c>
      <c r="K122" s="3" t="str">
        <f>IF(ISNUMBER(SEARCH("-",V122)),IFERROR(IF($H$2="Lower", LOWER(ComputeResourceName(Z122,#REF!,#REF!,G122,N122,O122,P122,Q122,S122,T122,V122,A122)), UPPER(ComputeResourceName(Z122,#REF!,#REF!,G122,N122,O122,P122,Q122,S122,T122,V122,A122))),""),SUBSTITUTE(IFERROR(IF($H$2="Lower", LOWER(ComputeResourceName(#REF!,#REF!,#REF!,G122,N122,O122,P122,Q122,S122,T122,V122,A122)), UPPER(ComputeResourceName(#REF!,#REF!,#REF!,G122,N122,O122,P122,Q122,S122,T122,V122,A122))),""), "-",""))</f>
        <v/>
      </c>
      <c r="L122" s="3" t="str">
        <f xml:space="preserve"> IF(K122="","",  IFERROR(VLOOKUP(I122,Resources!$B$1:$H$1503,5,FALSE)-LEN(K122),0))</f>
        <v/>
      </c>
      <c r="M122" s="3" t="str">
        <f>IF(K122="","",IFERROR(matches(K122,VLOOKUP(I122,Resources!$A$2:$AA$1503,16,FALSE)),FALSE))</f>
        <v/>
      </c>
      <c r="N122" s="3" t="e">
        <f>VLOOKUP(E122,Enviroments!$A$3:$D$59,1,FALSE)</f>
        <v>#N/A</v>
      </c>
      <c r="O122" s="3" t="e">
        <f>VLOOKUP(E122,Enviroments!$A$3:$D$59,2,FALSE)</f>
        <v>#N/A</v>
      </c>
      <c r="P122" s="3" t="e">
        <f>VLOOKUP(E122,Enviroments!$A$3:$D$59,3,FALSE)</f>
        <v>#N/A</v>
      </c>
      <c r="Q122" s="3" t="e">
        <f>VLOOKUP(E122,Enviroments!$A$3:$D$59,4,FALSE)</f>
        <v>#N/A</v>
      </c>
      <c r="R122" s="3" t="e">
        <f>VLOOKUP(H122,AzureRegions!$A$4:$B$1493,1,FALSE)</f>
        <v>#N/A</v>
      </c>
      <c r="S122" s="3" t="e">
        <f>VLOOKUP(H122,AzureRegions!$A$4:$B$1493,2,FALSE)</f>
        <v>#N/A</v>
      </c>
      <c r="T122" s="3" t="e">
        <f>VLOOKUP(H122,AzureRegions!$A$4:$C$1493,3,FALSE)</f>
        <v>#N/A</v>
      </c>
      <c r="U122" s="3" t="e">
        <f>VLOOKUP(I122,Resources!$A$2:$AA$1503,2,FALSE)</f>
        <v>#N/A</v>
      </c>
      <c r="V122" s="3" t="e">
        <f>VLOOKUP(I122,Resources!$A$2:$H$1503,6,FALSE)</f>
        <v>#N/A</v>
      </c>
      <c r="W122" s="3" t="str">
        <f>VLOOKUP($H$2,Casing!$A$4:$A$60,1,FALSE)</f>
        <v>Lower</v>
      </c>
      <c r="X122" s="14" t="str">
        <f t="shared" si="3"/>
        <v>001</v>
      </c>
      <c r="Y122" s="3" t="str">
        <f>IFERROR(VLOOKUP(F122,Func!$A$4:$G$1500,2,FALSE),"none")</f>
        <v>none</v>
      </c>
      <c r="Z122" s="3" t="e">
        <f>VLOOKUP(I122,Resources!$A$2:$AA$1503,18,FALSE)</f>
        <v>#N/A</v>
      </c>
      <c r="AA122" s="3" t="str">
        <f>IFERROR(VLOOKUP(B122,Orgs!$A$4:$G$1500,2,FALSE),"none")</f>
        <v>none</v>
      </c>
      <c r="AB122" s="3" t="str">
        <f>IFERROR(VLOOKUP(C122,UnitsDepts!$A$4:$G$1500,2,FALSE),"none")</f>
        <v>none</v>
      </c>
      <c r="AC122" s="3" t="str">
        <f>IFERROR(VLOOKUP(D122,ProjAppSvc!$A$4:$G$1500,2,FALSE),"none")</f>
        <v>none</v>
      </c>
    </row>
    <row r="123" spans="1:29" x14ac:dyDescent="0.45">
      <c r="A123" s="14" t="s">
        <v>23</v>
      </c>
      <c r="B123" s="14"/>
      <c r="C123" s="14"/>
      <c r="D123" s="14"/>
      <c r="H123" s="8"/>
      <c r="I123" s="3"/>
      <c r="J123" s="3" t="str">
        <f t="shared" si="4"/>
        <v/>
      </c>
      <c r="K123" s="3" t="str">
        <f>IF(ISNUMBER(SEARCH("-",V123)),IFERROR(IF($H$2="Lower", LOWER(ComputeResourceName(Z123,#REF!,#REF!,G123,N123,O123,P123,Q123,S123,T123,V123,A123)), UPPER(ComputeResourceName(Z123,#REF!,#REF!,G123,N123,O123,P123,Q123,S123,T123,V123,A123))),""),SUBSTITUTE(IFERROR(IF($H$2="Lower", LOWER(ComputeResourceName(#REF!,#REF!,#REF!,G123,N123,O123,P123,Q123,S123,T123,V123,A123)), UPPER(ComputeResourceName(#REF!,#REF!,#REF!,G123,N123,O123,P123,Q123,S123,T123,V123,A123))),""), "-",""))</f>
        <v/>
      </c>
      <c r="L123" s="3" t="str">
        <f xml:space="preserve"> IF(K123="","",  IFERROR(VLOOKUP(I123,Resources!$B$1:$H$1503,5,FALSE)-LEN(K123),0))</f>
        <v/>
      </c>
      <c r="M123" s="3" t="str">
        <f>IF(K123="","",IFERROR(matches(K123,VLOOKUP(I123,Resources!$A$2:$AA$1503,16,FALSE)),FALSE))</f>
        <v/>
      </c>
      <c r="N123" s="3" t="e">
        <f>VLOOKUP(E123,Enviroments!$A$3:$D$59,1,FALSE)</f>
        <v>#N/A</v>
      </c>
      <c r="O123" s="3" t="e">
        <f>VLOOKUP(E123,Enviroments!$A$3:$D$59,2,FALSE)</f>
        <v>#N/A</v>
      </c>
      <c r="P123" s="3" t="e">
        <f>VLOOKUP(E123,Enviroments!$A$3:$D$59,3,FALSE)</f>
        <v>#N/A</v>
      </c>
      <c r="Q123" s="3" t="e">
        <f>VLOOKUP(E123,Enviroments!$A$3:$D$59,4,FALSE)</f>
        <v>#N/A</v>
      </c>
      <c r="R123" s="3" t="e">
        <f>VLOOKUP(H123,AzureRegions!$A$4:$B$1493,1,FALSE)</f>
        <v>#N/A</v>
      </c>
      <c r="S123" s="3" t="e">
        <f>VLOOKUP(H123,AzureRegions!$A$4:$B$1493,2,FALSE)</f>
        <v>#N/A</v>
      </c>
      <c r="T123" s="3" t="e">
        <f>VLOOKUP(H123,AzureRegions!$A$4:$C$1493,3,FALSE)</f>
        <v>#N/A</v>
      </c>
      <c r="U123" s="3" t="e">
        <f>VLOOKUP(I123,Resources!$A$2:$AA$1503,2,FALSE)</f>
        <v>#N/A</v>
      </c>
      <c r="V123" s="3" t="e">
        <f>VLOOKUP(I123,Resources!$A$2:$H$1503,6,FALSE)</f>
        <v>#N/A</v>
      </c>
      <c r="W123" s="3" t="str">
        <f>VLOOKUP($H$2,Casing!$A$4:$A$60,1,FALSE)</f>
        <v>Lower</v>
      </c>
      <c r="X123" s="14" t="str">
        <f t="shared" si="3"/>
        <v>001</v>
      </c>
      <c r="Y123" s="3" t="str">
        <f>IFERROR(VLOOKUP(F123,Func!$A$4:$G$1500,2,FALSE),"none")</f>
        <v>none</v>
      </c>
      <c r="Z123" s="3" t="e">
        <f>VLOOKUP(I123,Resources!$A$2:$AA$1503,18,FALSE)</f>
        <v>#N/A</v>
      </c>
      <c r="AA123" s="3" t="str">
        <f>IFERROR(VLOOKUP(B123,Orgs!$A$4:$G$1500,2,FALSE),"none")</f>
        <v>none</v>
      </c>
      <c r="AB123" s="3" t="str">
        <f>IFERROR(VLOOKUP(C123,UnitsDepts!$A$4:$G$1500,2,FALSE),"none")</f>
        <v>none</v>
      </c>
      <c r="AC123" s="3" t="str">
        <f>IFERROR(VLOOKUP(D123,ProjAppSvc!$A$4:$G$1500,2,FALSE),"none")</f>
        <v>none</v>
      </c>
    </row>
    <row r="124" spans="1:29" x14ac:dyDescent="0.45">
      <c r="A124" s="14" t="s">
        <v>23</v>
      </c>
      <c r="B124" s="14"/>
      <c r="C124" s="14"/>
      <c r="D124" s="14"/>
      <c r="H124" s="8"/>
      <c r="I124" s="3"/>
      <c r="J124" s="3" t="str">
        <f t="shared" si="4"/>
        <v/>
      </c>
      <c r="K124" s="3" t="str">
        <f>IF(ISNUMBER(SEARCH("-",V124)),IFERROR(IF($H$2="Lower", LOWER(ComputeResourceName(Z124,#REF!,#REF!,G124,N124,O124,P124,Q124,S124,T124,V124,A124)), UPPER(ComputeResourceName(Z124,#REF!,#REF!,G124,N124,O124,P124,Q124,S124,T124,V124,A124))),""),SUBSTITUTE(IFERROR(IF($H$2="Lower", LOWER(ComputeResourceName(#REF!,#REF!,#REF!,G124,N124,O124,P124,Q124,S124,T124,V124,A124)), UPPER(ComputeResourceName(#REF!,#REF!,#REF!,G124,N124,O124,P124,Q124,S124,T124,V124,A124))),""), "-",""))</f>
        <v/>
      </c>
      <c r="L124" s="3" t="str">
        <f xml:space="preserve"> IF(K124="","",  IFERROR(VLOOKUP(I124,Resources!$B$1:$H$1503,5,FALSE)-LEN(K124),0))</f>
        <v/>
      </c>
      <c r="M124" s="3" t="str">
        <f>IF(K124="","",IFERROR(matches(K124,VLOOKUP(I124,Resources!$A$2:$AA$1503,16,FALSE)),FALSE))</f>
        <v/>
      </c>
      <c r="N124" s="3" t="e">
        <f>VLOOKUP(E124,Enviroments!$A$3:$D$59,1,FALSE)</f>
        <v>#N/A</v>
      </c>
      <c r="O124" s="3" t="e">
        <f>VLOOKUP(E124,Enviroments!$A$3:$D$59,2,FALSE)</f>
        <v>#N/A</v>
      </c>
      <c r="P124" s="3" t="e">
        <f>VLOOKUP(E124,Enviroments!$A$3:$D$59,3,FALSE)</f>
        <v>#N/A</v>
      </c>
      <c r="Q124" s="3" t="e">
        <f>VLOOKUP(E124,Enviroments!$A$3:$D$59,4,FALSE)</f>
        <v>#N/A</v>
      </c>
      <c r="R124" s="3" t="e">
        <f>VLOOKUP(H124,AzureRegions!$A$4:$B$1493,1,FALSE)</f>
        <v>#N/A</v>
      </c>
      <c r="S124" s="3" t="e">
        <f>VLOOKUP(H124,AzureRegions!$A$4:$B$1493,2,FALSE)</f>
        <v>#N/A</v>
      </c>
      <c r="T124" s="3" t="e">
        <f>VLOOKUP(H124,AzureRegions!$A$4:$C$1493,3,FALSE)</f>
        <v>#N/A</v>
      </c>
      <c r="U124" s="3" t="e">
        <f>VLOOKUP(I124,Resources!$A$2:$AA$1503,2,FALSE)</f>
        <v>#N/A</v>
      </c>
      <c r="V124" s="3" t="e">
        <f>VLOOKUP(I124,Resources!$A$2:$H$1503,6,FALSE)</f>
        <v>#N/A</v>
      </c>
      <c r="W124" s="3" t="str">
        <f>VLOOKUP($H$2,Casing!$A$4:$A$60,1,FALSE)</f>
        <v>Lower</v>
      </c>
      <c r="X124" s="14" t="str">
        <f t="shared" si="3"/>
        <v>001</v>
      </c>
      <c r="Y124" s="3" t="str">
        <f>IFERROR(VLOOKUP(F124,Func!$A$4:$G$1500,2,FALSE),"none")</f>
        <v>none</v>
      </c>
      <c r="Z124" s="3" t="e">
        <f>VLOOKUP(I124,Resources!$A$2:$AA$1503,18,FALSE)</f>
        <v>#N/A</v>
      </c>
      <c r="AA124" s="3" t="str">
        <f>IFERROR(VLOOKUP(B124,Orgs!$A$4:$G$1500,2,FALSE),"none")</f>
        <v>none</v>
      </c>
      <c r="AB124" s="3" t="str">
        <f>IFERROR(VLOOKUP(C124,UnitsDepts!$A$4:$G$1500,2,FALSE),"none")</f>
        <v>none</v>
      </c>
      <c r="AC124" s="3" t="str">
        <f>IFERROR(VLOOKUP(D124,ProjAppSvc!$A$4:$G$1500,2,FALSE),"none")</f>
        <v>none</v>
      </c>
    </row>
    <row r="125" spans="1:29" x14ac:dyDescent="0.45">
      <c r="A125" s="14" t="s">
        <v>23</v>
      </c>
      <c r="B125" s="14"/>
      <c r="C125" s="14"/>
      <c r="D125" s="14"/>
      <c r="H125" s="8"/>
      <c r="I125" s="3"/>
      <c r="J125" s="3" t="str">
        <f t="shared" si="4"/>
        <v/>
      </c>
      <c r="K125" s="3" t="str">
        <f>IF(ISNUMBER(SEARCH("-",V125)),IFERROR(IF($H$2="Lower", LOWER(ComputeResourceName(Z125,#REF!,#REF!,G125,N125,O125,P125,Q125,S125,T125,V125,A125)), UPPER(ComputeResourceName(Z125,#REF!,#REF!,G125,N125,O125,P125,Q125,S125,T125,V125,A125))),""),SUBSTITUTE(IFERROR(IF($H$2="Lower", LOWER(ComputeResourceName(#REF!,#REF!,#REF!,G125,N125,O125,P125,Q125,S125,T125,V125,A125)), UPPER(ComputeResourceName(#REF!,#REF!,#REF!,G125,N125,O125,P125,Q125,S125,T125,V125,A125))),""), "-",""))</f>
        <v/>
      </c>
      <c r="L125" s="3" t="str">
        <f xml:space="preserve"> IF(K125="","",  IFERROR(VLOOKUP(I125,Resources!$B$1:$H$1503,5,FALSE)-LEN(K125),0))</f>
        <v/>
      </c>
      <c r="M125" s="3" t="str">
        <f>IF(K125="","",IFERROR(matches(K125,VLOOKUP(I125,Resources!$A$2:$AA$1503,16,FALSE)),FALSE))</f>
        <v/>
      </c>
      <c r="N125" s="3" t="e">
        <f>VLOOKUP(E125,Enviroments!$A$3:$D$59,1,FALSE)</f>
        <v>#N/A</v>
      </c>
      <c r="O125" s="3" t="e">
        <f>VLOOKUP(E125,Enviroments!$A$3:$D$59,2,FALSE)</f>
        <v>#N/A</v>
      </c>
      <c r="P125" s="3" t="e">
        <f>VLOOKUP(E125,Enviroments!$A$3:$D$59,3,FALSE)</f>
        <v>#N/A</v>
      </c>
      <c r="Q125" s="3" t="e">
        <f>VLOOKUP(E125,Enviroments!$A$3:$D$59,4,FALSE)</f>
        <v>#N/A</v>
      </c>
      <c r="R125" s="3" t="e">
        <f>VLOOKUP(H125,AzureRegions!$A$4:$B$1493,1,FALSE)</f>
        <v>#N/A</v>
      </c>
      <c r="S125" s="3" t="e">
        <f>VLOOKUP(H125,AzureRegions!$A$4:$B$1493,2,FALSE)</f>
        <v>#N/A</v>
      </c>
      <c r="T125" s="3" t="e">
        <f>VLOOKUP(H125,AzureRegions!$A$4:$C$1493,3,FALSE)</f>
        <v>#N/A</v>
      </c>
      <c r="U125" s="3" t="e">
        <f>VLOOKUP(I125,Resources!$A$2:$AA$1503,2,FALSE)</f>
        <v>#N/A</v>
      </c>
      <c r="V125" s="3" t="e">
        <f>VLOOKUP(I125,Resources!$A$2:$H$1503,6,FALSE)</f>
        <v>#N/A</v>
      </c>
      <c r="W125" s="3" t="str">
        <f>VLOOKUP($H$2,Casing!$A$4:$A$60,1,FALSE)</f>
        <v>Lower</v>
      </c>
      <c r="X125" s="14" t="str">
        <f t="shared" si="3"/>
        <v>001</v>
      </c>
      <c r="Y125" s="3" t="str">
        <f>IFERROR(VLOOKUP(F125,Func!$A$4:$G$1500,2,FALSE),"none")</f>
        <v>none</v>
      </c>
      <c r="Z125" s="3" t="e">
        <f>VLOOKUP(I125,Resources!$A$2:$AA$1503,18,FALSE)</f>
        <v>#N/A</v>
      </c>
      <c r="AA125" s="3" t="str">
        <f>IFERROR(VLOOKUP(B125,Orgs!$A$4:$G$1500,2,FALSE),"none")</f>
        <v>none</v>
      </c>
      <c r="AB125" s="3" t="str">
        <f>IFERROR(VLOOKUP(C125,UnitsDepts!$A$4:$G$1500,2,FALSE),"none")</f>
        <v>none</v>
      </c>
      <c r="AC125" s="3" t="str">
        <f>IFERROR(VLOOKUP(D125,ProjAppSvc!$A$4:$G$1500,2,FALSE),"none")</f>
        <v>none</v>
      </c>
    </row>
    <row r="126" spans="1:29" x14ac:dyDescent="0.45">
      <c r="A126" s="14" t="s">
        <v>23</v>
      </c>
      <c r="B126" s="14"/>
      <c r="C126" s="14"/>
      <c r="D126" s="14"/>
      <c r="H126" s="8"/>
      <c r="I126" s="3"/>
      <c r="J126" s="3" t="str">
        <f t="shared" si="4"/>
        <v/>
      </c>
      <c r="K126" s="3" t="str">
        <f>IF(ISNUMBER(SEARCH("-",V126)),IFERROR(IF($H$2="Lower", LOWER(ComputeResourceName(Z126,#REF!,#REF!,G126,N126,O126,P126,Q126,S126,T126,V126,A126)), UPPER(ComputeResourceName(Z126,#REF!,#REF!,G126,N126,O126,P126,Q126,S126,T126,V126,A126))),""),SUBSTITUTE(IFERROR(IF($H$2="Lower", LOWER(ComputeResourceName(#REF!,#REF!,#REF!,G126,N126,O126,P126,Q126,S126,T126,V126,A126)), UPPER(ComputeResourceName(#REF!,#REF!,#REF!,G126,N126,O126,P126,Q126,S126,T126,V126,A126))),""), "-",""))</f>
        <v/>
      </c>
      <c r="L126" s="3" t="str">
        <f xml:space="preserve"> IF(K126="","",  IFERROR(VLOOKUP(I126,Resources!$B$1:$H$1503,5,FALSE)-LEN(K126),0))</f>
        <v/>
      </c>
      <c r="M126" s="3" t="str">
        <f>IF(K126="","",IFERROR(matches(K126,VLOOKUP(I126,Resources!$A$2:$AA$1503,16,FALSE)),FALSE))</f>
        <v/>
      </c>
      <c r="N126" s="3" t="e">
        <f>VLOOKUP(E126,Enviroments!$A$3:$D$59,1,FALSE)</f>
        <v>#N/A</v>
      </c>
      <c r="O126" s="3" t="e">
        <f>VLOOKUP(E126,Enviroments!$A$3:$D$59,2,FALSE)</f>
        <v>#N/A</v>
      </c>
      <c r="P126" s="3" t="e">
        <f>VLOOKUP(E126,Enviroments!$A$3:$D$59,3,FALSE)</f>
        <v>#N/A</v>
      </c>
      <c r="Q126" s="3" t="e">
        <f>VLOOKUP(E126,Enviroments!$A$3:$D$59,4,FALSE)</f>
        <v>#N/A</v>
      </c>
      <c r="R126" s="3" t="e">
        <f>VLOOKUP(H126,AzureRegions!$A$4:$B$1493,1,FALSE)</f>
        <v>#N/A</v>
      </c>
      <c r="S126" s="3" t="e">
        <f>VLOOKUP(H126,AzureRegions!$A$4:$B$1493,2,FALSE)</f>
        <v>#N/A</v>
      </c>
      <c r="T126" s="3" t="e">
        <f>VLOOKUP(H126,AzureRegions!$A$4:$C$1493,3,FALSE)</f>
        <v>#N/A</v>
      </c>
      <c r="U126" s="3" t="e">
        <f>VLOOKUP(I126,Resources!$A$2:$AA$1503,2,FALSE)</f>
        <v>#N/A</v>
      </c>
      <c r="V126" s="3" t="e">
        <f>VLOOKUP(I126,Resources!$A$2:$H$1503,6,FALSE)</f>
        <v>#N/A</v>
      </c>
      <c r="W126" s="3" t="str">
        <f>VLOOKUP($H$2,Casing!$A$4:$A$60,1,FALSE)</f>
        <v>Lower</v>
      </c>
      <c r="X126" s="14" t="str">
        <f t="shared" si="3"/>
        <v>001</v>
      </c>
      <c r="Y126" s="3" t="str">
        <f>IFERROR(VLOOKUP(F126,Func!$A$4:$G$1500,2,FALSE),"none")</f>
        <v>none</v>
      </c>
      <c r="Z126" s="3" t="e">
        <f>VLOOKUP(I126,Resources!$A$2:$AA$1503,18,FALSE)</f>
        <v>#N/A</v>
      </c>
      <c r="AA126" s="3" t="str">
        <f>IFERROR(VLOOKUP(B126,Orgs!$A$4:$G$1500,2,FALSE),"none")</f>
        <v>none</v>
      </c>
      <c r="AB126" s="3" t="str">
        <f>IFERROR(VLOOKUP(C126,UnitsDepts!$A$4:$G$1500,2,FALSE),"none")</f>
        <v>none</v>
      </c>
      <c r="AC126" s="3" t="str">
        <f>IFERROR(VLOOKUP(D126,ProjAppSvc!$A$4:$G$1500,2,FALSE),"none")</f>
        <v>none</v>
      </c>
    </row>
    <row r="127" spans="1:29" x14ac:dyDescent="0.45">
      <c r="A127" s="14" t="s">
        <v>23</v>
      </c>
      <c r="B127" s="14"/>
      <c r="C127" s="14"/>
      <c r="D127" s="14"/>
      <c r="H127" s="8"/>
      <c r="I127" s="3"/>
      <c r="J127" s="3" t="str">
        <f t="shared" si="4"/>
        <v/>
      </c>
      <c r="K127" s="3" t="str">
        <f>IF(ISNUMBER(SEARCH("-",V127)),IFERROR(IF($H$2="Lower", LOWER(ComputeResourceName(Z127,#REF!,#REF!,G127,N127,O127,P127,Q127,S127,T127,V127,A127)), UPPER(ComputeResourceName(Z127,#REF!,#REF!,G127,N127,O127,P127,Q127,S127,T127,V127,A127))),""),SUBSTITUTE(IFERROR(IF($H$2="Lower", LOWER(ComputeResourceName(#REF!,#REF!,#REF!,G127,N127,O127,P127,Q127,S127,T127,V127,A127)), UPPER(ComputeResourceName(#REF!,#REF!,#REF!,G127,N127,O127,P127,Q127,S127,T127,V127,A127))),""), "-",""))</f>
        <v/>
      </c>
      <c r="L127" s="3" t="str">
        <f xml:space="preserve"> IF(K127="","",  IFERROR(VLOOKUP(I127,Resources!$B$1:$H$1503,5,FALSE)-LEN(K127),0))</f>
        <v/>
      </c>
      <c r="M127" s="3" t="str">
        <f>IF(K127="","",IFERROR(matches(K127,VLOOKUP(I127,Resources!$A$2:$AA$1503,16,FALSE)),FALSE))</f>
        <v/>
      </c>
      <c r="N127" s="3" t="e">
        <f>VLOOKUP(E127,Enviroments!$A$3:$D$59,1,FALSE)</f>
        <v>#N/A</v>
      </c>
      <c r="O127" s="3" t="e">
        <f>VLOOKUP(E127,Enviroments!$A$3:$D$59,2,FALSE)</f>
        <v>#N/A</v>
      </c>
      <c r="P127" s="3" t="e">
        <f>VLOOKUP(E127,Enviroments!$A$3:$D$59,3,FALSE)</f>
        <v>#N/A</v>
      </c>
      <c r="Q127" s="3" t="e">
        <f>VLOOKUP(E127,Enviroments!$A$3:$D$59,4,FALSE)</f>
        <v>#N/A</v>
      </c>
      <c r="R127" s="3" t="e">
        <f>VLOOKUP(H127,AzureRegions!$A$4:$B$1493,1,FALSE)</f>
        <v>#N/A</v>
      </c>
      <c r="S127" s="3" t="e">
        <f>VLOOKUP(H127,AzureRegions!$A$4:$B$1493,2,FALSE)</f>
        <v>#N/A</v>
      </c>
      <c r="T127" s="3" t="e">
        <f>VLOOKUP(H127,AzureRegions!$A$4:$C$1493,3,FALSE)</f>
        <v>#N/A</v>
      </c>
      <c r="U127" s="3" t="e">
        <f>VLOOKUP(I127,Resources!$A$2:$AA$1503,2,FALSE)</f>
        <v>#N/A</v>
      </c>
      <c r="V127" s="3" t="e">
        <f>VLOOKUP(I127,Resources!$A$2:$H$1503,6,FALSE)</f>
        <v>#N/A</v>
      </c>
      <c r="W127" s="3" t="str">
        <f>VLOOKUP($H$2,Casing!$A$4:$A$60,1,FALSE)</f>
        <v>Lower</v>
      </c>
      <c r="X127" s="14" t="str">
        <f t="shared" si="3"/>
        <v>001</v>
      </c>
      <c r="Y127" s="3" t="str">
        <f>IFERROR(VLOOKUP(F127,Func!$A$4:$G$1500,2,FALSE),"none")</f>
        <v>none</v>
      </c>
      <c r="Z127" s="3" t="e">
        <f>VLOOKUP(I127,Resources!$A$2:$AA$1503,18,FALSE)</f>
        <v>#N/A</v>
      </c>
      <c r="AA127" s="3" t="str">
        <f>IFERROR(VLOOKUP(B127,Orgs!$A$4:$G$1500,2,FALSE),"none")</f>
        <v>none</v>
      </c>
      <c r="AB127" s="3" t="str">
        <f>IFERROR(VLOOKUP(C127,UnitsDepts!$A$4:$G$1500,2,FALSE),"none")</f>
        <v>none</v>
      </c>
      <c r="AC127" s="3" t="str">
        <f>IFERROR(VLOOKUP(D127,ProjAppSvc!$A$4:$G$1500,2,FALSE),"none")</f>
        <v>none</v>
      </c>
    </row>
    <row r="128" spans="1:29" x14ac:dyDescent="0.45">
      <c r="A128" s="14" t="s">
        <v>23</v>
      </c>
      <c r="B128" s="14"/>
      <c r="C128" s="14"/>
      <c r="D128" s="14"/>
      <c r="H128" s="8"/>
      <c r="I128" s="3"/>
      <c r="J128" s="3" t="str">
        <f t="shared" si="4"/>
        <v/>
      </c>
      <c r="K128" s="3" t="str">
        <f>IF(ISNUMBER(SEARCH("-",V128)),IFERROR(IF($H$2="Lower", LOWER(ComputeResourceName(Z128,#REF!,#REF!,G128,N128,O128,P128,Q128,S128,T128,V128,A128)), UPPER(ComputeResourceName(Z128,#REF!,#REF!,G128,N128,O128,P128,Q128,S128,T128,V128,A128))),""),SUBSTITUTE(IFERROR(IF($H$2="Lower", LOWER(ComputeResourceName(#REF!,#REF!,#REF!,G128,N128,O128,P128,Q128,S128,T128,V128,A128)), UPPER(ComputeResourceName(#REF!,#REF!,#REF!,G128,N128,O128,P128,Q128,S128,T128,V128,A128))),""), "-",""))</f>
        <v/>
      </c>
      <c r="L128" s="3" t="str">
        <f xml:space="preserve"> IF(K128="","",  IFERROR(VLOOKUP(I128,Resources!$B$1:$H$1503,5,FALSE)-LEN(K128),0))</f>
        <v/>
      </c>
      <c r="M128" s="3" t="str">
        <f>IF(K128="","",IFERROR(matches(K128,VLOOKUP(I128,Resources!$A$2:$AA$1503,16,FALSE)),FALSE))</f>
        <v/>
      </c>
      <c r="N128" s="3" t="e">
        <f>VLOOKUP(E128,Enviroments!$A$3:$D$59,1,FALSE)</f>
        <v>#N/A</v>
      </c>
      <c r="O128" s="3" t="e">
        <f>VLOOKUP(E128,Enviroments!$A$3:$D$59,2,FALSE)</f>
        <v>#N/A</v>
      </c>
      <c r="P128" s="3" t="e">
        <f>VLOOKUP(E128,Enviroments!$A$3:$D$59,3,FALSE)</f>
        <v>#N/A</v>
      </c>
      <c r="Q128" s="3" t="e">
        <f>VLOOKUP(E128,Enviroments!$A$3:$D$59,4,FALSE)</f>
        <v>#N/A</v>
      </c>
      <c r="R128" s="3" t="e">
        <f>VLOOKUP(H128,AzureRegions!$A$4:$B$1493,1,FALSE)</f>
        <v>#N/A</v>
      </c>
      <c r="S128" s="3" t="e">
        <f>VLOOKUP(H128,AzureRegions!$A$4:$B$1493,2,FALSE)</f>
        <v>#N/A</v>
      </c>
      <c r="T128" s="3" t="e">
        <f>VLOOKUP(H128,AzureRegions!$A$4:$C$1493,3,FALSE)</f>
        <v>#N/A</v>
      </c>
      <c r="U128" s="3" t="e">
        <f>VLOOKUP(I128,Resources!$A$2:$AA$1503,2,FALSE)</f>
        <v>#N/A</v>
      </c>
      <c r="V128" s="3" t="e">
        <f>VLOOKUP(I128,Resources!$A$2:$H$1503,6,FALSE)</f>
        <v>#N/A</v>
      </c>
      <c r="W128" s="3" t="str">
        <f>VLOOKUP($H$2,Casing!$A$4:$A$60,1,FALSE)</f>
        <v>Lower</v>
      </c>
      <c r="X128" s="14" t="str">
        <f t="shared" si="3"/>
        <v>001</v>
      </c>
      <c r="Y128" s="3" t="str">
        <f>IFERROR(VLOOKUP(F128,Func!$A$4:$G$1500,2,FALSE),"none")</f>
        <v>none</v>
      </c>
      <c r="Z128" s="3" t="e">
        <f>VLOOKUP(I128,Resources!$A$2:$AA$1503,18,FALSE)</f>
        <v>#N/A</v>
      </c>
      <c r="AA128" s="3" t="str">
        <f>IFERROR(VLOOKUP(B128,Orgs!$A$4:$G$1500,2,FALSE),"none")</f>
        <v>none</v>
      </c>
      <c r="AB128" s="3" t="str">
        <f>IFERROR(VLOOKUP(C128,UnitsDepts!$A$4:$G$1500,2,FALSE),"none")</f>
        <v>none</v>
      </c>
      <c r="AC128" s="3" t="str">
        <f>IFERROR(VLOOKUP(D128,ProjAppSvc!$A$4:$G$1500,2,FALSE),"none")</f>
        <v>none</v>
      </c>
    </row>
    <row r="129" spans="1:29" x14ac:dyDescent="0.45">
      <c r="A129" s="14" t="s">
        <v>23</v>
      </c>
      <c r="B129" s="14"/>
      <c r="C129" s="14"/>
      <c r="D129" s="14"/>
      <c r="H129" s="8"/>
      <c r="I129" s="3"/>
      <c r="J129" s="3" t="str">
        <f t="shared" si="4"/>
        <v/>
      </c>
      <c r="K129" s="3" t="str">
        <f>IF(ISNUMBER(SEARCH("-",V129)),IFERROR(IF($H$2="Lower", LOWER(ComputeResourceName(Z129,#REF!,#REF!,G129,N129,O129,P129,Q129,S129,T129,V129,A129)), UPPER(ComputeResourceName(Z129,#REF!,#REF!,G129,N129,O129,P129,Q129,S129,T129,V129,A129))),""),SUBSTITUTE(IFERROR(IF($H$2="Lower", LOWER(ComputeResourceName(#REF!,#REF!,#REF!,G129,N129,O129,P129,Q129,S129,T129,V129,A129)), UPPER(ComputeResourceName(#REF!,#REF!,#REF!,G129,N129,O129,P129,Q129,S129,T129,V129,A129))),""), "-",""))</f>
        <v/>
      </c>
      <c r="L129" s="3" t="str">
        <f xml:space="preserve"> IF(K129="","",  IFERROR(VLOOKUP(I129,Resources!$B$1:$H$1503,5,FALSE)-LEN(K129),0))</f>
        <v/>
      </c>
      <c r="M129" s="3" t="str">
        <f>IF(K129="","",IFERROR(matches(K129,VLOOKUP(I129,Resources!$A$2:$AA$1503,16,FALSE)),FALSE))</f>
        <v/>
      </c>
      <c r="N129" s="3" t="e">
        <f>VLOOKUP(E129,Enviroments!$A$3:$D$59,1,FALSE)</f>
        <v>#N/A</v>
      </c>
      <c r="O129" s="3" t="e">
        <f>VLOOKUP(E129,Enviroments!$A$3:$D$59,2,FALSE)</f>
        <v>#N/A</v>
      </c>
      <c r="P129" s="3" t="e">
        <f>VLOOKUP(E129,Enviroments!$A$3:$D$59,3,FALSE)</f>
        <v>#N/A</v>
      </c>
      <c r="Q129" s="3" t="e">
        <f>VLOOKUP(E129,Enviroments!$A$3:$D$59,4,FALSE)</f>
        <v>#N/A</v>
      </c>
      <c r="R129" s="3" t="e">
        <f>VLOOKUP(H129,AzureRegions!$A$4:$B$1493,1,FALSE)</f>
        <v>#N/A</v>
      </c>
      <c r="S129" s="3" t="e">
        <f>VLOOKUP(H129,AzureRegions!$A$4:$B$1493,2,FALSE)</f>
        <v>#N/A</v>
      </c>
      <c r="T129" s="3" t="e">
        <f>VLOOKUP(H129,AzureRegions!$A$4:$C$1493,3,FALSE)</f>
        <v>#N/A</v>
      </c>
      <c r="U129" s="3" t="e">
        <f>VLOOKUP(I129,Resources!$A$2:$AA$1503,2,FALSE)</f>
        <v>#N/A</v>
      </c>
      <c r="V129" s="3" t="e">
        <f>VLOOKUP(I129,Resources!$A$2:$H$1503,6,FALSE)</f>
        <v>#N/A</v>
      </c>
      <c r="W129" s="3" t="str">
        <f>VLOOKUP($H$2,Casing!$A$4:$A$60,1,FALSE)</f>
        <v>Lower</v>
      </c>
      <c r="X129" s="14" t="str">
        <f t="shared" si="3"/>
        <v>001</v>
      </c>
      <c r="Y129" s="3" t="str">
        <f>IFERROR(VLOOKUP(F129,Func!$A$4:$G$1500,2,FALSE),"none")</f>
        <v>none</v>
      </c>
      <c r="Z129" s="3" t="e">
        <f>VLOOKUP(I129,Resources!$A$2:$AA$1503,18,FALSE)</f>
        <v>#N/A</v>
      </c>
      <c r="AA129" s="3" t="str">
        <f>IFERROR(VLOOKUP(B129,Orgs!$A$4:$G$1500,2,FALSE),"none")</f>
        <v>none</v>
      </c>
      <c r="AB129" s="3" t="str">
        <f>IFERROR(VLOOKUP(C129,UnitsDepts!$A$4:$G$1500,2,FALSE),"none")</f>
        <v>none</v>
      </c>
      <c r="AC129" s="3" t="str">
        <f>IFERROR(VLOOKUP(D129,ProjAppSvc!$A$4:$G$1500,2,FALSE),"none")</f>
        <v>none</v>
      </c>
    </row>
    <row r="130" spans="1:29" x14ac:dyDescent="0.45">
      <c r="A130" s="14" t="s">
        <v>23</v>
      </c>
      <c r="B130" s="14"/>
      <c r="C130" s="14"/>
      <c r="D130" s="14"/>
      <c r="H130" s="8"/>
      <c r="I130" s="3"/>
      <c r="J130" s="3" t="str">
        <f t="shared" si="4"/>
        <v/>
      </c>
      <c r="K130" s="3" t="str">
        <f>IF(ISNUMBER(SEARCH("-",V130)),IFERROR(IF($H$2="Lower", LOWER(ComputeResourceName(Z130,#REF!,#REF!,G130,N130,O130,P130,Q130,S130,T130,V130,A130)), UPPER(ComputeResourceName(Z130,#REF!,#REF!,G130,N130,O130,P130,Q130,S130,T130,V130,A130))),""),SUBSTITUTE(IFERROR(IF($H$2="Lower", LOWER(ComputeResourceName(#REF!,#REF!,#REF!,G130,N130,O130,P130,Q130,S130,T130,V130,A130)), UPPER(ComputeResourceName(#REF!,#REF!,#REF!,G130,N130,O130,P130,Q130,S130,T130,V130,A130))),""), "-",""))</f>
        <v/>
      </c>
      <c r="L130" s="3" t="str">
        <f xml:space="preserve"> IF(K130="","",  IFERROR(VLOOKUP(I130,Resources!$B$1:$H$1503,5,FALSE)-LEN(K130),0))</f>
        <v/>
      </c>
      <c r="M130" s="3" t="str">
        <f>IF(K130="","",IFERROR(matches(K130,VLOOKUP(I130,Resources!$A$2:$AA$1503,16,FALSE)),FALSE))</f>
        <v/>
      </c>
      <c r="N130" s="3" t="e">
        <f>VLOOKUP(E130,Enviroments!$A$3:$D$59,1,FALSE)</f>
        <v>#N/A</v>
      </c>
      <c r="O130" s="3" t="e">
        <f>VLOOKUP(E130,Enviroments!$A$3:$D$59,2,FALSE)</f>
        <v>#N/A</v>
      </c>
      <c r="P130" s="3" t="e">
        <f>VLOOKUP(E130,Enviroments!$A$3:$D$59,3,FALSE)</f>
        <v>#N/A</v>
      </c>
      <c r="Q130" s="3" t="e">
        <f>VLOOKUP(E130,Enviroments!$A$3:$D$59,4,FALSE)</f>
        <v>#N/A</v>
      </c>
      <c r="R130" s="3" t="e">
        <f>VLOOKUP(H130,AzureRegions!$A$4:$B$1493,1,FALSE)</f>
        <v>#N/A</v>
      </c>
      <c r="S130" s="3" t="e">
        <f>VLOOKUP(H130,AzureRegions!$A$4:$B$1493,2,FALSE)</f>
        <v>#N/A</v>
      </c>
      <c r="T130" s="3" t="e">
        <f>VLOOKUP(H130,AzureRegions!$A$4:$C$1493,3,FALSE)</f>
        <v>#N/A</v>
      </c>
      <c r="U130" s="3" t="e">
        <f>VLOOKUP(I130,Resources!$A$2:$AA$1503,2,FALSE)</f>
        <v>#N/A</v>
      </c>
      <c r="V130" s="3" t="e">
        <f>VLOOKUP(I130,Resources!$A$2:$H$1503,6,FALSE)</f>
        <v>#N/A</v>
      </c>
      <c r="W130" s="3" t="str">
        <f>VLOOKUP($H$2,Casing!$A$4:$A$60,1,FALSE)</f>
        <v>Lower</v>
      </c>
      <c r="X130" s="14" t="str">
        <f t="shared" si="3"/>
        <v>001</v>
      </c>
      <c r="Y130" s="3" t="str">
        <f>IFERROR(VLOOKUP(F130,Func!$A$4:$G$1500,2,FALSE),"none")</f>
        <v>none</v>
      </c>
      <c r="Z130" s="3" t="e">
        <f>VLOOKUP(I130,Resources!$A$2:$AA$1503,18,FALSE)</f>
        <v>#N/A</v>
      </c>
      <c r="AA130" s="3" t="str">
        <f>IFERROR(VLOOKUP(B130,Orgs!$A$4:$G$1500,2,FALSE),"none")</f>
        <v>none</v>
      </c>
      <c r="AB130" s="3" t="str">
        <f>IFERROR(VLOOKUP(C130,UnitsDepts!$A$4:$G$1500,2,FALSE),"none")</f>
        <v>none</v>
      </c>
      <c r="AC130" s="3" t="str">
        <f>IFERROR(VLOOKUP(D130,ProjAppSvc!$A$4:$G$1500,2,FALSE),"none")</f>
        <v>none</v>
      </c>
    </row>
    <row r="131" spans="1:29" x14ac:dyDescent="0.45">
      <c r="A131" s="14" t="s">
        <v>23</v>
      </c>
      <c r="B131" s="14"/>
      <c r="C131" s="14"/>
      <c r="D131" s="14"/>
      <c r="H131" s="8"/>
      <c r="I131" s="3"/>
      <c r="J131" s="3" t="str">
        <f t="shared" si="4"/>
        <v/>
      </c>
      <c r="K131" s="3" t="str">
        <f>IF(ISNUMBER(SEARCH("-",V131)),IFERROR(IF($H$2="Lower", LOWER(ComputeResourceName(Z131,#REF!,#REF!,G131,N131,O131,P131,Q131,S131,T131,V131,A131)), UPPER(ComputeResourceName(Z131,#REF!,#REF!,G131,N131,O131,P131,Q131,S131,T131,V131,A131))),""),SUBSTITUTE(IFERROR(IF($H$2="Lower", LOWER(ComputeResourceName(#REF!,#REF!,#REF!,G131,N131,O131,P131,Q131,S131,T131,V131,A131)), UPPER(ComputeResourceName(#REF!,#REF!,#REF!,G131,N131,O131,P131,Q131,S131,T131,V131,A131))),""), "-",""))</f>
        <v/>
      </c>
      <c r="L131" s="3" t="str">
        <f xml:space="preserve"> IF(K131="","",  IFERROR(VLOOKUP(I131,Resources!$B$1:$H$1503,5,FALSE)-LEN(K131),0))</f>
        <v/>
      </c>
      <c r="M131" s="3" t="str">
        <f>IF(K131="","",IFERROR(matches(K131,VLOOKUP(I131,Resources!$A$2:$AA$1503,16,FALSE)),FALSE))</f>
        <v/>
      </c>
      <c r="N131" s="3" t="e">
        <f>VLOOKUP(E131,Enviroments!$A$3:$D$59,1,FALSE)</f>
        <v>#N/A</v>
      </c>
      <c r="O131" s="3" t="e">
        <f>VLOOKUP(E131,Enviroments!$A$3:$D$59,2,FALSE)</f>
        <v>#N/A</v>
      </c>
      <c r="P131" s="3" t="e">
        <f>VLOOKUP(E131,Enviroments!$A$3:$D$59,3,FALSE)</f>
        <v>#N/A</v>
      </c>
      <c r="Q131" s="3" t="e">
        <f>VLOOKUP(E131,Enviroments!$A$3:$D$59,4,FALSE)</f>
        <v>#N/A</v>
      </c>
      <c r="R131" s="3" t="e">
        <f>VLOOKUP(H131,AzureRegions!$A$4:$B$1493,1,FALSE)</f>
        <v>#N/A</v>
      </c>
      <c r="S131" s="3" t="e">
        <f>VLOOKUP(H131,AzureRegions!$A$4:$B$1493,2,FALSE)</f>
        <v>#N/A</v>
      </c>
      <c r="T131" s="3" t="e">
        <f>VLOOKUP(H131,AzureRegions!$A$4:$C$1493,3,FALSE)</f>
        <v>#N/A</v>
      </c>
      <c r="U131" s="3" t="e">
        <f>VLOOKUP(I131,Resources!$A$2:$AA$1503,2,FALSE)</f>
        <v>#N/A</v>
      </c>
      <c r="V131" s="3" t="e">
        <f>VLOOKUP(I131,Resources!$A$2:$H$1503,6,FALSE)</f>
        <v>#N/A</v>
      </c>
      <c r="W131" s="3" t="str">
        <f>VLOOKUP($H$2,Casing!$A$4:$A$60,1,FALSE)</f>
        <v>Lower</v>
      </c>
      <c r="X131" s="14" t="str">
        <f t="shared" si="3"/>
        <v>001</v>
      </c>
      <c r="Y131" s="3" t="str">
        <f>IFERROR(VLOOKUP(F131,Func!$A$4:$G$1500,2,FALSE),"none")</f>
        <v>none</v>
      </c>
      <c r="Z131" s="3" t="e">
        <f>VLOOKUP(I131,Resources!$A$2:$AA$1503,18,FALSE)</f>
        <v>#N/A</v>
      </c>
      <c r="AA131" s="3" t="str">
        <f>IFERROR(VLOOKUP(B131,Orgs!$A$4:$G$1500,2,FALSE),"none")</f>
        <v>none</v>
      </c>
      <c r="AB131" s="3" t="str">
        <f>IFERROR(VLOOKUP(C131,UnitsDepts!$A$4:$G$1500,2,FALSE),"none")</f>
        <v>none</v>
      </c>
      <c r="AC131" s="3" t="str">
        <f>IFERROR(VLOOKUP(D131,ProjAppSvc!$A$4:$G$1500,2,FALSE),"none")</f>
        <v>none</v>
      </c>
    </row>
    <row r="132" spans="1:29" x14ac:dyDescent="0.45">
      <c r="A132" s="14" t="s">
        <v>23</v>
      </c>
      <c r="B132" s="14"/>
      <c r="C132" s="14"/>
      <c r="D132" s="14"/>
      <c r="H132" s="8"/>
      <c r="I132" s="3"/>
      <c r="J132" s="3" t="str">
        <f t="shared" si="4"/>
        <v/>
      </c>
      <c r="K132" s="3" t="str">
        <f>IF(ISNUMBER(SEARCH("-",V132)),IFERROR(IF($H$2="Lower", LOWER(ComputeResourceName(Z132,#REF!,#REF!,G132,N132,O132,P132,Q132,S132,T132,V132,A132)), UPPER(ComputeResourceName(Z132,#REF!,#REF!,G132,N132,O132,P132,Q132,S132,T132,V132,A132))),""),SUBSTITUTE(IFERROR(IF($H$2="Lower", LOWER(ComputeResourceName(#REF!,#REF!,#REF!,G132,N132,O132,P132,Q132,S132,T132,V132,A132)), UPPER(ComputeResourceName(#REF!,#REF!,#REF!,G132,N132,O132,P132,Q132,S132,T132,V132,A132))),""), "-",""))</f>
        <v/>
      </c>
      <c r="L132" s="3" t="str">
        <f xml:space="preserve"> IF(K132="","",  IFERROR(VLOOKUP(I132,Resources!$B$1:$H$1503,5,FALSE)-LEN(K132),0))</f>
        <v/>
      </c>
      <c r="M132" s="3" t="str">
        <f>IF(K132="","",IFERROR(matches(K132,VLOOKUP(I132,Resources!$A$2:$AA$1503,16,FALSE)),FALSE))</f>
        <v/>
      </c>
      <c r="N132" s="3" t="e">
        <f>VLOOKUP(E132,Enviroments!$A$3:$D$59,1,FALSE)</f>
        <v>#N/A</v>
      </c>
      <c r="O132" s="3" t="e">
        <f>VLOOKUP(E132,Enviroments!$A$3:$D$59,2,FALSE)</f>
        <v>#N/A</v>
      </c>
      <c r="P132" s="3" t="e">
        <f>VLOOKUP(E132,Enviroments!$A$3:$D$59,3,FALSE)</f>
        <v>#N/A</v>
      </c>
      <c r="Q132" s="3" t="e">
        <f>VLOOKUP(E132,Enviroments!$A$3:$D$59,4,FALSE)</f>
        <v>#N/A</v>
      </c>
      <c r="R132" s="3" t="e">
        <f>VLOOKUP(H132,AzureRegions!$A$4:$B$1493,1,FALSE)</f>
        <v>#N/A</v>
      </c>
      <c r="S132" s="3" t="e">
        <f>VLOOKUP(H132,AzureRegions!$A$4:$B$1493,2,FALSE)</f>
        <v>#N/A</v>
      </c>
      <c r="T132" s="3" t="e">
        <f>VLOOKUP(H132,AzureRegions!$A$4:$C$1493,3,FALSE)</f>
        <v>#N/A</v>
      </c>
      <c r="U132" s="3" t="e">
        <f>VLOOKUP(I132,Resources!$A$2:$AA$1503,2,FALSE)</f>
        <v>#N/A</v>
      </c>
      <c r="V132" s="3" t="e">
        <f>VLOOKUP(I132,Resources!$A$2:$H$1503,6,FALSE)</f>
        <v>#N/A</v>
      </c>
      <c r="W132" s="3" t="str">
        <f>VLOOKUP($H$2,Casing!$A$4:$A$60,1,FALSE)</f>
        <v>Lower</v>
      </c>
      <c r="X132" s="14" t="str">
        <f t="shared" si="3"/>
        <v>001</v>
      </c>
      <c r="Y132" s="3" t="str">
        <f>IFERROR(VLOOKUP(F132,Func!$A$4:$G$1500,2,FALSE),"none")</f>
        <v>none</v>
      </c>
      <c r="Z132" s="3" t="e">
        <f>VLOOKUP(I132,Resources!$A$2:$AA$1503,18,FALSE)</f>
        <v>#N/A</v>
      </c>
      <c r="AA132" s="3" t="str">
        <f>IFERROR(VLOOKUP(B132,Orgs!$A$4:$G$1500,2,FALSE),"none")</f>
        <v>none</v>
      </c>
      <c r="AB132" s="3" t="str">
        <f>IFERROR(VLOOKUP(C132,UnitsDepts!$A$4:$G$1500,2,FALSE),"none")</f>
        <v>none</v>
      </c>
      <c r="AC132" s="3" t="str">
        <f>IFERROR(VLOOKUP(D132,ProjAppSvc!$A$4:$G$1500,2,FALSE),"none")</f>
        <v>none</v>
      </c>
    </row>
    <row r="133" spans="1:29" x14ac:dyDescent="0.45">
      <c r="A133" s="14" t="s">
        <v>23</v>
      </c>
      <c r="B133" s="14"/>
      <c r="C133" s="14"/>
      <c r="D133" s="14"/>
      <c r="H133" s="8"/>
      <c r="I133" s="3"/>
      <c r="J133" s="3" t="str">
        <f t="shared" si="4"/>
        <v/>
      </c>
      <c r="K133" s="3" t="str">
        <f>IF(ISNUMBER(SEARCH("-",V133)),IFERROR(IF($H$2="Lower", LOWER(ComputeResourceName(Z133,#REF!,#REF!,G133,N133,O133,P133,Q133,S133,T133,V133,A133)), UPPER(ComputeResourceName(Z133,#REF!,#REF!,G133,N133,O133,P133,Q133,S133,T133,V133,A133))),""),SUBSTITUTE(IFERROR(IF($H$2="Lower", LOWER(ComputeResourceName(#REF!,#REF!,#REF!,G133,N133,O133,P133,Q133,S133,T133,V133,A133)), UPPER(ComputeResourceName(#REF!,#REF!,#REF!,G133,N133,O133,P133,Q133,S133,T133,V133,A133))),""), "-",""))</f>
        <v/>
      </c>
      <c r="L133" s="3" t="str">
        <f xml:space="preserve"> IF(K133="","",  IFERROR(VLOOKUP(I133,Resources!$B$1:$H$1503,5,FALSE)-LEN(K133),0))</f>
        <v/>
      </c>
      <c r="M133" s="3" t="str">
        <f>IF(K133="","",IFERROR(matches(K133,VLOOKUP(I133,Resources!$A$2:$AA$1503,16,FALSE)),FALSE))</f>
        <v/>
      </c>
      <c r="N133" s="3" t="e">
        <f>VLOOKUP(E133,Enviroments!$A$3:$D$59,1,FALSE)</f>
        <v>#N/A</v>
      </c>
      <c r="O133" s="3" t="e">
        <f>VLOOKUP(E133,Enviroments!$A$3:$D$59,2,FALSE)</f>
        <v>#N/A</v>
      </c>
      <c r="P133" s="3" t="e">
        <f>VLOOKUP(E133,Enviroments!$A$3:$D$59,3,FALSE)</f>
        <v>#N/A</v>
      </c>
      <c r="Q133" s="3" t="e">
        <f>VLOOKUP(E133,Enviroments!$A$3:$D$59,4,FALSE)</f>
        <v>#N/A</v>
      </c>
      <c r="R133" s="3" t="e">
        <f>VLOOKUP(H133,AzureRegions!$A$4:$B$1493,1,FALSE)</f>
        <v>#N/A</v>
      </c>
      <c r="S133" s="3" t="e">
        <f>VLOOKUP(H133,AzureRegions!$A$4:$B$1493,2,FALSE)</f>
        <v>#N/A</v>
      </c>
      <c r="T133" s="3" t="e">
        <f>VLOOKUP(H133,AzureRegions!$A$4:$C$1493,3,FALSE)</f>
        <v>#N/A</v>
      </c>
      <c r="U133" s="3" t="e">
        <f>VLOOKUP(I133,Resources!$A$2:$AA$1503,2,FALSE)</f>
        <v>#N/A</v>
      </c>
      <c r="V133" s="3" t="e">
        <f>VLOOKUP(I133,Resources!$A$2:$H$1503,6,FALSE)</f>
        <v>#N/A</v>
      </c>
      <c r="W133" s="3" t="str">
        <f>VLOOKUP($H$2,Casing!$A$4:$A$60,1,FALSE)</f>
        <v>Lower</v>
      </c>
      <c r="X133" s="14" t="str">
        <f t="shared" si="3"/>
        <v>001</v>
      </c>
      <c r="Y133" s="3" t="str">
        <f>IFERROR(VLOOKUP(F133,Func!$A$4:$G$1500,2,FALSE),"none")</f>
        <v>none</v>
      </c>
      <c r="Z133" s="3" t="e">
        <f>VLOOKUP(I133,Resources!$A$2:$AA$1503,18,FALSE)</f>
        <v>#N/A</v>
      </c>
      <c r="AA133" s="3" t="str">
        <f>IFERROR(VLOOKUP(B133,Orgs!$A$4:$G$1500,2,FALSE),"none")</f>
        <v>none</v>
      </c>
      <c r="AB133" s="3" t="str">
        <f>IFERROR(VLOOKUP(C133,UnitsDepts!$A$4:$G$1500,2,FALSE),"none")</f>
        <v>none</v>
      </c>
      <c r="AC133" s="3" t="str">
        <f>IFERROR(VLOOKUP(D133,ProjAppSvc!$A$4:$G$1500,2,FALSE),"none")</f>
        <v>none</v>
      </c>
    </row>
    <row r="134" spans="1:29" x14ac:dyDescent="0.45">
      <c r="A134" s="14" t="s">
        <v>23</v>
      </c>
      <c r="B134" s="14"/>
      <c r="C134" s="14"/>
      <c r="D134" s="14"/>
      <c r="H134" s="8"/>
      <c r="I134" s="3"/>
      <c r="J134" s="3" t="str">
        <f t="shared" si="4"/>
        <v/>
      </c>
      <c r="K134" s="3" t="str">
        <f>IF(ISNUMBER(SEARCH("-",V134)),IFERROR(IF($H$2="Lower", LOWER(ComputeResourceName(Z134,#REF!,#REF!,G134,N134,O134,P134,Q134,S134,T134,V134,A134)), UPPER(ComputeResourceName(Z134,#REF!,#REF!,G134,N134,O134,P134,Q134,S134,T134,V134,A134))),""),SUBSTITUTE(IFERROR(IF($H$2="Lower", LOWER(ComputeResourceName(#REF!,#REF!,#REF!,G134,N134,O134,P134,Q134,S134,T134,V134,A134)), UPPER(ComputeResourceName(#REF!,#REF!,#REF!,G134,N134,O134,P134,Q134,S134,T134,V134,A134))),""), "-",""))</f>
        <v/>
      </c>
      <c r="L134" s="3" t="str">
        <f xml:space="preserve"> IF(K134="","",  IFERROR(VLOOKUP(I134,Resources!$B$1:$H$1503,5,FALSE)-LEN(K134),0))</f>
        <v/>
      </c>
      <c r="M134" s="3" t="str">
        <f>IF(K134="","",IFERROR(matches(K134,VLOOKUP(I134,Resources!$A$2:$AA$1503,16,FALSE)),FALSE))</f>
        <v/>
      </c>
      <c r="N134" s="3" t="e">
        <f>VLOOKUP(E134,Enviroments!$A$3:$D$59,1,FALSE)</f>
        <v>#N/A</v>
      </c>
      <c r="O134" s="3" t="e">
        <f>VLOOKUP(E134,Enviroments!$A$3:$D$59,2,FALSE)</f>
        <v>#N/A</v>
      </c>
      <c r="P134" s="3" t="e">
        <f>VLOOKUP(E134,Enviroments!$A$3:$D$59,3,FALSE)</f>
        <v>#N/A</v>
      </c>
      <c r="Q134" s="3" t="e">
        <f>VLOOKUP(E134,Enviroments!$A$3:$D$59,4,FALSE)</f>
        <v>#N/A</v>
      </c>
      <c r="R134" s="3" t="e">
        <f>VLOOKUP(H134,AzureRegions!$A$4:$B$1493,1,FALSE)</f>
        <v>#N/A</v>
      </c>
      <c r="S134" s="3" t="e">
        <f>VLOOKUP(H134,AzureRegions!$A$4:$B$1493,2,FALSE)</f>
        <v>#N/A</v>
      </c>
      <c r="T134" s="3" t="e">
        <f>VLOOKUP(H134,AzureRegions!$A$4:$C$1493,3,FALSE)</f>
        <v>#N/A</v>
      </c>
      <c r="U134" s="3" t="e">
        <f>VLOOKUP(I134,Resources!$A$2:$AA$1503,2,FALSE)</f>
        <v>#N/A</v>
      </c>
      <c r="V134" s="3" t="e">
        <f>VLOOKUP(I134,Resources!$A$2:$H$1503,6,FALSE)</f>
        <v>#N/A</v>
      </c>
      <c r="W134" s="3" t="str">
        <f>VLOOKUP($H$2,Casing!$A$4:$A$60,1,FALSE)</f>
        <v>Lower</v>
      </c>
      <c r="X134" s="14" t="str">
        <f t="shared" si="3"/>
        <v>001</v>
      </c>
      <c r="Y134" s="3" t="str">
        <f>IFERROR(VLOOKUP(F134,Func!$A$4:$G$1500,2,FALSE),"none")</f>
        <v>none</v>
      </c>
      <c r="Z134" s="3" t="e">
        <f>VLOOKUP(I134,Resources!$A$2:$AA$1503,18,FALSE)</f>
        <v>#N/A</v>
      </c>
      <c r="AA134" s="3" t="str">
        <f>IFERROR(VLOOKUP(B134,Orgs!$A$4:$G$1500,2,FALSE),"none")</f>
        <v>none</v>
      </c>
      <c r="AB134" s="3" t="str">
        <f>IFERROR(VLOOKUP(C134,UnitsDepts!$A$4:$G$1500,2,FALSE),"none")</f>
        <v>none</v>
      </c>
      <c r="AC134" s="3" t="str">
        <f>IFERROR(VLOOKUP(D134,ProjAppSvc!$A$4:$G$1500,2,FALSE),"none")</f>
        <v>none</v>
      </c>
    </row>
    <row r="135" spans="1:29" x14ac:dyDescent="0.45">
      <c r="A135" s="14" t="s">
        <v>23</v>
      </c>
      <c r="B135" s="14"/>
      <c r="C135" s="14"/>
      <c r="D135" s="14"/>
      <c r="H135" s="8"/>
      <c r="I135" s="3"/>
      <c r="J135" s="3" t="str">
        <f t="shared" si="4"/>
        <v/>
      </c>
      <c r="K135" s="3" t="str">
        <f>IF(ISNUMBER(SEARCH("-",V135)),IFERROR(IF($H$2="Lower", LOWER(ComputeResourceName(Z135,#REF!,#REF!,G135,N135,O135,P135,Q135,S135,T135,V135,A135)), UPPER(ComputeResourceName(Z135,#REF!,#REF!,G135,N135,O135,P135,Q135,S135,T135,V135,A135))),""),SUBSTITUTE(IFERROR(IF($H$2="Lower", LOWER(ComputeResourceName(#REF!,#REF!,#REF!,G135,N135,O135,P135,Q135,S135,T135,V135,A135)), UPPER(ComputeResourceName(#REF!,#REF!,#REF!,G135,N135,O135,P135,Q135,S135,T135,V135,A135))),""), "-",""))</f>
        <v/>
      </c>
      <c r="L135" s="3" t="str">
        <f xml:space="preserve"> IF(K135="","",  IFERROR(VLOOKUP(I135,Resources!$B$1:$H$1503,5,FALSE)-LEN(K135),0))</f>
        <v/>
      </c>
      <c r="M135" s="3" t="str">
        <f>IF(K135="","",IFERROR(matches(K135,VLOOKUP(I135,Resources!$A$2:$AA$1503,16,FALSE)),FALSE))</f>
        <v/>
      </c>
      <c r="N135" s="3" t="e">
        <f>VLOOKUP(E135,Enviroments!$A$3:$D$59,1,FALSE)</f>
        <v>#N/A</v>
      </c>
      <c r="O135" s="3" t="e">
        <f>VLOOKUP(E135,Enviroments!$A$3:$D$59,2,FALSE)</f>
        <v>#N/A</v>
      </c>
      <c r="P135" s="3" t="e">
        <f>VLOOKUP(E135,Enviroments!$A$3:$D$59,3,FALSE)</f>
        <v>#N/A</v>
      </c>
      <c r="Q135" s="3" t="e">
        <f>VLOOKUP(E135,Enviroments!$A$3:$D$59,4,FALSE)</f>
        <v>#N/A</v>
      </c>
      <c r="R135" s="3" t="e">
        <f>VLOOKUP(H135,AzureRegions!$A$4:$B$1493,1,FALSE)</f>
        <v>#N/A</v>
      </c>
      <c r="S135" s="3" t="e">
        <f>VLOOKUP(H135,AzureRegions!$A$4:$B$1493,2,FALSE)</f>
        <v>#N/A</v>
      </c>
      <c r="T135" s="3" t="e">
        <f>VLOOKUP(H135,AzureRegions!$A$4:$C$1493,3,FALSE)</f>
        <v>#N/A</v>
      </c>
      <c r="U135" s="3" t="e">
        <f>VLOOKUP(I135,Resources!$A$2:$AA$1503,2,FALSE)</f>
        <v>#N/A</v>
      </c>
      <c r="V135" s="3" t="e">
        <f>VLOOKUP(I135,Resources!$A$2:$H$1503,6,FALSE)</f>
        <v>#N/A</v>
      </c>
      <c r="W135" s="3" t="str">
        <f>VLOOKUP($H$2,Casing!$A$4:$A$60,1,FALSE)</f>
        <v>Lower</v>
      </c>
      <c r="X135" s="14" t="str">
        <f t="shared" ref="X135:X189" si="5">A135</f>
        <v>001</v>
      </c>
      <c r="Y135" s="3" t="str">
        <f>IFERROR(VLOOKUP(F135,Func!$A$4:$G$1500,2,FALSE),"none")</f>
        <v>none</v>
      </c>
      <c r="Z135" s="3" t="e">
        <f>VLOOKUP(I135,Resources!$A$2:$AA$1503,18,FALSE)</f>
        <v>#N/A</v>
      </c>
      <c r="AA135" s="3" t="str">
        <f>IFERROR(VLOOKUP(B135,Orgs!$A$4:$G$1500,2,FALSE),"none")</f>
        <v>none</v>
      </c>
      <c r="AB135" s="3" t="str">
        <f>IFERROR(VLOOKUP(C135,UnitsDepts!$A$4:$G$1500,2,FALSE),"none")</f>
        <v>none</v>
      </c>
      <c r="AC135" s="3" t="str">
        <f>IFERROR(VLOOKUP(D135,ProjAppSvc!$A$4:$G$1500,2,FALSE),"none")</f>
        <v>none</v>
      </c>
    </row>
    <row r="136" spans="1:29" x14ac:dyDescent="0.45">
      <c r="A136" s="14" t="s">
        <v>23</v>
      </c>
      <c r="B136" s="14"/>
      <c r="C136" s="14"/>
      <c r="D136" s="14"/>
      <c r="H136" s="8"/>
      <c r="I136" s="3"/>
      <c r="J136" s="3" t="str">
        <f t="shared" si="4"/>
        <v/>
      </c>
      <c r="K136" s="3" t="str">
        <f>IF(ISNUMBER(SEARCH("-",V136)),IFERROR(IF($H$2="Lower", LOWER(ComputeResourceName(Z136,#REF!,#REF!,G136,N136,O136,P136,Q136,S136,T136,V136,A136)), UPPER(ComputeResourceName(Z136,#REF!,#REF!,G136,N136,O136,P136,Q136,S136,T136,V136,A136))),""),SUBSTITUTE(IFERROR(IF($H$2="Lower", LOWER(ComputeResourceName(#REF!,#REF!,#REF!,G136,N136,O136,P136,Q136,S136,T136,V136,A136)), UPPER(ComputeResourceName(#REF!,#REF!,#REF!,G136,N136,O136,P136,Q136,S136,T136,V136,A136))),""), "-",""))</f>
        <v/>
      </c>
      <c r="L136" s="3" t="str">
        <f xml:space="preserve"> IF(K136="","",  IFERROR(VLOOKUP(I136,Resources!$B$1:$H$1503,5,FALSE)-LEN(K136),0))</f>
        <v/>
      </c>
      <c r="M136" s="3" t="str">
        <f>IF(K136="","",IFERROR(matches(K136,VLOOKUP(I136,Resources!$A$2:$AA$1503,16,FALSE)),FALSE))</f>
        <v/>
      </c>
      <c r="N136" s="3" t="e">
        <f>VLOOKUP(E136,Enviroments!$A$3:$D$59,1,FALSE)</f>
        <v>#N/A</v>
      </c>
      <c r="O136" s="3" t="e">
        <f>VLOOKUP(E136,Enviroments!$A$3:$D$59,2,FALSE)</f>
        <v>#N/A</v>
      </c>
      <c r="P136" s="3" t="e">
        <f>VLOOKUP(E136,Enviroments!$A$3:$D$59,3,FALSE)</f>
        <v>#N/A</v>
      </c>
      <c r="Q136" s="3" t="e">
        <f>VLOOKUP(E136,Enviroments!$A$3:$D$59,4,FALSE)</f>
        <v>#N/A</v>
      </c>
      <c r="R136" s="3" t="e">
        <f>VLOOKUP(H136,AzureRegions!$A$4:$B$1493,1,FALSE)</f>
        <v>#N/A</v>
      </c>
      <c r="S136" s="3" t="e">
        <f>VLOOKUP(H136,AzureRegions!$A$4:$B$1493,2,FALSE)</f>
        <v>#N/A</v>
      </c>
      <c r="T136" s="3" t="e">
        <f>VLOOKUP(H136,AzureRegions!$A$4:$C$1493,3,FALSE)</f>
        <v>#N/A</v>
      </c>
      <c r="U136" s="3" t="e">
        <f>VLOOKUP(I136,Resources!$A$2:$AA$1503,2,FALSE)</f>
        <v>#N/A</v>
      </c>
      <c r="V136" s="3" t="e">
        <f>VLOOKUP(I136,Resources!$A$2:$H$1503,6,FALSE)</f>
        <v>#N/A</v>
      </c>
      <c r="W136" s="3" t="str">
        <f>VLOOKUP($H$2,Casing!$A$4:$A$60,1,FALSE)</f>
        <v>Lower</v>
      </c>
      <c r="X136" s="14" t="str">
        <f t="shared" si="5"/>
        <v>001</v>
      </c>
      <c r="Y136" s="3" t="str">
        <f>IFERROR(VLOOKUP(F136,Func!$A$4:$G$1500,2,FALSE),"none")</f>
        <v>none</v>
      </c>
      <c r="Z136" s="3" t="e">
        <f>VLOOKUP(I136,Resources!$A$2:$AA$1503,18,FALSE)</f>
        <v>#N/A</v>
      </c>
      <c r="AA136" s="3" t="str">
        <f>IFERROR(VLOOKUP(B136,Orgs!$A$4:$G$1500,2,FALSE),"none")</f>
        <v>none</v>
      </c>
      <c r="AB136" s="3" t="str">
        <f>IFERROR(VLOOKUP(C136,UnitsDepts!$A$4:$G$1500,2,FALSE),"none")</f>
        <v>none</v>
      </c>
      <c r="AC136" s="3" t="str">
        <f>IFERROR(VLOOKUP(D136,ProjAppSvc!$A$4:$G$1500,2,FALSE),"none")</f>
        <v>none</v>
      </c>
    </row>
    <row r="137" spans="1:29" x14ac:dyDescent="0.45">
      <c r="A137" s="14" t="s">
        <v>23</v>
      </c>
      <c r="B137" s="14"/>
      <c r="C137" s="14"/>
      <c r="D137" s="14"/>
      <c r="H137" s="8"/>
      <c r="I137" s="3"/>
      <c r="J137" s="3" t="str">
        <f t="shared" si="4"/>
        <v/>
      </c>
      <c r="K137" s="3" t="str">
        <f>IF(ISNUMBER(SEARCH("-",V137)),IFERROR(IF($H$2="Lower", LOWER(ComputeResourceName(Z137,#REF!,#REF!,G137,N137,O137,P137,Q137,S137,T137,V137,A137)), UPPER(ComputeResourceName(Z137,#REF!,#REF!,G137,N137,O137,P137,Q137,S137,T137,V137,A137))),""),SUBSTITUTE(IFERROR(IF($H$2="Lower", LOWER(ComputeResourceName(#REF!,#REF!,#REF!,G137,N137,O137,P137,Q137,S137,T137,V137,A137)), UPPER(ComputeResourceName(#REF!,#REF!,#REF!,G137,N137,O137,P137,Q137,S137,T137,V137,A137))),""), "-",""))</f>
        <v/>
      </c>
      <c r="L137" s="3" t="str">
        <f xml:space="preserve"> IF(K137="","",  IFERROR(VLOOKUP(I137,Resources!$B$1:$H$1503,5,FALSE)-LEN(K137),0))</f>
        <v/>
      </c>
      <c r="M137" s="3" t="str">
        <f>IF(K137="","",IFERROR(matches(K137,VLOOKUP(I137,Resources!$A$2:$AA$1503,16,FALSE)),FALSE))</f>
        <v/>
      </c>
      <c r="N137" s="3" t="e">
        <f>VLOOKUP(E137,Enviroments!$A$3:$D$59,1,FALSE)</f>
        <v>#N/A</v>
      </c>
      <c r="O137" s="3" t="e">
        <f>VLOOKUP(E137,Enviroments!$A$3:$D$59,2,FALSE)</f>
        <v>#N/A</v>
      </c>
      <c r="P137" s="3" t="e">
        <f>VLOOKUP(E137,Enviroments!$A$3:$D$59,3,FALSE)</f>
        <v>#N/A</v>
      </c>
      <c r="Q137" s="3" t="e">
        <f>VLOOKUP(E137,Enviroments!$A$3:$D$59,4,FALSE)</f>
        <v>#N/A</v>
      </c>
      <c r="R137" s="3" t="e">
        <f>VLOOKUP(H137,AzureRegions!$A$4:$B$1493,1,FALSE)</f>
        <v>#N/A</v>
      </c>
      <c r="S137" s="3" t="e">
        <f>VLOOKUP(H137,AzureRegions!$A$4:$B$1493,2,FALSE)</f>
        <v>#N/A</v>
      </c>
      <c r="T137" s="3" t="e">
        <f>VLOOKUP(H137,AzureRegions!$A$4:$C$1493,3,FALSE)</f>
        <v>#N/A</v>
      </c>
      <c r="U137" s="3" t="e">
        <f>VLOOKUP(I137,Resources!$A$2:$AA$1503,2,FALSE)</f>
        <v>#N/A</v>
      </c>
      <c r="V137" s="3" t="e">
        <f>VLOOKUP(I137,Resources!$A$2:$H$1503,6,FALSE)</f>
        <v>#N/A</v>
      </c>
      <c r="W137" s="3" t="str">
        <f>VLOOKUP($H$2,Casing!$A$4:$A$60,1,FALSE)</f>
        <v>Lower</v>
      </c>
      <c r="X137" s="14" t="str">
        <f t="shared" si="5"/>
        <v>001</v>
      </c>
      <c r="Y137" s="3" t="str">
        <f>IFERROR(VLOOKUP(F137,Func!$A$4:$G$1500,2,FALSE),"none")</f>
        <v>none</v>
      </c>
      <c r="Z137" s="3" t="e">
        <f>VLOOKUP(I137,Resources!$A$2:$AA$1503,18,FALSE)</f>
        <v>#N/A</v>
      </c>
      <c r="AA137" s="3" t="str">
        <f>IFERROR(VLOOKUP(B137,Orgs!$A$4:$G$1500,2,FALSE),"none")</f>
        <v>none</v>
      </c>
      <c r="AB137" s="3" t="str">
        <f>IFERROR(VLOOKUP(C137,UnitsDepts!$A$4:$G$1500,2,FALSE),"none")</f>
        <v>none</v>
      </c>
      <c r="AC137" s="3" t="str">
        <f>IFERROR(VLOOKUP(D137,ProjAppSvc!$A$4:$G$1500,2,FALSE),"none")</f>
        <v>none</v>
      </c>
    </row>
    <row r="138" spans="1:29" x14ac:dyDescent="0.45">
      <c r="A138" s="14" t="s">
        <v>23</v>
      </c>
      <c r="B138" s="14"/>
      <c r="C138" s="14"/>
      <c r="D138" s="14"/>
      <c r="H138" s="8"/>
      <c r="I138" s="3"/>
      <c r="J138" s="3" t="str">
        <f t="shared" si="4"/>
        <v/>
      </c>
      <c r="K138" s="3" t="str">
        <f>IF(ISNUMBER(SEARCH("-",V138)),IFERROR(IF($H$2="Lower", LOWER(ComputeResourceName(Z138,#REF!,#REF!,G138,N138,O138,P138,Q138,S138,T138,V138,A138)), UPPER(ComputeResourceName(Z138,#REF!,#REF!,G138,N138,O138,P138,Q138,S138,T138,V138,A138))),""),SUBSTITUTE(IFERROR(IF($H$2="Lower", LOWER(ComputeResourceName(#REF!,#REF!,#REF!,G138,N138,O138,P138,Q138,S138,T138,V138,A138)), UPPER(ComputeResourceName(#REF!,#REF!,#REF!,G138,N138,O138,P138,Q138,S138,T138,V138,A138))),""), "-",""))</f>
        <v/>
      </c>
      <c r="L138" s="3" t="str">
        <f xml:space="preserve"> IF(K138="","",  IFERROR(VLOOKUP(I138,Resources!$B$1:$H$1503,5,FALSE)-LEN(K138),0))</f>
        <v/>
      </c>
      <c r="M138" s="3" t="str">
        <f>IF(K138="","",IFERROR(matches(K138,VLOOKUP(I138,Resources!$A$2:$AA$1503,16,FALSE)),FALSE))</f>
        <v/>
      </c>
      <c r="N138" s="3" t="e">
        <f>VLOOKUP(E138,Enviroments!$A$3:$D$59,1,FALSE)</f>
        <v>#N/A</v>
      </c>
      <c r="O138" s="3" t="e">
        <f>VLOOKUP(E138,Enviroments!$A$3:$D$59,2,FALSE)</f>
        <v>#N/A</v>
      </c>
      <c r="P138" s="3" t="e">
        <f>VLOOKUP(E138,Enviroments!$A$3:$D$59,3,FALSE)</f>
        <v>#N/A</v>
      </c>
      <c r="Q138" s="3" t="e">
        <f>VLOOKUP(E138,Enviroments!$A$3:$D$59,4,FALSE)</f>
        <v>#N/A</v>
      </c>
      <c r="R138" s="3" t="e">
        <f>VLOOKUP(H138,AzureRegions!$A$4:$B$1493,1,FALSE)</f>
        <v>#N/A</v>
      </c>
      <c r="S138" s="3" t="e">
        <f>VLOOKUP(H138,AzureRegions!$A$4:$B$1493,2,FALSE)</f>
        <v>#N/A</v>
      </c>
      <c r="T138" s="3" t="e">
        <f>VLOOKUP(H138,AzureRegions!$A$4:$C$1493,3,FALSE)</f>
        <v>#N/A</v>
      </c>
      <c r="U138" s="3" t="e">
        <f>VLOOKUP(I138,Resources!$A$2:$AA$1503,2,FALSE)</f>
        <v>#N/A</v>
      </c>
      <c r="V138" s="3" t="e">
        <f>VLOOKUP(I138,Resources!$A$2:$H$1503,6,FALSE)</f>
        <v>#N/A</v>
      </c>
      <c r="W138" s="3" t="str">
        <f>VLOOKUP($H$2,Casing!$A$4:$A$60,1,FALSE)</f>
        <v>Lower</v>
      </c>
      <c r="X138" s="14" t="str">
        <f t="shared" si="5"/>
        <v>001</v>
      </c>
      <c r="Y138" s="3" t="str">
        <f>IFERROR(VLOOKUP(F138,Func!$A$4:$G$1500,2,FALSE),"none")</f>
        <v>none</v>
      </c>
      <c r="Z138" s="3" t="e">
        <f>VLOOKUP(I138,Resources!$A$2:$AA$1503,18,FALSE)</f>
        <v>#N/A</v>
      </c>
      <c r="AA138" s="3" t="str">
        <f>IFERROR(VLOOKUP(B138,Orgs!$A$4:$G$1500,2,FALSE),"none")</f>
        <v>none</v>
      </c>
      <c r="AB138" s="3" t="str">
        <f>IFERROR(VLOOKUP(C138,UnitsDepts!$A$4:$G$1500,2,FALSE),"none")</f>
        <v>none</v>
      </c>
      <c r="AC138" s="3" t="str">
        <f>IFERROR(VLOOKUP(D138,ProjAppSvc!$A$4:$G$1500,2,FALSE),"none")</f>
        <v>none</v>
      </c>
    </row>
    <row r="139" spans="1:29" x14ac:dyDescent="0.45">
      <c r="A139" s="14" t="s">
        <v>23</v>
      </c>
      <c r="B139" s="14"/>
      <c r="C139" s="14"/>
      <c r="D139" s="14"/>
      <c r="H139" s="8"/>
      <c r="I139" s="3"/>
      <c r="J139" s="3" t="str">
        <f t="shared" si="4"/>
        <v/>
      </c>
      <c r="K139" s="3" t="str">
        <f>IF(ISNUMBER(SEARCH("-",V139)),IFERROR(IF($H$2="Lower", LOWER(ComputeResourceName(Z139,#REF!,#REF!,G139,N139,O139,P139,Q139,S139,T139,V139,A139)), UPPER(ComputeResourceName(Z139,#REF!,#REF!,G139,N139,O139,P139,Q139,S139,T139,V139,A139))),""),SUBSTITUTE(IFERROR(IF($H$2="Lower", LOWER(ComputeResourceName(#REF!,#REF!,#REF!,G139,N139,O139,P139,Q139,S139,T139,V139,A139)), UPPER(ComputeResourceName(#REF!,#REF!,#REF!,G139,N139,O139,P139,Q139,S139,T139,V139,A139))),""), "-",""))</f>
        <v/>
      </c>
      <c r="L139" s="3" t="str">
        <f xml:space="preserve"> IF(K139="","",  IFERROR(VLOOKUP(I139,Resources!$B$1:$H$1503,5,FALSE)-LEN(K139),0))</f>
        <v/>
      </c>
      <c r="M139" s="3" t="str">
        <f>IF(K139="","",IFERROR(matches(K139,VLOOKUP(I139,Resources!$A$2:$AA$1503,16,FALSE)),FALSE))</f>
        <v/>
      </c>
      <c r="N139" s="3" t="e">
        <f>VLOOKUP(E139,Enviroments!$A$3:$D$59,1,FALSE)</f>
        <v>#N/A</v>
      </c>
      <c r="O139" s="3" t="e">
        <f>VLOOKUP(E139,Enviroments!$A$3:$D$59,2,FALSE)</f>
        <v>#N/A</v>
      </c>
      <c r="P139" s="3" t="e">
        <f>VLOOKUP(E139,Enviroments!$A$3:$D$59,3,FALSE)</f>
        <v>#N/A</v>
      </c>
      <c r="Q139" s="3" t="e">
        <f>VLOOKUP(E139,Enviroments!$A$3:$D$59,4,FALSE)</f>
        <v>#N/A</v>
      </c>
      <c r="R139" s="3" t="e">
        <f>VLOOKUP(H139,AzureRegions!$A$4:$B$1493,1,FALSE)</f>
        <v>#N/A</v>
      </c>
      <c r="S139" s="3" t="e">
        <f>VLOOKUP(H139,AzureRegions!$A$4:$B$1493,2,FALSE)</f>
        <v>#N/A</v>
      </c>
      <c r="T139" s="3" t="e">
        <f>VLOOKUP(H139,AzureRegions!$A$4:$C$1493,3,FALSE)</f>
        <v>#N/A</v>
      </c>
      <c r="U139" s="3" t="e">
        <f>VLOOKUP(I139,Resources!$A$2:$AA$1503,2,FALSE)</f>
        <v>#N/A</v>
      </c>
      <c r="V139" s="3" t="e">
        <f>VLOOKUP(I139,Resources!$A$2:$H$1503,6,FALSE)</f>
        <v>#N/A</v>
      </c>
      <c r="W139" s="3" t="str">
        <f>VLOOKUP($H$2,Casing!$A$4:$A$60,1,FALSE)</f>
        <v>Lower</v>
      </c>
      <c r="X139" s="14" t="str">
        <f t="shared" si="5"/>
        <v>001</v>
      </c>
      <c r="Y139" s="3" t="str">
        <f>IFERROR(VLOOKUP(F139,Func!$A$4:$G$1500,2,FALSE),"none")</f>
        <v>none</v>
      </c>
      <c r="Z139" s="3" t="e">
        <f>VLOOKUP(I139,Resources!$A$2:$AA$1503,18,FALSE)</f>
        <v>#N/A</v>
      </c>
      <c r="AA139" s="3" t="str">
        <f>IFERROR(VLOOKUP(B139,Orgs!$A$4:$G$1500,2,FALSE),"none")</f>
        <v>none</v>
      </c>
      <c r="AB139" s="3" t="str">
        <f>IFERROR(VLOOKUP(C139,UnitsDepts!$A$4:$G$1500,2,FALSE),"none")</f>
        <v>none</v>
      </c>
      <c r="AC139" s="3" t="str">
        <f>IFERROR(VLOOKUP(D139,ProjAppSvc!$A$4:$G$1500,2,FALSE),"none")</f>
        <v>none</v>
      </c>
    </row>
    <row r="140" spans="1:29" x14ac:dyDescent="0.45">
      <c r="A140" s="14" t="s">
        <v>23</v>
      </c>
      <c r="B140" s="14"/>
      <c r="C140" s="14"/>
      <c r="D140" s="14"/>
      <c r="H140" s="8"/>
      <c r="I140" s="3"/>
      <c r="J140" s="3" t="str">
        <f t="shared" si="4"/>
        <v/>
      </c>
      <c r="K140" s="3" t="str">
        <f>IF(ISNUMBER(SEARCH("-",V140)),IFERROR(IF($H$2="Lower", LOWER(ComputeResourceName(Z140,#REF!,#REF!,G140,N140,O140,P140,Q140,S140,T140,V140,A140)), UPPER(ComputeResourceName(Z140,#REF!,#REF!,G140,N140,O140,P140,Q140,S140,T140,V140,A140))),""),SUBSTITUTE(IFERROR(IF($H$2="Lower", LOWER(ComputeResourceName(#REF!,#REF!,#REF!,G140,N140,O140,P140,Q140,S140,T140,V140,A140)), UPPER(ComputeResourceName(#REF!,#REF!,#REF!,G140,N140,O140,P140,Q140,S140,T140,V140,A140))),""), "-",""))</f>
        <v/>
      </c>
      <c r="L140" s="3" t="str">
        <f xml:space="preserve"> IF(K140="","",  IFERROR(VLOOKUP(I140,Resources!$B$1:$H$1503,5,FALSE)-LEN(K140),0))</f>
        <v/>
      </c>
      <c r="M140" s="3" t="str">
        <f>IF(K140="","",IFERROR(matches(K140,VLOOKUP(I140,Resources!$A$2:$AA$1503,16,FALSE)),FALSE))</f>
        <v/>
      </c>
      <c r="N140" s="3" t="e">
        <f>VLOOKUP(E140,Enviroments!$A$3:$D$59,1,FALSE)</f>
        <v>#N/A</v>
      </c>
      <c r="O140" s="3" t="e">
        <f>VLOOKUP(E140,Enviroments!$A$3:$D$59,2,FALSE)</f>
        <v>#N/A</v>
      </c>
      <c r="P140" s="3" t="e">
        <f>VLOOKUP(E140,Enviroments!$A$3:$D$59,3,FALSE)</f>
        <v>#N/A</v>
      </c>
      <c r="Q140" s="3" t="e">
        <f>VLOOKUP(E140,Enviroments!$A$3:$D$59,4,FALSE)</f>
        <v>#N/A</v>
      </c>
      <c r="R140" s="3" t="e">
        <f>VLOOKUP(H140,AzureRegions!$A$4:$B$1493,1,FALSE)</f>
        <v>#N/A</v>
      </c>
      <c r="S140" s="3" t="e">
        <f>VLOOKUP(H140,AzureRegions!$A$4:$B$1493,2,FALSE)</f>
        <v>#N/A</v>
      </c>
      <c r="T140" s="3" t="e">
        <f>VLOOKUP(H140,AzureRegions!$A$4:$C$1493,3,FALSE)</f>
        <v>#N/A</v>
      </c>
      <c r="U140" s="3" t="e">
        <f>VLOOKUP(I140,Resources!$A$2:$AA$1503,2,FALSE)</f>
        <v>#N/A</v>
      </c>
      <c r="V140" s="3" t="e">
        <f>VLOOKUP(I140,Resources!$A$2:$H$1503,6,FALSE)</f>
        <v>#N/A</v>
      </c>
      <c r="W140" s="3" t="str">
        <f>VLOOKUP($H$2,Casing!$A$4:$A$60,1,FALSE)</f>
        <v>Lower</v>
      </c>
      <c r="X140" s="14" t="str">
        <f t="shared" si="5"/>
        <v>001</v>
      </c>
      <c r="Y140" s="3" t="str">
        <f>IFERROR(VLOOKUP(F140,Func!$A$4:$G$1500,2,FALSE),"none")</f>
        <v>none</v>
      </c>
      <c r="Z140" s="3" t="e">
        <f>VLOOKUP(I140,Resources!$A$2:$AA$1503,18,FALSE)</f>
        <v>#N/A</v>
      </c>
      <c r="AA140" s="3" t="str">
        <f>IFERROR(VLOOKUP(B140,Orgs!$A$4:$G$1500,2,FALSE),"none")</f>
        <v>none</v>
      </c>
      <c r="AB140" s="3" t="str">
        <f>IFERROR(VLOOKUP(C140,UnitsDepts!$A$4:$G$1500,2,FALSE),"none")</f>
        <v>none</v>
      </c>
      <c r="AC140" s="3" t="str">
        <f>IFERROR(VLOOKUP(D140,ProjAppSvc!$A$4:$G$1500,2,FALSE),"none")</f>
        <v>none</v>
      </c>
    </row>
    <row r="141" spans="1:29" x14ac:dyDescent="0.45">
      <c r="A141" s="14" t="s">
        <v>23</v>
      </c>
      <c r="B141" s="14"/>
      <c r="C141" s="14"/>
      <c r="D141" s="14"/>
      <c r="H141" s="8"/>
      <c r="I141" s="3"/>
      <c r="J141" s="3" t="str">
        <f t="shared" ref="J141:J189" si="6">IFERROR(Z141, "")</f>
        <v/>
      </c>
      <c r="K141" s="3" t="str">
        <f>IF(ISNUMBER(SEARCH("-",V141)),IFERROR(IF($H$2="Lower", LOWER(ComputeResourceName(Z141,#REF!,#REF!,G141,N141,O141,P141,Q141,S141,T141,V141,A141)), UPPER(ComputeResourceName(Z141,#REF!,#REF!,G141,N141,O141,P141,Q141,S141,T141,V141,A141))),""),SUBSTITUTE(IFERROR(IF($H$2="Lower", LOWER(ComputeResourceName(#REF!,#REF!,#REF!,G141,N141,O141,P141,Q141,S141,T141,V141,A141)), UPPER(ComputeResourceName(#REF!,#REF!,#REF!,G141,N141,O141,P141,Q141,S141,T141,V141,A141))),""), "-",""))</f>
        <v/>
      </c>
      <c r="L141" s="3" t="str">
        <f xml:space="preserve"> IF(K141="","",  IFERROR(VLOOKUP(I141,Resources!$B$1:$H$1503,5,FALSE)-LEN(K141),0))</f>
        <v/>
      </c>
      <c r="M141" s="3" t="str">
        <f>IF(K141="","",IFERROR(matches(K141,VLOOKUP(I141,Resources!$A$2:$AA$1503,16,FALSE)),FALSE))</f>
        <v/>
      </c>
      <c r="N141" s="3" t="e">
        <f>VLOOKUP(E141,Enviroments!$A$3:$D$59,1,FALSE)</f>
        <v>#N/A</v>
      </c>
      <c r="O141" s="3" t="e">
        <f>VLOOKUP(E141,Enviroments!$A$3:$D$59,2,FALSE)</f>
        <v>#N/A</v>
      </c>
      <c r="P141" s="3" t="e">
        <f>VLOOKUP(E141,Enviroments!$A$3:$D$59,3,FALSE)</f>
        <v>#N/A</v>
      </c>
      <c r="Q141" s="3" t="e">
        <f>VLOOKUP(E141,Enviroments!$A$3:$D$59,4,FALSE)</f>
        <v>#N/A</v>
      </c>
      <c r="R141" s="3" t="e">
        <f>VLOOKUP(H141,AzureRegions!$A$4:$B$1493,1,FALSE)</f>
        <v>#N/A</v>
      </c>
      <c r="S141" s="3" t="e">
        <f>VLOOKUP(H141,AzureRegions!$A$4:$B$1493,2,FALSE)</f>
        <v>#N/A</v>
      </c>
      <c r="T141" s="3" t="e">
        <f>VLOOKUP(H141,AzureRegions!$A$4:$C$1493,3,FALSE)</f>
        <v>#N/A</v>
      </c>
      <c r="U141" s="3" t="e">
        <f>VLOOKUP(I141,Resources!$A$2:$AA$1503,2,FALSE)</f>
        <v>#N/A</v>
      </c>
      <c r="V141" s="3" t="e">
        <f>VLOOKUP(I141,Resources!$A$2:$H$1503,6,FALSE)</f>
        <v>#N/A</v>
      </c>
      <c r="W141" s="3" t="str">
        <f>VLOOKUP($H$2,Casing!$A$4:$A$60,1,FALSE)</f>
        <v>Lower</v>
      </c>
      <c r="X141" s="14" t="str">
        <f t="shared" si="5"/>
        <v>001</v>
      </c>
      <c r="Y141" s="3" t="str">
        <f>IFERROR(VLOOKUP(F141,Func!$A$4:$G$1500,2,FALSE),"none")</f>
        <v>none</v>
      </c>
      <c r="Z141" s="3" t="e">
        <f>VLOOKUP(I141,Resources!$A$2:$AA$1503,18,FALSE)</f>
        <v>#N/A</v>
      </c>
      <c r="AA141" s="3" t="str">
        <f>IFERROR(VLOOKUP(B141,Orgs!$A$4:$G$1500,2,FALSE),"none")</f>
        <v>none</v>
      </c>
      <c r="AB141" s="3" t="str">
        <f>IFERROR(VLOOKUP(C141,UnitsDepts!$A$4:$G$1500,2,FALSE),"none")</f>
        <v>none</v>
      </c>
      <c r="AC141" s="3" t="str">
        <f>IFERROR(VLOOKUP(D141,ProjAppSvc!$A$4:$G$1500,2,FALSE),"none")</f>
        <v>none</v>
      </c>
    </row>
    <row r="142" spans="1:29" x14ac:dyDescent="0.45">
      <c r="A142" s="14" t="s">
        <v>23</v>
      </c>
      <c r="B142" s="14"/>
      <c r="C142" s="14"/>
      <c r="D142" s="14"/>
      <c r="H142" s="8"/>
      <c r="I142" s="3"/>
      <c r="J142" s="3" t="str">
        <f t="shared" si="6"/>
        <v/>
      </c>
      <c r="K142" s="3" t="str">
        <f>IF(ISNUMBER(SEARCH("-",V142)),IFERROR(IF($H$2="Lower", LOWER(ComputeResourceName(Z142,#REF!,#REF!,G142,N142,O142,P142,Q142,S142,T142,V142,A142)), UPPER(ComputeResourceName(Z142,#REF!,#REF!,G142,N142,O142,P142,Q142,S142,T142,V142,A142))),""),SUBSTITUTE(IFERROR(IF($H$2="Lower", LOWER(ComputeResourceName(#REF!,#REF!,#REF!,G142,N142,O142,P142,Q142,S142,T142,V142,A142)), UPPER(ComputeResourceName(#REF!,#REF!,#REF!,G142,N142,O142,P142,Q142,S142,T142,V142,A142))),""), "-",""))</f>
        <v/>
      </c>
      <c r="L142" s="3" t="str">
        <f xml:space="preserve"> IF(K142="","",  IFERROR(VLOOKUP(I142,Resources!$B$1:$H$1503,5,FALSE)-LEN(K142),0))</f>
        <v/>
      </c>
      <c r="M142" s="3" t="str">
        <f>IF(K142="","",IFERROR(matches(K142,VLOOKUP(I142,Resources!$A$2:$AA$1503,16,FALSE)),FALSE))</f>
        <v/>
      </c>
      <c r="N142" s="3" t="e">
        <f>VLOOKUP(E142,Enviroments!$A$3:$D$59,1,FALSE)</f>
        <v>#N/A</v>
      </c>
      <c r="O142" s="3" t="e">
        <f>VLOOKUP(E142,Enviroments!$A$3:$D$59,2,FALSE)</f>
        <v>#N/A</v>
      </c>
      <c r="P142" s="3" t="e">
        <f>VLOOKUP(E142,Enviroments!$A$3:$D$59,3,FALSE)</f>
        <v>#N/A</v>
      </c>
      <c r="Q142" s="3" t="e">
        <f>VLOOKUP(E142,Enviroments!$A$3:$D$59,4,FALSE)</f>
        <v>#N/A</v>
      </c>
      <c r="R142" s="3" t="e">
        <f>VLOOKUP(H142,AzureRegions!$A$4:$B$1493,1,FALSE)</f>
        <v>#N/A</v>
      </c>
      <c r="S142" s="3" t="e">
        <f>VLOOKUP(H142,AzureRegions!$A$4:$B$1493,2,FALSE)</f>
        <v>#N/A</v>
      </c>
      <c r="T142" s="3" t="e">
        <f>VLOOKUP(H142,AzureRegions!$A$4:$C$1493,3,FALSE)</f>
        <v>#N/A</v>
      </c>
      <c r="U142" s="3" t="e">
        <f>VLOOKUP(I142,Resources!$A$2:$AA$1503,2,FALSE)</f>
        <v>#N/A</v>
      </c>
      <c r="V142" s="3" t="e">
        <f>VLOOKUP(I142,Resources!$A$2:$H$1503,6,FALSE)</f>
        <v>#N/A</v>
      </c>
      <c r="W142" s="3" t="str">
        <f>VLOOKUP($H$2,Casing!$A$4:$A$60,1,FALSE)</f>
        <v>Lower</v>
      </c>
      <c r="X142" s="14" t="str">
        <f t="shared" si="5"/>
        <v>001</v>
      </c>
      <c r="Y142" s="3" t="str">
        <f>IFERROR(VLOOKUP(F142,Func!$A$4:$G$1500,2,FALSE),"none")</f>
        <v>none</v>
      </c>
      <c r="Z142" s="3" t="e">
        <f>VLOOKUP(I142,Resources!$A$2:$AA$1503,18,FALSE)</f>
        <v>#N/A</v>
      </c>
      <c r="AA142" s="3" t="str">
        <f>IFERROR(VLOOKUP(B142,Orgs!$A$4:$G$1500,2,FALSE),"none")</f>
        <v>none</v>
      </c>
      <c r="AB142" s="3" t="str">
        <f>IFERROR(VLOOKUP(C142,UnitsDepts!$A$4:$G$1500,2,FALSE),"none")</f>
        <v>none</v>
      </c>
      <c r="AC142" s="3" t="str">
        <f>IFERROR(VLOOKUP(D142,ProjAppSvc!$A$4:$G$1500,2,FALSE),"none")</f>
        <v>none</v>
      </c>
    </row>
    <row r="143" spans="1:29" x14ac:dyDescent="0.45">
      <c r="A143" s="14" t="s">
        <v>23</v>
      </c>
      <c r="B143" s="14"/>
      <c r="C143" s="14"/>
      <c r="D143" s="14"/>
      <c r="H143" s="8"/>
      <c r="I143" s="3"/>
      <c r="J143" s="3" t="str">
        <f t="shared" si="6"/>
        <v/>
      </c>
      <c r="K143" s="3" t="str">
        <f>IF(ISNUMBER(SEARCH("-",V143)),IFERROR(IF($H$2="Lower", LOWER(ComputeResourceName(Z143,#REF!,#REF!,G143,N143,O143,P143,Q143,S143,T143,V143,A143)), UPPER(ComputeResourceName(Z143,#REF!,#REF!,G143,N143,O143,P143,Q143,S143,T143,V143,A143))),""),SUBSTITUTE(IFERROR(IF($H$2="Lower", LOWER(ComputeResourceName(#REF!,#REF!,#REF!,G143,N143,O143,P143,Q143,S143,T143,V143,A143)), UPPER(ComputeResourceName(#REF!,#REF!,#REF!,G143,N143,O143,P143,Q143,S143,T143,V143,A143))),""), "-",""))</f>
        <v/>
      </c>
      <c r="L143" s="3" t="str">
        <f xml:space="preserve"> IF(K143="","",  IFERROR(VLOOKUP(I143,Resources!$B$1:$H$1503,5,FALSE)-LEN(K143),0))</f>
        <v/>
      </c>
      <c r="M143" s="3" t="str">
        <f>IF(K143="","",IFERROR(matches(K143,VLOOKUP(I143,Resources!$A$2:$AA$1503,16,FALSE)),FALSE))</f>
        <v/>
      </c>
      <c r="N143" s="3" t="e">
        <f>VLOOKUP(E143,Enviroments!$A$3:$D$59,1,FALSE)</f>
        <v>#N/A</v>
      </c>
      <c r="O143" s="3" t="e">
        <f>VLOOKUP(E143,Enviroments!$A$3:$D$59,2,FALSE)</f>
        <v>#N/A</v>
      </c>
      <c r="P143" s="3" t="e">
        <f>VLOOKUP(E143,Enviroments!$A$3:$D$59,3,FALSE)</f>
        <v>#N/A</v>
      </c>
      <c r="Q143" s="3" t="e">
        <f>VLOOKUP(E143,Enviroments!$A$3:$D$59,4,FALSE)</f>
        <v>#N/A</v>
      </c>
      <c r="R143" s="3" t="e">
        <f>VLOOKUP(H143,AzureRegions!$A$4:$B$1493,1,FALSE)</f>
        <v>#N/A</v>
      </c>
      <c r="S143" s="3" t="e">
        <f>VLOOKUP(H143,AzureRegions!$A$4:$B$1493,2,FALSE)</f>
        <v>#N/A</v>
      </c>
      <c r="T143" s="3" t="e">
        <f>VLOOKUP(H143,AzureRegions!$A$4:$C$1493,3,FALSE)</f>
        <v>#N/A</v>
      </c>
      <c r="U143" s="3" t="e">
        <f>VLOOKUP(I143,Resources!$A$2:$AA$1503,2,FALSE)</f>
        <v>#N/A</v>
      </c>
      <c r="V143" s="3" t="e">
        <f>VLOOKUP(I143,Resources!$A$2:$H$1503,6,FALSE)</f>
        <v>#N/A</v>
      </c>
      <c r="W143" s="3" t="str">
        <f>VLOOKUP($H$2,Casing!$A$4:$A$60,1,FALSE)</f>
        <v>Lower</v>
      </c>
      <c r="X143" s="14" t="str">
        <f t="shared" si="5"/>
        <v>001</v>
      </c>
      <c r="Y143" s="3" t="str">
        <f>IFERROR(VLOOKUP(F143,Func!$A$4:$G$1500,2,FALSE),"none")</f>
        <v>none</v>
      </c>
      <c r="Z143" s="3" t="e">
        <f>VLOOKUP(I143,Resources!$A$2:$AA$1503,18,FALSE)</f>
        <v>#N/A</v>
      </c>
      <c r="AA143" s="3" t="str">
        <f>IFERROR(VLOOKUP(B143,Orgs!$A$4:$G$1500,2,FALSE),"none")</f>
        <v>none</v>
      </c>
      <c r="AB143" s="3" t="str">
        <f>IFERROR(VLOOKUP(C143,UnitsDepts!$A$4:$G$1500,2,FALSE),"none")</f>
        <v>none</v>
      </c>
      <c r="AC143" s="3" t="str">
        <f>IFERROR(VLOOKUP(D143,ProjAppSvc!$A$4:$G$1500,2,FALSE),"none")</f>
        <v>none</v>
      </c>
    </row>
    <row r="144" spans="1:29" x14ac:dyDescent="0.45">
      <c r="A144" s="14" t="s">
        <v>23</v>
      </c>
      <c r="B144" s="14"/>
      <c r="C144" s="14"/>
      <c r="D144" s="14"/>
      <c r="H144" s="8"/>
      <c r="I144" s="3"/>
      <c r="J144" s="3" t="str">
        <f t="shared" si="6"/>
        <v/>
      </c>
      <c r="K144" s="3" t="str">
        <f>IF(ISNUMBER(SEARCH("-",V144)),IFERROR(IF($H$2="Lower", LOWER(ComputeResourceName(Z144,#REF!,#REF!,G144,N144,O144,P144,Q144,S144,T144,V144,A144)), UPPER(ComputeResourceName(Z144,#REF!,#REF!,G144,N144,O144,P144,Q144,S144,T144,V144,A144))),""),SUBSTITUTE(IFERROR(IF($H$2="Lower", LOWER(ComputeResourceName(#REF!,#REF!,#REF!,G144,N144,O144,P144,Q144,S144,T144,V144,A144)), UPPER(ComputeResourceName(#REF!,#REF!,#REF!,G144,N144,O144,P144,Q144,S144,T144,V144,A144))),""), "-",""))</f>
        <v/>
      </c>
      <c r="L144" s="3" t="str">
        <f xml:space="preserve"> IF(K144="","",  IFERROR(VLOOKUP(I144,Resources!$B$1:$H$1503,5,FALSE)-LEN(K144),0))</f>
        <v/>
      </c>
      <c r="M144" s="3" t="str">
        <f>IF(K144="","",IFERROR(matches(K144,VLOOKUP(I144,Resources!$A$2:$AA$1503,16,FALSE)),FALSE))</f>
        <v/>
      </c>
      <c r="N144" s="3" t="e">
        <f>VLOOKUP(E144,Enviroments!$A$3:$D$59,1,FALSE)</f>
        <v>#N/A</v>
      </c>
      <c r="O144" s="3" t="e">
        <f>VLOOKUP(E144,Enviroments!$A$3:$D$59,2,FALSE)</f>
        <v>#N/A</v>
      </c>
      <c r="P144" s="3" t="e">
        <f>VLOOKUP(E144,Enviroments!$A$3:$D$59,3,FALSE)</f>
        <v>#N/A</v>
      </c>
      <c r="Q144" s="3" t="e">
        <f>VLOOKUP(E144,Enviroments!$A$3:$D$59,4,FALSE)</f>
        <v>#N/A</v>
      </c>
      <c r="R144" s="3" t="e">
        <f>VLOOKUP(H144,AzureRegions!$A$4:$B$1493,1,FALSE)</f>
        <v>#N/A</v>
      </c>
      <c r="S144" s="3" t="e">
        <f>VLOOKUP(H144,AzureRegions!$A$4:$B$1493,2,FALSE)</f>
        <v>#N/A</v>
      </c>
      <c r="T144" s="3" t="e">
        <f>VLOOKUP(H144,AzureRegions!$A$4:$C$1493,3,FALSE)</f>
        <v>#N/A</v>
      </c>
      <c r="U144" s="3" t="e">
        <f>VLOOKUP(I144,Resources!$A$2:$AA$1503,2,FALSE)</f>
        <v>#N/A</v>
      </c>
      <c r="V144" s="3" t="e">
        <f>VLOOKUP(I144,Resources!$A$2:$H$1503,6,FALSE)</f>
        <v>#N/A</v>
      </c>
      <c r="W144" s="3" t="str">
        <f>VLOOKUP($H$2,Casing!$A$4:$A$60,1,FALSE)</f>
        <v>Lower</v>
      </c>
      <c r="X144" s="14" t="str">
        <f t="shared" si="5"/>
        <v>001</v>
      </c>
      <c r="Y144" s="3" t="str">
        <f>IFERROR(VLOOKUP(F144,Func!$A$4:$G$1500,2,FALSE),"none")</f>
        <v>none</v>
      </c>
      <c r="Z144" s="3" t="e">
        <f>VLOOKUP(I144,Resources!$A$2:$AA$1503,18,FALSE)</f>
        <v>#N/A</v>
      </c>
      <c r="AA144" s="3" t="str">
        <f>IFERROR(VLOOKUP(B144,Orgs!$A$4:$G$1500,2,FALSE),"none")</f>
        <v>none</v>
      </c>
      <c r="AB144" s="3" t="str">
        <f>IFERROR(VLOOKUP(C144,UnitsDepts!$A$4:$G$1500,2,FALSE),"none")</f>
        <v>none</v>
      </c>
      <c r="AC144" s="3" t="str">
        <f>IFERROR(VLOOKUP(D144,ProjAppSvc!$A$4:$G$1500,2,FALSE),"none")</f>
        <v>none</v>
      </c>
    </row>
    <row r="145" spans="1:29" x14ac:dyDescent="0.45">
      <c r="A145" s="14" t="s">
        <v>23</v>
      </c>
      <c r="B145" s="14"/>
      <c r="C145" s="14"/>
      <c r="D145" s="14"/>
      <c r="H145" s="8"/>
      <c r="I145" s="3"/>
      <c r="J145" s="3" t="str">
        <f t="shared" si="6"/>
        <v/>
      </c>
      <c r="K145" s="3" t="str">
        <f>IF(ISNUMBER(SEARCH("-",V145)),IFERROR(IF($H$2="Lower", LOWER(ComputeResourceName(Z145,#REF!,#REF!,G145,N145,O145,P145,Q145,S145,T145,V145,A145)), UPPER(ComputeResourceName(Z145,#REF!,#REF!,G145,N145,O145,P145,Q145,S145,T145,V145,A145))),""),SUBSTITUTE(IFERROR(IF($H$2="Lower", LOWER(ComputeResourceName(#REF!,#REF!,#REF!,G145,N145,O145,P145,Q145,S145,T145,V145,A145)), UPPER(ComputeResourceName(#REF!,#REF!,#REF!,G145,N145,O145,P145,Q145,S145,T145,V145,A145))),""), "-",""))</f>
        <v/>
      </c>
      <c r="L145" s="3" t="str">
        <f xml:space="preserve"> IF(K145="","",  IFERROR(VLOOKUP(I145,Resources!$B$1:$H$1503,5,FALSE)-LEN(K145),0))</f>
        <v/>
      </c>
      <c r="M145" s="3" t="str">
        <f>IF(K145="","",IFERROR(matches(K145,VLOOKUP(I145,Resources!$A$2:$AA$1503,16,FALSE)),FALSE))</f>
        <v/>
      </c>
      <c r="N145" s="3" t="e">
        <f>VLOOKUP(E145,Enviroments!$A$3:$D$59,1,FALSE)</f>
        <v>#N/A</v>
      </c>
      <c r="O145" s="3" t="e">
        <f>VLOOKUP(E145,Enviroments!$A$3:$D$59,2,FALSE)</f>
        <v>#N/A</v>
      </c>
      <c r="P145" s="3" t="e">
        <f>VLOOKUP(E145,Enviroments!$A$3:$D$59,3,FALSE)</f>
        <v>#N/A</v>
      </c>
      <c r="Q145" s="3" t="e">
        <f>VLOOKUP(E145,Enviroments!$A$3:$D$59,4,FALSE)</f>
        <v>#N/A</v>
      </c>
      <c r="R145" s="3" t="e">
        <f>VLOOKUP(H145,AzureRegions!$A$4:$B$1493,1,FALSE)</f>
        <v>#N/A</v>
      </c>
      <c r="S145" s="3" t="e">
        <f>VLOOKUP(H145,AzureRegions!$A$4:$B$1493,2,FALSE)</f>
        <v>#N/A</v>
      </c>
      <c r="T145" s="3" t="e">
        <f>VLOOKUP(H145,AzureRegions!$A$4:$C$1493,3,FALSE)</f>
        <v>#N/A</v>
      </c>
      <c r="U145" s="3" t="e">
        <f>VLOOKUP(I145,Resources!$A$2:$AA$1503,2,FALSE)</f>
        <v>#N/A</v>
      </c>
      <c r="V145" s="3" t="e">
        <f>VLOOKUP(I145,Resources!$A$2:$H$1503,6,FALSE)</f>
        <v>#N/A</v>
      </c>
      <c r="W145" s="3" t="str">
        <f>VLOOKUP($H$2,Casing!$A$4:$A$60,1,FALSE)</f>
        <v>Lower</v>
      </c>
      <c r="X145" s="14" t="str">
        <f t="shared" si="5"/>
        <v>001</v>
      </c>
      <c r="Y145" s="3" t="str">
        <f>IFERROR(VLOOKUP(F145,Func!$A$4:$G$1500,2,FALSE),"none")</f>
        <v>none</v>
      </c>
      <c r="Z145" s="3" t="e">
        <f>VLOOKUP(I145,Resources!$A$2:$AA$1503,18,FALSE)</f>
        <v>#N/A</v>
      </c>
      <c r="AA145" s="3" t="str">
        <f>IFERROR(VLOOKUP(B145,Orgs!$A$4:$G$1500,2,FALSE),"none")</f>
        <v>none</v>
      </c>
      <c r="AB145" s="3" t="str">
        <f>IFERROR(VLOOKUP(C145,UnitsDepts!$A$4:$G$1500,2,FALSE),"none")</f>
        <v>none</v>
      </c>
      <c r="AC145" s="3" t="str">
        <f>IFERROR(VLOOKUP(D145,ProjAppSvc!$A$4:$G$1500,2,FALSE),"none")</f>
        <v>none</v>
      </c>
    </row>
    <row r="146" spans="1:29" x14ac:dyDescent="0.45">
      <c r="A146" s="14" t="s">
        <v>23</v>
      </c>
      <c r="B146" s="14"/>
      <c r="C146" s="14"/>
      <c r="D146" s="14"/>
      <c r="H146" s="8"/>
      <c r="I146" s="3"/>
      <c r="J146" s="3" t="str">
        <f t="shared" si="6"/>
        <v/>
      </c>
      <c r="K146" s="3" t="str">
        <f>IF(ISNUMBER(SEARCH("-",V146)),IFERROR(IF($H$2="Lower", LOWER(ComputeResourceName(Z146,#REF!,#REF!,G146,N146,O146,P146,Q146,S146,T146,V146,A146)), UPPER(ComputeResourceName(Z146,#REF!,#REF!,G146,N146,O146,P146,Q146,S146,T146,V146,A146))),""),SUBSTITUTE(IFERROR(IF($H$2="Lower", LOWER(ComputeResourceName(#REF!,#REF!,#REF!,G146,N146,O146,P146,Q146,S146,T146,V146,A146)), UPPER(ComputeResourceName(#REF!,#REF!,#REF!,G146,N146,O146,P146,Q146,S146,T146,V146,A146))),""), "-",""))</f>
        <v/>
      </c>
      <c r="L146" s="3" t="str">
        <f xml:space="preserve"> IF(K146="","",  IFERROR(VLOOKUP(I146,Resources!$B$1:$H$1503,5,FALSE)-LEN(K146),0))</f>
        <v/>
      </c>
      <c r="M146" s="3" t="str">
        <f>IF(K146="","",IFERROR(matches(K146,VLOOKUP(I146,Resources!$A$2:$AA$1503,16,FALSE)),FALSE))</f>
        <v/>
      </c>
      <c r="N146" s="3" t="e">
        <f>VLOOKUP(E146,Enviroments!$A$3:$D$59,1,FALSE)</f>
        <v>#N/A</v>
      </c>
      <c r="O146" s="3" t="e">
        <f>VLOOKUP(E146,Enviroments!$A$3:$D$59,2,FALSE)</f>
        <v>#N/A</v>
      </c>
      <c r="P146" s="3" t="e">
        <f>VLOOKUP(E146,Enviroments!$A$3:$D$59,3,FALSE)</f>
        <v>#N/A</v>
      </c>
      <c r="Q146" s="3" t="e">
        <f>VLOOKUP(E146,Enviroments!$A$3:$D$59,4,FALSE)</f>
        <v>#N/A</v>
      </c>
      <c r="R146" s="3" t="e">
        <f>VLOOKUP(H146,AzureRegions!$A$4:$B$1493,1,FALSE)</f>
        <v>#N/A</v>
      </c>
      <c r="S146" s="3" t="e">
        <f>VLOOKUP(H146,AzureRegions!$A$4:$B$1493,2,FALSE)</f>
        <v>#N/A</v>
      </c>
      <c r="T146" s="3" t="e">
        <f>VLOOKUP(H146,AzureRegions!$A$4:$C$1493,3,FALSE)</f>
        <v>#N/A</v>
      </c>
      <c r="U146" s="3" t="e">
        <f>VLOOKUP(I146,Resources!$A$2:$AA$1503,2,FALSE)</f>
        <v>#N/A</v>
      </c>
      <c r="V146" s="3" t="e">
        <f>VLOOKUP(I146,Resources!$A$2:$H$1503,6,FALSE)</f>
        <v>#N/A</v>
      </c>
      <c r="W146" s="3" t="str">
        <f>VLOOKUP($H$2,Casing!$A$4:$A$60,1,FALSE)</f>
        <v>Lower</v>
      </c>
      <c r="X146" s="14" t="str">
        <f t="shared" si="5"/>
        <v>001</v>
      </c>
      <c r="Y146" s="3" t="str">
        <f>IFERROR(VLOOKUP(F146,Func!$A$4:$G$1500,2,FALSE),"none")</f>
        <v>none</v>
      </c>
      <c r="Z146" s="3" t="e">
        <f>VLOOKUP(I146,Resources!$A$2:$AA$1503,18,FALSE)</f>
        <v>#N/A</v>
      </c>
      <c r="AA146" s="3" t="str">
        <f>IFERROR(VLOOKUP(B146,Orgs!$A$4:$G$1500,2,FALSE),"none")</f>
        <v>none</v>
      </c>
      <c r="AB146" s="3" t="str">
        <f>IFERROR(VLOOKUP(C146,UnitsDepts!$A$4:$G$1500,2,FALSE),"none")</f>
        <v>none</v>
      </c>
      <c r="AC146" s="3" t="str">
        <f>IFERROR(VLOOKUP(D146,ProjAppSvc!$A$4:$G$1500,2,FALSE),"none")</f>
        <v>none</v>
      </c>
    </row>
    <row r="147" spans="1:29" x14ac:dyDescent="0.45">
      <c r="A147" s="14" t="s">
        <v>23</v>
      </c>
      <c r="B147" s="14"/>
      <c r="C147" s="14"/>
      <c r="D147" s="14"/>
      <c r="H147" s="8"/>
      <c r="I147" s="3"/>
      <c r="J147" s="3" t="str">
        <f t="shared" si="6"/>
        <v/>
      </c>
      <c r="K147" s="3" t="str">
        <f>IF(ISNUMBER(SEARCH("-",V147)),IFERROR(IF($H$2="Lower", LOWER(ComputeResourceName(Z147,#REF!,#REF!,G147,N147,O147,P147,Q147,S147,T147,V147,A147)), UPPER(ComputeResourceName(Z147,#REF!,#REF!,G147,N147,O147,P147,Q147,S147,T147,V147,A147))),""),SUBSTITUTE(IFERROR(IF($H$2="Lower", LOWER(ComputeResourceName(#REF!,#REF!,#REF!,G147,N147,O147,P147,Q147,S147,T147,V147,A147)), UPPER(ComputeResourceName(#REF!,#REF!,#REF!,G147,N147,O147,P147,Q147,S147,T147,V147,A147))),""), "-",""))</f>
        <v/>
      </c>
      <c r="L147" s="3" t="str">
        <f xml:space="preserve"> IF(K147="","",  IFERROR(VLOOKUP(I147,Resources!$B$1:$H$1503,5,FALSE)-LEN(K147),0))</f>
        <v/>
      </c>
      <c r="M147" s="3" t="str">
        <f>IF(K147="","",IFERROR(matches(K147,VLOOKUP(I147,Resources!$A$2:$AA$1503,16,FALSE)),FALSE))</f>
        <v/>
      </c>
      <c r="N147" s="3" t="e">
        <f>VLOOKUP(E147,Enviroments!$A$3:$D$59,1,FALSE)</f>
        <v>#N/A</v>
      </c>
      <c r="O147" s="3" t="e">
        <f>VLOOKUP(E147,Enviroments!$A$3:$D$59,2,FALSE)</f>
        <v>#N/A</v>
      </c>
      <c r="P147" s="3" t="e">
        <f>VLOOKUP(E147,Enviroments!$A$3:$D$59,3,FALSE)</f>
        <v>#N/A</v>
      </c>
      <c r="Q147" s="3" t="e">
        <f>VLOOKUP(E147,Enviroments!$A$3:$D$59,4,FALSE)</f>
        <v>#N/A</v>
      </c>
      <c r="R147" s="3" t="e">
        <f>VLOOKUP(H147,AzureRegions!$A$4:$B$1493,1,FALSE)</f>
        <v>#N/A</v>
      </c>
      <c r="S147" s="3" t="e">
        <f>VLOOKUP(H147,AzureRegions!$A$4:$B$1493,2,FALSE)</f>
        <v>#N/A</v>
      </c>
      <c r="T147" s="3" t="e">
        <f>VLOOKUP(H147,AzureRegions!$A$4:$C$1493,3,FALSE)</f>
        <v>#N/A</v>
      </c>
      <c r="U147" s="3" t="e">
        <f>VLOOKUP(I147,Resources!$A$2:$AA$1503,2,FALSE)</f>
        <v>#N/A</v>
      </c>
      <c r="V147" s="3" t="e">
        <f>VLOOKUP(I147,Resources!$A$2:$H$1503,6,FALSE)</f>
        <v>#N/A</v>
      </c>
      <c r="W147" s="3" t="str">
        <f>VLOOKUP($H$2,Casing!$A$4:$A$60,1,FALSE)</f>
        <v>Lower</v>
      </c>
      <c r="X147" s="14" t="str">
        <f t="shared" si="5"/>
        <v>001</v>
      </c>
      <c r="Y147" s="3" t="str">
        <f>IFERROR(VLOOKUP(F147,Func!$A$4:$G$1500,2,FALSE),"none")</f>
        <v>none</v>
      </c>
      <c r="Z147" s="3" t="e">
        <f>VLOOKUP(I147,Resources!$A$2:$AA$1503,18,FALSE)</f>
        <v>#N/A</v>
      </c>
      <c r="AA147" s="3" t="str">
        <f>IFERROR(VLOOKUP(B147,Orgs!$A$4:$G$1500,2,FALSE),"none")</f>
        <v>none</v>
      </c>
      <c r="AB147" s="3" t="str">
        <f>IFERROR(VLOOKUP(C147,UnitsDepts!$A$4:$G$1500,2,FALSE),"none")</f>
        <v>none</v>
      </c>
      <c r="AC147" s="3" t="str">
        <f>IFERROR(VLOOKUP(D147,ProjAppSvc!$A$4:$G$1500,2,FALSE),"none")</f>
        <v>none</v>
      </c>
    </row>
    <row r="148" spans="1:29" x14ac:dyDescent="0.45">
      <c r="A148" s="14" t="s">
        <v>23</v>
      </c>
      <c r="B148" s="14"/>
      <c r="C148" s="14"/>
      <c r="D148" s="14"/>
      <c r="H148" s="8"/>
      <c r="I148" s="3"/>
      <c r="J148" s="3" t="str">
        <f t="shared" si="6"/>
        <v/>
      </c>
      <c r="K148" s="3" t="str">
        <f>IF(ISNUMBER(SEARCH("-",V148)),IFERROR(IF($H$2="Lower", LOWER(ComputeResourceName(Z148,#REF!,#REF!,G148,N148,O148,P148,Q148,S148,T148,V148,A148)), UPPER(ComputeResourceName(Z148,#REF!,#REF!,G148,N148,O148,P148,Q148,S148,T148,V148,A148))),""),SUBSTITUTE(IFERROR(IF($H$2="Lower", LOWER(ComputeResourceName(#REF!,#REF!,#REF!,G148,N148,O148,P148,Q148,S148,T148,V148,A148)), UPPER(ComputeResourceName(#REF!,#REF!,#REF!,G148,N148,O148,P148,Q148,S148,T148,V148,A148))),""), "-",""))</f>
        <v/>
      </c>
      <c r="L148" s="3" t="str">
        <f xml:space="preserve"> IF(K148="","",  IFERROR(VLOOKUP(I148,Resources!$B$1:$H$1503,5,FALSE)-LEN(K148),0))</f>
        <v/>
      </c>
      <c r="M148" s="3" t="str">
        <f>IF(K148="","",IFERROR(matches(K148,VLOOKUP(I148,Resources!$A$2:$AA$1503,16,FALSE)),FALSE))</f>
        <v/>
      </c>
      <c r="N148" s="3" t="e">
        <f>VLOOKUP(E148,Enviroments!$A$3:$D$59,1,FALSE)</f>
        <v>#N/A</v>
      </c>
      <c r="O148" s="3" t="e">
        <f>VLOOKUP(E148,Enviroments!$A$3:$D$59,2,FALSE)</f>
        <v>#N/A</v>
      </c>
      <c r="P148" s="3" t="e">
        <f>VLOOKUP(E148,Enviroments!$A$3:$D$59,3,FALSE)</f>
        <v>#N/A</v>
      </c>
      <c r="Q148" s="3" t="e">
        <f>VLOOKUP(E148,Enviroments!$A$3:$D$59,4,FALSE)</f>
        <v>#N/A</v>
      </c>
      <c r="R148" s="3" t="e">
        <f>VLOOKUP(H148,AzureRegions!$A$4:$B$1493,1,FALSE)</f>
        <v>#N/A</v>
      </c>
      <c r="S148" s="3" t="e">
        <f>VLOOKUP(H148,AzureRegions!$A$4:$B$1493,2,FALSE)</f>
        <v>#N/A</v>
      </c>
      <c r="T148" s="3" t="e">
        <f>VLOOKUP(H148,AzureRegions!$A$4:$C$1493,3,FALSE)</f>
        <v>#N/A</v>
      </c>
      <c r="U148" s="3" t="e">
        <f>VLOOKUP(I148,Resources!$A$2:$AA$1503,2,FALSE)</f>
        <v>#N/A</v>
      </c>
      <c r="V148" s="3" t="e">
        <f>VLOOKUP(I148,Resources!$A$2:$H$1503,6,FALSE)</f>
        <v>#N/A</v>
      </c>
      <c r="W148" s="3" t="str">
        <f>VLOOKUP($H$2,Casing!$A$4:$A$60,1,FALSE)</f>
        <v>Lower</v>
      </c>
      <c r="X148" s="14" t="str">
        <f t="shared" si="5"/>
        <v>001</v>
      </c>
      <c r="Y148" s="3" t="str">
        <f>IFERROR(VLOOKUP(F148,Func!$A$4:$G$1500,2,FALSE),"none")</f>
        <v>none</v>
      </c>
      <c r="Z148" s="3" t="e">
        <f>VLOOKUP(I148,Resources!$A$2:$AA$1503,18,FALSE)</f>
        <v>#N/A</v>
      </c>
      <c r="AA148" s="3" t="str">
        <f>IFERROR(VLOOKUP(B148,Orgs!$A$4:$G$1500,2,FALSE),"none")</f>
        <v>none</v>
      </c>
      <c r="AB148" s="3" t="str">
        <f>IFERROR(VLOOKUP(C148,UnitsDepts!$A$4:$G$1500,2,FALSE),"none")</f>
        <v>none</v>
      </c>
      <c r="AC148" s="3" t="str">
        <f>IFERROR(VLOOKUP(D148,ProjAppSvc!$A$4:$G$1500,2,FALSE),"none")</f>
        <v>none</v>
      </c>
    </row>
    <row r="149" spans="1:29" x14ac:dyDescent="0.45">
      <c r="A149" s="14" t="s">
        <v>23</v>
      </c>
      <c r="B149" s="14"/>
      <c r="C149" s="14"/>
      <c r="D149" s="14"/>
      <c r="H149" s="8"/>
      <c r="I149" s="3"/>
      <c r="J149" s="3" t="str">
        <f t="shared" si="6"/>
        <v/>
      </c>
      <c r="K149" s="3" t="str">
        <f>IF(ISNUMBER(SEARCH("-",V149)),IFERROR(IF($H$2="Lower", LOWER(ComputeResourceName(Z149,#REF!,#REF!,G149,N149,O149,P149,Q149,S149,T149,V149,A149)), UPPER(ComputeResourceName(Z149,#REF!,#REF!,G149,N149,O149,P149,Q149,S149,T149,V149,A149))),""),SUBSTITUTE(IFERROR(IF($H$2="Lower", LOWER(ComputeResourceName(#REF!,#REF!,#REF!,G149,N149,O149,P149,Q149,S149,T149,V149,A149)), UPPER(ComputeResourceName(#REF!,#REF!,#REF!,G149,N149,O149,P149,Q149,S149,T149,V149,A149))),""), "-",""))</f>
        <v/>
      </c>
      <c r="L149" s="3" t="str">
        <f xml:space="preserve"> IF(K149="","",  IFERROR(VLOOKUP(I149,Resources!$B$1:$H$1503,5,FALSE)-LEN(K149),0))</f>
        <v/>
      </c>
      <c r="M149" s="3" t="str">
        <f>IF(K149="","",IFERROR(matches(K149,VLOOKUP(I149,Resources!$A$2:$AA$1503,16,FALSE)),FALSE))</f>
        <v/>
      </c>
      <c r="N149" s="3" t="e">
        <f>VLOOKUP(E149,Enviroments!$A$3:$D$59,1,FALSE)</f>
        <v>#N/A</v>
      </c>
      <c r="O149" s="3" t="e">
        <f>VLOOKUP(E149,Enviroments!$A$3:$D$59,2,FALSE)</f>
        <v>#N/A</v>
      </c>
      <c r="P149" s="3" t="e">
        <f>VLOOKUP(E149,Enviroments!$A$3:$D$59,3,FALSE)</f>
        <v>#N/A</v>
      </c>
      <c r="Q149" s="3" t="e">
        <f>VLOOKUP(E149,Enviroments!$A$3:$D$59,4,FALSE)</f>
        <v>#N/A</v>
      </c>
      <c r="R149" s="3" t="e">
        <f>VLOOKUP(H149,AzureRegions!$A$4:$B$1493,1,FALSE)</f>
        <v>#N/A</v>
      </c>
      <c r="S149" s="3" t="e">
        <f>VLOOKUP(H149,AzureRegions!$A$4:$B$1493,2,FALSE)</f>
        <v>#N/A</v>
      </c>
      <c r="T149" s="3" t="e">
        <f>VLOOKUP(H149,AzureRegions!$A$4:$C$1493,3,FALSE)</f>
        <v>#N/A</v>
      </c>
      <c r="U149" s="3" t="e">
        <f>VLOOKUP(I149,Resources!$A$2:$AA$1503,2,FALSE)</f>
        <v>#N/A</v>
      </c>
      <c r="V149" s="3" t="e">
        <f>VLOOKUP(I149,Resources!$A$2:$H$1503,6,FALSE)</f>
        <v>#N/A</v>
      </c>
      <c r="W149" s="3" t="str">
        <f>VLOOKUP($H$2,Casing!$A$4:$A$60,1,FALSE)</f>
        <v>Lower</v>
      </c>
      <c r="X149" s="14" t="str">
        <f t="shared" si="5"/>
        <v>001</v>
      </c>
      <c r="Y149" s="3" t="str">
        <f>IFERROR(VLOOKUP(F149,Func!$A$4:$G$1500,2,FALSE),"none")</f>
        <v>none</v>
      </c>
      <c r="Z149" s="3" t="e">
        <f>VLOOKUP(I149,Resources!$A$2:$AA$1503,18,FALSE)</f>
        <v>#N/A</v>
      </c>
      <c r="AA149" s="3" t="str">
        <f>IFERROR(VLOOKUP(B149,Orgs!$A$4:$G$1500,2,FALSE),"none")</f>
        <v>none</v>
      </c>
      <c r="AB149" s="3" t="str">
        <f>IFERROR(VLOOKUP(C149,UnitsDepts!$A$4:$G$1500,2,FALSE),"none")</f>
        <v>none</v>
      </c>
      <c r="AC149" s="3" t="str">
        <f>IFERROR(VLOOKUP(D149,ProjAppSvc!$A$4:$G$1500,2,FALSE),"none")</f>
        <v>none</v>
      </c>
    </row>
    <row r="150" spans="1:29" x14ac:dyDescent="0.45">
      <c r="A150" s="14" t="s">
        <v>23</v>
      </c>
      <c r="B150" s="14"/>
      <c r="C150" s="14"/>
      <c r="D150" s="14"/>
      <c r="H150" s="8"/>
      <c r="I150" s="3"/>
      <c r="J150" s="3" t="str">
        <f t="shared" si="6"/>
        <v/>
      </c>
      <c r="K150" s="3" t="str">
        <f>IF(ISNUMBER(SEARCH("-",V150)),IFERROR(IF($H$2="Lower", LOWER(ComputeResourceName(Z150,#REF!,#REF!,G150,N150,O150,P150,Q150,S150,T150,V150,A150)), UPPER(ComputeResourceName(Z150,#REF!,#REF!,G150,N150,O150,P150,Q150,S150,T150,V150,A150))),""),SUBSTITUTE(IFERROR(IF($H$2="Lower", LOWER(ComputeResourceName(#REF!,#REF!,#REF!,G150,N150,O150,P150,Q150,S150,T150,V150,A150)), UPPER(ComputeResourceName(#REF!,#REF!,#REF!,G150,N150,O150,P150,Q150,S150,T150,V150,A150))),""), "-",""))</f>
        <v/>
      </c>
      <c r="L150" s="3" t="str">
        <f xml:space="preserve"> IF(K150="","",  IFERROR(VLOOKUP(I150,Resources!$B$1:$H$1503,5,FALSE)-LEN(K150),0))</f>
        <v/>
      </c>
      <c r="M150" s="3" t="str">
        <f>IF(K150="","",IFERROR(matches(K150,VLOOKUP(I150,Resources!$A$2:$AA$1503,16,FALSE)),FALSE))</f>
        <v/>
      </c>
      <c r="N150" s="3" t="e">
        <f>VLOOKUP(E150,Enviroments!$A$3:$D$59,1,FALSE)</f>
        <v>#N/A</v>
      </c>
      <c r="O150" s="3" t="e">
        <f>VLOOKUP(E150,Enviroments!$A$3:$D$59,2,FALSE)</f>
        <v>#N/A</v>
      </c>
      <c r="P150" s="3" t="e">
        <f>VLOOKUP(E150,Enviroments!$A$3:$D$59,3,FALSE)</f>
        <v>#N/A</v>
      </c>
      <c r="Q150" s="3" t="e">
        <f>VLOOKUP(E150,Enviroments!$A$3:$D$59,4,FALSE)</f>
        <v>#N/A</v>
      </c>
      <c r="R150" s="3" t="e">
        <f>VLOOKUP(H150,AzureRegions!$A$4:$B$1493,1,FALSE)</f>
        <v>#N/A</v>
      </c>
      <c r="S150" s="3" t="e">
        <f>VLOOKUP(H150,AzureRegions!$A$4:$B$1493,2,FALSE)</f>
        <v>#N/A</v>
      </c>
      <c r="T150" s="3" t="e">
        <f>VLOOKUP(H150,AzureRegions!$A$4:$C$1493,3,FALSE)</f>
        <v>#N/A</v>
      </c>
      <c r="U150" s="3" t="e">
        <f>VLOOKUP(I150,Resources!$A$2:$AA$1503,2,FALSE)</f>
        <v>#N/A</v>
      </c>
      <c r="V150" s="3" t="e">
        <f>VLOOKUP(I150,Resources!$A$2:$H$1503,6,FALSE)</f>
        <v>#N/A</v>
      </c>
      <c r="W150" s="3" t="str">
        <f>VLOOKUP($H$2,Casing!$A$4:$A$60,1,FALSE)</f>
        <v>Lower</v>
      </c>
      <c r="X150" s="14" t="str">
        <f t="shared" si="5"/>
        <v>001</v>
      </c>
      <c r="Y150" s="3" t="str">
        <f>IFERROR(VLOOKUP(F150,Func!$A$4:$G$1500,2,FALSE),"none")</f>
        <v>none</v>
      </c>
      <c r="Z150" s="3" t="e">
        <f>VLOOKUP(I150,Resources!$A$2:$AA$1503,18,FALSE)</f>
        <v>#N/A</v>
      </c>
      <c r="AA150" s="3" t="str">
        <f>IFERROR(VLOOKUP(B150,Orgs!$A$4:$G$1500,2,FALSE),"none")</f>
        <v>none</v>
      </c>
      <c r="AB150" s="3" t="str">
        <f>IFERROR(VLOOKUP(C150,UnitsDepts!$A$4:$G$1500,2,FALSE),"none")</f>
        <v>none</v>
      </c>
      <c r="AC150" s="3" t="str">
        <f>IFERROR(VLOOKUP(D150,ProjAppSvc!$A$4:$G$1500,2,FALSE),"none")</f>
        <v>none</v>
      </c>
    </row>
    <row r="151" spans="1:29" x14ac:dyDescent="0.45">
      <c r="A151" s="14" t="s">
        <v>23</v>
      </c>
      <c r="B151" s="14"/>
      <c r="C151" s="14"/>
      <c r="D151" s="14"/>
      <c r="H151" s="8"/>
      <c r="I151" s="3"/>
      <c r="J151" s="3" t="str">
        <f t="shared" si="6"/>
        <v/>
      </c>
      <c r="K151" s="3" t="str">
        <f>IF(ISNUMBER(SEARCH("-",V151)),IFERROR(IF($H$2="Lower", LOWER(ComputeResourceName(Z151,#REF!,#REF!,G151,N151,O151,P151,Q151,S151,T151,V151,A151)), UPPER(ComputeResourceName(Z151,#REF!,#REF!,G151,N151,O151,P151,Q151,S151,T151,V151,A151))),""),SUBSTITUTE(IFERROR(IF($H$2="Lower", LOWER(ComputeResourceName(#REF!,#REF!,#REF!,G151,N151,O151,P151,Q151,S151,T151,V151,A151)), UPPER(ComputeResourceName(#REF!,#REF!,#REF!,G151,N151,O151,P151,Q151,S151,T151,V151,A151))),""), "-",""))</f>
        <v/>
      </c>
      <c r="L151" s="3" t="str">
        <f xml:space="preserve"> IF(K151="","",  IFERROR(VLOOKUP(I151,Resources!$B$1:$H$1503,5,FALSE)-LEN(K151),0))</f>
        <v/>
      </c>
      <c r="M151" s="3" t="str">
        <f>IF(K151="","",IFERROR(matches(K151,VLOOKUP(I151,Resources!$A$2:$AA$1503,16,FALSE)),FALSE))</f>
        <v/>
      </c>
      <c r="N151" s="3" t="e">
        <f>VLOOKUP(E151,Enviroments!$A$3:$D$59,1,FALSE)</f>
        <v>#N/A</v>
      </c>
      <c r="O151" s="3" t="e">
        <f>VLOOKUP(E151,Enviroments!$A$3:$D$59,2,FALSE)</f>
        <v>#N/A</v>
      </c>
      <c r="P151" s="3" t="e">
        <f>VLOOKUP(E151,Enviroments!$A$3:$D$59,3,FALSE)</f>
        <v>#N/A</v>
      </c>
      <c r="Q151" s="3" t="e">
        <f>VLOOKUP(E151,Enviroments!$A$3:$D$59,4,FALSE)</f>
        <v>#N/A</v>
      </c>
      <c r="R151" s="3" t="e">
        <f>VLOOKUP(H151,AzureRegions!$A$4:$B$1493,1,FALSE)</f>
        <v>#N/A</v>
      </c>
      <c r="S151" s="3" t="e">
        <f>VLOOKUP(H151,AzureRegions!$A$4:$B$1493,2,FALSE)</f>
        <v>#N/A</v>
      </c>
      <c r="T151" s="3" t="e">
        <f>VLOOKUP(H151,AzureRegions!$A$4:$C$1493,3,FALSE)</f>
        <v>#N/A</v>
      </c>
      <c r="U151" s="3" t="e">
        <f>VLOOKUP(I151,Resources!$A$2:$AA$1503,2,FALSE)</f>
        <v>#N/A</v>
      </c>
      <c r="V151" s="3" t="e">
        <f>VLOOKUP(I151,Resources!$A$2:$H$1503,6,FALSE)</f>
        <v>#N/A</v>
      </c>
      <c r="W151" s="3" t="str">
        <f>VLOOKUP($H$2,Casing!$A$4:$A$60,1,FALSE)</f>
        <v>Lower</v>
      </c>
      <c r="X151" s="14" t="str">
        <f t="shared" si="5"/>
        <v>001</v>
      </c>
      <c r="Y151" s="3" t="str">
        <f>IFERROR(VLOOKUP(F151,Func!$A$4:$G$1500,2,FALSE),"none")</f>
        <v>none</v>
      </c>
      <c r="Z151" s="3" t="e">
        <f>VLOOKUP(I151,Resources!$A$2:$AA$1503,18,FALSE)</f>
        <v>#N/A</v>
      </c>
      <c r="AA151" s="3" t="str">
        <f>IFERROR(VLOOKUP(B151,Orgs!$A$4:$G$1500,2,FALSE),"none")</f>
        <v>none</v>
      </c>
      <c r="AB151" s="3" t="str">
        <f>IFERROR(VLOOKUP(C151,UnitsDepts!$A$4:$G$1500,2,FALSE),"none")</f>
        <v>none</v>
      </c>
      <c r="AC151" s="3" t="str">
        <f>IFERROR(VLOOKUP(D151,ProjAppSvc!$A$4:$G$1500,2,FALSE),"none")</f>
        <v>none</v>
      </c>
    </row>
    <row r="152" spans="1:29" x14ac:dyDescent="0.45">
      <c r="A152" s="14" t="s">
        <v>23</v>
      </c>
      <c r="B152" s="14"/>
      <c r="C152" s="14"/>
      <c r="D152" s="14"/>
      <c r="H152" s="8"/>
      <c r="I152" s="3"/>
      <c r="J152" s="3" t="str">
        <f t="shared" si="6"/>
        <v/>
      </c>
      <c r="K152" s="3" t="str">
        <f>IF(ISNUMBER(SEARCH("-",V152)),IFERROR(IF($H$2="Lower", LOWER(ComputeResourceName(Z152,#REF!,#REF!,G152,N152,O152,P152,Q152,S152,T152,V152,A152)), UPPER(ComputeResourceName(Z152,#REF!,#REF!,G152,N152,O152,P152,Q152,S152,T152,V152,A152))),""),SUBSTITUTE(IFERROR(IF($H$2="Lower", LOWER(ComputeResourceName(#REF!,#REF!,#REF!,G152,N152,O152,P152,Q152,S152,T152,V152,A152)), UPPER(ComputeResourceName(#REF!,#REF!,#REF!,G152,N152,O152,P152,Q152,S152,T152,V152,A152))),""), "-",""))</f>
        <v/>
      </c>
      <c r="L152" s="3" t="str">
        <f xml:space="preserve"> IF(K152="","",  IFERROR(VLOOKUP(I152,Resources!$B$1:$H$1503,5,FALSE)-LEN(K152),0))</f>
        <v/>
      </c>
      <c r="M152" s="3" t="str">
        <f>IF(K152="","",IFERROR(matches(K152,VLOOKUP(I152,Resources!$A$2:$AA$1503,16,FALSE)),FALSE))</f>
        <v/>
      </c>
      <c r="N152" s="3" t="e">
        <f>VLOOKUP(E152,Enviroments!$A$3:$D$59,1,FALSE)</f>
        <v>#N/A</v>
      </c>
      <c r="O152" s="3" t="e">
        <f>VLOOKUP(E152,Enviroments!$A$3:$D$59,2,FALSE)</f>
        <v>#N/A</v>
      </c>
      <c r="P152" s="3" t="e">
        <f>VLOOKUP(E152,Enviroments!$A$3:$D$59,3,FALSE)</f>
        <v>#N/A</v>
      </c>
      <c r="Q152" s="3" t="e">
        <f>VLOOKUP(E152,Enviroments!$A$3:$D$59,4,FALSE)</f>
        <v>#N/A</v>
      </c>
      <c r="R152" s="3" t="e">
        <f>VLOOKUP(H152,AzureRegions!$A$4:$B$1493,1,FALSE)</f>
        <v>#N/A</v>
      </c>
      <c r="S152" s="3" t="e">
        <f>VLOOKUP(H152,AzureRegions!$A$4:$B$1493,2,FALSE)</f>
        <v>#N/A</v>
      </c>
      <c r="T152" s="3" t="e">
        <f>VLOOKUP(H152,AzureRegions!$A$4:$C$1493,3,FALSE)</f>
        <v>#N/A</v>
      </c>
      <c r="U152" s="3" t="e">
        <f>VLOOKUP(I152,Resources!$A$2:$AA$1503,2,FALSE)</f>
        <v>#N/A</v>
      </c>
      <c r="V152" s="3" t="e">
        <f>VLOOKUP(I152,Resources!$A$2:$H$1503,6,FALSE)</f>
        <v>#N/A</v>
      </c>
      <c r="W152" s="3" t="str">
        <f>VLOOKUP($H$2,Casing!$A$4:$A$60,1,FALSE)</f>
        <v>Lower</v>
      </c>
      <c r="X152" s="14" t="str">
        <f t="shared" si="5"/>
        <v>001</v>
      </c>
      <c r="Y152" s="3" t="str">
        <f>IFERROR(VLOOKUP(F152,Func!$A$4:$G$1500,2,FALSE),"none")</f>
        <v>none</v>
      </c>
      <c r="Z152" s="3" t="e">
        <f>VLOOKUP(I152,Resources!$A$2:$AA$1503,18,FALSE)</f>
        <v>#N/A</v>
      </c>
      <c r="AA152" s="3" t="str">
        <f>IFERROR(VLOOKUP(B152,Orgs!$A$4:$G$1500,2,FALSE),"none")</f>
        <v>none</v>
      </c>
      <c r="AB152" s="3" t="str">
        <f>IFERROR(VLOOKUP(C152,UnitsDepts!$A$4:$G$1500,2,FALSE),"none")</f>
        <v>none</v>
      </c>
      <c r="AC152" s="3" t="str">
        <f>IFERROR(VLOOKUP(D152,ProjAppSvc!$A$4:$G$1500,2,FALSE),"none")</f>
        <v>none</v>
      </c>
    </row>
    <row r="153" spans="1:29" x14ac:dyDescent="0.45">
      <c r="A153" s="14" t="s">
        <v>23</v>
      </c>
      <c r="B153" s="14"/>
      <c r="C153" s="14"/>
      <c r="D153" s="14"/>
      <c r="H153" s="8"/>
      <c r="I153" s="3"/>
      <c r="J153" s="3" t="str">
        <f t="shared" si="6"/>
        <v/>
      </c>
      <c r="K153" s="3" t="str">
        <f>IF(ISNUMBER(SEARCH("-",V153)),IFERROR(IF($H$2="Lower", LOWER(ComputeResourceName(Z153,#REF!,#REF!,G153,N153,O153,P153,Q153,S153,T153,V153,A153)), UPPER(ComputeResourceName(Z153,#REF!,#REF!,G153,N153,O153,P153,Q153,S153,T153,V153,A153))),""),SUBSTITUTE(IFERROR(IF($H$2="Lower", LOWER(ComputeResourceName(#REF!,#REF!,#REF!,G153,N153,O153,P153,Q153,S153,T153,V153,A153)), UPPER(ComputeResourceName(#REF!,#REF!,#REF!,G153,N153,O153,P153,Q153,S153,T153,V153,A153))),""), "-",""))</f>
        <v/>
      </c>
      <c r="L153" s="3" t="str">
        <f xml:space="preserve"> IF(K153="","",  IFERROR(VLOOKUP(I153,Resources!$B$1:$H$1503,5,FALSE)-LEN(K153),0))</f>
        <v/>
      </c>
      <c r="M153" s="3" t="str">
        <f>IF(K153="","",IFERROR(matches(K153,VLOOKUP(I153,Resources!$A$2:$AA$1503,16,FALSE)),FALSE))</f>
        <v/>
      </c>
      <c r="N153" s="3" t="e">
        <f>VLOOKUP(E153,Enviroments!$A$3:$D$59,1,FALSE)</f>
        <v>#N/A</v>
      </c>
      <c r="O153" s="3" t="e">
        <f>VLOOKUP(E153,Enviroments!$A$3:$D$59,2,FALSE)</f>
        <v>#N/A</v>
      </c>
      <c r="P153" s="3" t="e">
        <f>VLOOKUP(E153,Enviroments!$A$3:$D$59,3,FALSE)</f>
        <v>#N/A</v>
      </c>
      <c r="Q153" s="3" t="e">
        <f>VLOOKUP(E153,Enviroments!$A$3:$D$59,4,FALSE)</f>
        <v>#N/A</v>
      </c>
      <c r="R153" s="3" t="e">
        <f>VLOOKUP(H153,AzureRegions!$A$4:$B$1493,1,FALSE)</f>
        <v>#N/A</v>
      </c>
      <c r="S153" s="3" t="e">
        <f>VLOOKUP(H153,AzureRegions!$A$4:$B$1493,2,FALSE)</f>
        <v>#N/A</v>
      </c>
      <c r="T153" s="3" t="e">
        <f>VLOOKUP(H153,AzureRegions!$A$4:$C$1493,3,FALSE)</f>
        <v>#N/A</v>
      </c>
      <c r="U153" s="3" t="e">
        <f>VLOOKUP(I153,Resources!$A$2:$AA$1503,2,FALSE)</f>
        <v>#N/A</v>
      </c>
      <c r="V153" s="3" t="e">
        <f>VLOOKUP(I153,Resources!$A$2:$H$1503,6,FALSE)</f>
        <v>#N/A</v>
      </c>
      <c r="W153" s="3" t="str">
        <f>VLOOKUP($H$2,Casing!$A$4:$A$60,1,FALSE)</f>
        <v>Lower</v>
      </c>
      <c r="X153" s="14" t="str">
        <f t="shared" si="5"/>
        <v>001</v>
      </c>
      <c r="Y153" s="3" t="str">
        <f>IFERROR(VLOOKUP(F153,Func!$A$4:$G$1500,2,FALSE),"none")</f>
        <v>none</v>
      </c>
      <c r="Z153" s="3" t="e">
        <f>VLOOKUP(I153,Resources!$A$2:$AA$1503,18,FALSE)</f>
        <v>#N/A</v>
      </c>
      <c r="AA153" s="3" t="str">
        <f>IFERROR(VLOOKUP(B153,Orgs!$A$4:$G$1500,2,FALSE),"none")</f>
        <v>none</v>
      </c>
      <c r="AB153" s="3" t="str">
        <f>IFERROR(VLOOKUP(C153,UnitsDepts!$A$4:$G$1500,2,FALSE),"none")</f>
        <v>none</v>
      </c>
      <c r="AC153" s="3" t="str">
        <f>IFERROR(VLOOKUP(D153,ProjAppSvc!$A$4:$G$1500,2,FALSE),"none")</f>
        <v>none</v>
      </c>
    </row>
    <row r="154" spans="1:29" x14ac:dyDescent="0.45">
      <c r="A154" s="14" t="s">
        <v>23</v>
      </c>
      <c r="B154" s="14"/>
      <c r="C154" s="14"/>
      <c r="D154" s="14"/>
      <c r="H154" s="8"/>
      <c r="I154" s="3"/>
      <c r="J154" s="3" t="str">
        <f t="shared" si="6"/>
        <v/>
      </c>
      <c r="K154" s="3" t="str">
        <f>IF(ISNUMBER(SEARCH("-",V154)),IFERROR(IF($H$2="Lower", LOWER(ComputeResourceName(Z154,#REF!,#REF!,G154,N154,O154,P154,Q154,S154,T154,V154,A154)), UPPER(ComputeResourceName(Z154,#REF!,#REF!,G154,N154,O154,P154,Q154,S154,T154,V154,A154))),""),SUBSTITUTE(IFERROR(IF($H$2="Lower", LOWER(ComputeResourceName(#REF!,#REF!,#REF!,G154,N154,O154,P154,Q154,S154,T154,V154,A154)), UPPER(ComputeResourceName(#REF!,#REF!,#REF!,G154,N154,O154,P154,Q154,S154,T154,V154,A154))),""), "-",""))</f>
        <v/>
      </c>
      <c r="L154" s="3" t="str">
        <f xml:space="preserve"> IF(K154="","",  IFERROR(VLOOKUP(I154,Resources!$B$1:$H$1503,5,FALSE)-LEN(K154),0))</f>
        <v/>
      </c>
      <c r="M154" s="3" t="str">
        <f>IF(K154="","",IFERROR(matches(K154,VLOOKUP(I154,Resources!$A$2:$AA$1503,16,FALSE)),FALSE))</f>
        <v/>
      </c>
      <c r="N154" s="3" t="e">
        <f>VLOOKUP(E154,Enviroments!$A$3:$D$59,1,FALSE)</f>
        <v>#N/A</v>
      </c>
      <c r="O154" s="3" t="e">
        <f>VLOOKUP(E154,Enviroments!$A$3:$D$59,2,FALSE)</f>
        <v>#N/A</v>
      </c>
      <c r="P154" s="3" t="e">
        <f>VLOOKUP(E154,Enviroments!$A$3:$D$59,3,FALSE)</f>
        <v>#N/A</v>
      </c>
      <c r="Q154" s="3" t="e">
        <f>VLOOKUP(E154,Enviroments!$A$3:$D$59,4,FALSE)</f>
        <v>#N/A</v>
      </c>
      <c r="R154" s="3" t="e">
        <f>VLOOKUP(H154,AzureRegions!$A$4:$B$1493,1,FALSE)</f>
        <v>#N/A</v>
      </c>
      <c r="S154" s="3" t="e">
        <f>VLOOKUP(H154,AzureRegions!$A$4:$B$1493,2,FALSE)</f>
        <v>#N/A</v>
      </c>
      <c r="T154" s="3" t="e">
        <f>VLOOKUP(H154,AzureRegions!$A$4:$C$1493,3,FALSE)</f>
        <v>#N/A</v>
      </c>
      <c r="U154" s="3" t="e">
        <f>VLOOKUP(I154,Resources!$A$2:$AA$1503,2,FALSE)</f>
        <v>#N/A</v>
      </c>
      <c r="V154" s="3" t="e">
        <f>VLOOKUP(I154,Resources!$A$2:$H$1503,6,FALSE)</f>
        <v>#N/A</v>
      </c>
      <c r="W154" s="3" t="str">
        <f>VLOOKUP($H$2,Casing!$A$4:$A$60,1,FALSE)</f>
        <v>Lower</v>
      </c>
      <c r="X154" s="14" t="str">
        <f t="shared" si="5"/>
        <v>001</v>
      </c>
      <c r="Y154" s="3" t="str">
        <f>IFERROR(VLOOKUP(F154,Func!$A$4:$G$1500,2,FALSE),"none")</f>
        <v>none</v>
      </c>
      <c r="Z154" s="3" t="e">
        <f>VLOOKUP(I154,Resources!$A$2:$AA$1503,18,FALSE)</f>
        <v>#N/A</v>
      </c>
      <c r="AA154" s="3" t="str">
        <f>IFERROR(VLOOKUP(B154,Orgs!$A$4:$G$1500,2,FALSE),"none")</f>
        <v>none</v>
      </c>
      <c r="AB154" s="3" t="str">
        <f>IFERROR(VLOOKUP(C154,UnitsDepts!$A$4:$G$1500,2,FALSE),"none")</f>
        <v>none</v>
      </c>
      <c r="AC154" s="3" t="str">
        <f>IFERROR(VLOOKUP(D154,ProjAppSvc!$A$4:$G$1500,2,FALSE),"none")</f>
        <v>none</v>
      </c>
    </row>
    <row r="155" spans="1:29" x14ac:dyDescent="0.45">
      <c r="A155" s="14" t="s">
        <v>23</v>
      </c>
      <c r="B155" s="14"/>
      <c r="C155" s="14"/>
      <c r="D155" s="14"/>
      <c r="H155" s="8"/>
      <c r="I155" s="3"/>
      <c r="J155" s="3" t="str">
        <f t="shared" si="6"/>
        <v/>
      </c>
      <c r="K155" s="3" t="str">
        <f>IF(ISNUMBER(SEARCH("-",V155)),IFERROR(IF($H$2="Lower", LOWER(ComputeResourceName(Z155,#REF!,#REF!,G155,N155,O155,P155,Q155,S155,T155,V155,A155)), UPPER(ComputeResourceName(Z155,#REF!,#REF!,G155,N155,O155,P155,Q155,S155,T155,V155,A155))),""),SUBSTITUTE(IFERROR(IF($H$2="Lower", LOWER(ComputeResourceName(#REF!,#REF!,#REF!,G155,N155,O155,P155,Q155,S155,T155,V155,A155)), UPPER(ComputeResourceName(#REF!,#REF!,#REF!,G155,N155,O155,P155,Q155,S155,T155,V155,A155))),""), "-",""))</f>
        <v/>
      </c>
      <c r="L155" s="3" t="str">
        <f xml:space="preserve"> IF(K155="","",  IFERROR(VLOOKUP(I155,Resources!$B$1:$H$1503,5,FALSE)-LEN(K155),0))</f>
        <v/>
      </c>
      <c r="M155" s="3" t="str">
        <f>IF(K155="","",IFERROR(matches(K155,VLOOKUP(I155,Resources!$A$2:$AA$1503,16,FALSE)),FALSE))</f>
        <v/>
      </c>
      <c r="N155" s="3" t="e">
        <f>VLOOKUP(E155,Enviroments!$A$3:$D$59,1,FALSE)</f>
        <v>#N/A</v>
      </c>
      <c r="O155" s="3" t="e">
        <f>VLOOKUP(E155,Enviroments!$A$3:$D$59,2,FALSE)</f>
        <v>#N/A</v>
      </c>
      <c r="P155" s="3" t="e">
        <f>VLOOKUP(E155,Enviroments!$A$3:$D$59,3,FALSE)</f>
        <v>#N/A</v>
      </c>
      <c r="Q155" s="3" t="e">
        <f>VLOOKUP(E155,Enviroments!$A$3:$D$59,4,FALSE)</f>
        <v>#N/A</v>
      </c>
      <c r="R155" s="3" t="e">
        <f>VLOOKUP(H155,AzureRegions!$A$4:$B$1493,1,FALSE)</f>
        <v>#N/A</v>
      </c>
      <c r="S155" s="3" t="e">
        <f>VLOOKUP(H155,AzureRegions!$A$4:$B$1493,2,FALSE)</f>
        <v>#N/A</v>
      </c>
      <c r="T155" s="3" t="e">
        <f>VLOOKUP(H155,AzureRegions!$A$4:$C$1493,3,FALSE)</f>
        <v>#N/A</v>
      </c>
      <c r="U155" s="3" t="e">
        <f>VLOOKUP(I155,Resources!$A$2:$AA$1503,2,FALSE)</f>
        <v>#N/A</v>
      </c>
      <c r="V155" s="3" t="e">
        <f>VLOOKUP(I155,Resources!$A$2:$H$1503,6,FALSE)</f>
        <v>#N/A</v>
      </c>
      <c r="W155" s="3" t="str">
        <f>VLOOKUP($H$2,Casing!$A$4:$A$60,1,FALSE)</f>
        <v>Lower</v>
      </c>
      <c r="X155" s="14" t="str">
        <f t="shared" si="5"/>
        <v>001</v>
      </c>
      <c r="Y155" s="3" t="str">
        <f>IFERROR(VLOOKUP(F155,Func!$A$4:$G$1500,2,FALSE),"none")</f>
        <v>none</v>
      </c>
      <c r="Z155" s="3" t="e">
        <f>VLOOKUP(I155,Resources!$A$2:$AA$1503,18,FALSE)</f>
        <v>#N/A</v>
      </c>
      <c r="AA155" s="3" t="str">
        <f>IFERROR(VLOOKUP(B155,Orgs!$A$4:$G$1500,2,FALSE),"none")</f>
        <v>none</v>
      </c>
      <c r="AB155" s="3" t="str">
        <f>IFERROR(VLOOKUP(C155,UnitsDepts!$A$4:$G$1500,2,FALSE),"none")</f>
        <v>none</v>
      </c>
      <c r="AC155" s="3" t="str">
        <f>IFERROR(VLOOKUP(D155,ProjAppSvc!$A$4:$G$1500,2,FALSE),"none")</f>
        <v>none</v>
      </c>
    </row>
    <row r="156" spans="1:29" x14ac:dyDescent="0.45">
      <c r="A156" s="14" t="s">
        <v>23</v>
      </c>
      <c r="B156" s="14"/>
      <c r="C156" s="14"/>
      <c r="D156" s="14"/>
      <c r="H156" s="8"/>
      <c r="I156" s="3"/>
      <c r="J156" s="3" t="str">
        <f t="shared" si="6"/>
        <v/>
      </c>
      <c r="K156" s="3" t="str">
        <f>IF(ISNUMBER(SEARCH("-",V156)),IFERROR(IF($H$2="Lower", LOWER(ComputeResourceName(Z156,#REF!,#REF!,G156,N156,O156,P156,Q156,S156,T156,V156,A156)), UPPER(ComputeResourceName(Z156,#REF!,#REF!,G156,N156,O156,P156,Q156,S156,T156,V156,A156))),""),SUBSTITUTE(IFERROR(IF($H$2="Lower", LOWER(ComputeResourceName(#REF!,#REF!,#REF!,G156,N156,O156,P156,Q156,S156,T156,V156,A156)), UPPER(ComputeResourceName(#REF!,#REF!,#REF!,G156,N156,O156,P156,Q156,S156,T156,V156,A156))),""), "-",""))</f>
        <v/>
      </c>
      <c r="L156" s="3" t="str">
        <f xml:space="preserve"> IF(K156="","",  IFERROR(VLOOKUP(I156,Resources!$B$1:$H$1503,5,FALSE)-LEN(K156),0))</f>
        <v/>
      </c>
      <c r="M156" s="3" t="str">
        <f>IF(K156="","",IFERROR(matches(K156,VLOOKUP(I156,Resources!$A$2:$AA$1503,16,FALSE)),FALSE))</f>
        <v/>
      </c>
      <c r="N156" s="3" t="e">
        <f>VLOOKUP(E156,Enviroments!$A$3:$D$59,1,FALSE)</f>
        <v>#N/A</v>
      </c>
      <c r="O156" s="3" t="e">
        <f>VLOOKUP(E156,Enviroments!$A$3:$D$59,2,FALSE)</f>
        <v>#N/A</v>
      </c>
      <c r="P156" s="3" t="e">
        <f>VLOOKUP(E156,Enviroments!$A$3:$D$59,3,FALSE)</f>
        <v>#N/A</v>
      </c>
      <c r="Q156" s="3" t="e">
        <f>VLOOKUP(E156,Enviroments!$A$3:$D$59,4,FALSE)</f>
        <v>#N/A</v>
      </c>
      <c r="R156" s="3" t="e">
        <f>VLOOKUP(H156,AzureRegions!$A$4:$B$1493,1,FALSE)</f>
        <v>#N/A</v>
      </c>
      <c r="S156" s="3" t="e">
        <f>VLOOKUP(H156,AzureRegions!$A$4:$B$1493,2,FALSE)</f>
        <v>#N/A</v>
      </c>
      <c r="T156" s="3" t="e">
        <f>VLOOKUP(H156,AzureRegions!$A$4:$C$1493,3,FALSE)</f>
        <v>#N/A</v>
      </c>
      <c r="U156" s="3" t="e">
        <f>VLOOKUP(I156,Resources!$A$2:$AA$1503,2,FALSE)</f>
        <v>#N/A</v>
      </c>
      <c r="V156" s="3" t="e">
        <f>VLOOKUP(I156,Resources!$A$2:$H$1503,6,FALSE)</f>
        <v>#N/A</v>
      </c>
      <c r="W156" s="3" t="str">
        <f>VLOOKUP($H$2,Casing!$A$4:$A$60,1,FALSE)</f>
        <v>Lower</v>
      </c>
      <c r="X156" s="14" t="str">
        <f t="shared" si="5"/>
        <v>001</v>
      </c>
      <c r="Y156" s="3" t="str">
        <f>IFERROR(VLOOKUP(F156,Func!$A$4:$G$1500,2,FALSE),"none")</f>
        <v>none</v>
      </c>
      <c r="Z156" s="3" t="e">
        <f>VLOOKUP(I156,Resources!$A$2:$AA$1503,18,FALSE)</f>
        <v>#N/A</v>
      </c>
      <c r="AA156" s="3" t="str">
        <f>IFERROR(VLOOKUP(B156,Orgs!$A$4:$G$1500,2,FALSE),"none")</f>
        <v>none</v>
      </c>
      <c r="AB156" s="3" t="str">
        <f>IFERROR(VLOOKUP(C156,UnitsDepts!$A$4:$G$1500,2,FALSE),"none")</f>
        <v>none</v>
      </c>
      <c r="AC156" s="3" t="str">
        <f>IFERROR(VLOOKUP(D156,ProjAppSvc!$A$4:$G$1500,2,FALSE),"none")</f>
        <v>none</v>
      </c>
    </row>
    <row r="157" spans="1:29" x14ac:dyDescent="0.45">
      <c r="A157" s="14" t="s">
        <v>23</v>
      </c>
      <c r="B157" s="14"/>
      <c r="C157" s="14"/>
      <c r="D157" s="14"/>
      <c r="H157" s="8"/>
      <c r="I157" s="3"/>
      <c r="J157" s="3" t="str">
        <f t="shared" si="6"/>
        <v/>
      </c>
      <c r="K157" s="3" t="str">
        <f>IF(ISNUMBER(SEARCH("-",V157)),IFERROR(IF($H$2="Lower", LOWER(ComputeResourceName(Z157,#REF!,#REF!,G157,N157,O157,P157,Q157,S157,T157,V157,A157)), UPPER(ComputeResourceName(Z157,#REF!,#REF!,G157,N157,O157,P157,Q157,S157,T157,V157,A157))),""),SUBSTITUTE(IFERROR(IF($H$2="Lower", LOWER(ComputeResourceName(#REF!,#REF!,#REF!,G157,N157,O157,P157,Q157,S157,T157,V157,A157)), UPPER(ComputeResourceName(#REF!,#REF!,#REF!,G157,N157,O157,P157,Q157,S157,T157,V157,A157))),""), "-",""))</f>
        <v/>
      </c>
      <c r="L157" s="3" t="str">
        <f xml:space="preserve"> IF(K157="","",  IFERROR(VLOOKUP(I157,Resources!$B$1:$H$1503,5,FALSE)-LEN(K157),0))</f>
        <v/>
      </c>
      <c r="M157" s="3" t="str">
        <f>IF(K157="","",IFERROR(matches(K157,VLOOKUP(I157,Resources!$A$2:$AA$1503,16,FALSE)),FALSE))</f>
        <v/>
      </c>
      <c r="N157" s="3" t="e">
        <f>VLOOKUP(E157,Enviroments!$A$3:$D$59,1,FALSE)</f>
        <v>#N/A</v>
      </c>
      <c r="O157" s="3" t="e">
        <f>VLOOKUP(E157,Enviroments!$A$3:$D$59,2,FALSE)</f>
        <v>#N/A</v>
      </c>
      <c r="P157" s="3" t="e">
        <f>VLOOKUP(E157,Enviroments!$A$3:$D$59,3,FALSE)</f>
        <v>#N/A</v>
      </c>
      <c r="Q157" s="3" t="e">
        <f>VLOOKUP(E157,Enviroments!$A$3:$D$59,4,FALSE)</f>
        <v>#N/A</v>
      </c>
      <c r="R157" s="3" t="e">
        <f>VLOOKUP(H157,AzureRegions!$A$4:$B$1493,1,FALSE)</f>
        <v>#N/A</v>
      </c>
      <c r="S157" s="3" t="e">
        <f>VLOOKUP(H157,AzureRegions!$A$4:$B$1493,2,FALSE)</f>
        <v>#N/A</v>
      </c>
      <c r="T157" s="3" t="e">
        <f>VLOOKUP(H157,AzureRegions!$A$4:$C$1493,3,FALSE)</f>
        <v>#N/A</v>
      </c>
      <c r="U157" s="3" t="e">
        <f>VLOOKUP(I157,Resources!$A$2:$AA$1503,2,FALSE)</f>
        <v>#N/A</v>
      </c>
      <c r="V157" s="3" t="e">
        <f>VLOOKUP(I157,Resources!$A$2:$H$1503,6,FALSE)</f>
        <v>#N/A</v>
      </c>
      <c r="W157" s="3" t="str">
        <f>VLOOKUP($H$2,Casing!$A$4:$A$60,1,FALSE)</f>
        <v>Lower</v>
      </c>
      <c r="X157" s="14" t="str">
        <f t="shared" si="5"/>
        <v>001</v>
      </c>
      <c r="Y157" s="3" t="str">
        <f>IFERROR(VLOOKUP(F157,Func!$A$4:$G$1500,2,FALSE),"none")</f>
        <v>none</v>
      </c>
      <c r="Z157" s="3" t="e">
        <f>VLOOKUP(I157,Resources!$A$2:$AA$1503,18,FALSE)</f>
        <v>#N/A</v>
      </c>
      <c r="AA157" s="3" t="str">
        <f>IFERROR(VLOOKUP(B157,Orgs!$A$4:$G$1500,2,FALSE),"none")</f>
        <v>none</v>
      </c>
      <c r="AB157" s="3" t="str">
        <f>IFERROR(VLOOKUP(C157,UnitsDepts!$A$4:$G$1500,2,FALSE),"none")</f>
        <v>none</v>
      </c>
      <c r="AC157" s="3" t="str">
        <f>IFERROR(VLOOKUP(D157,ProjAppSvc!$A$4:$G$1500,2,FALSE),"none")</f>
        <v>none</v>
      </c>
    </row>
    <row r="158" spans="1:29" x14ac:dyDescent="0.45">
      <c r="A158" s="14" t="s">
        <v>23</v>
      </c>
      <c r="B158" s="14"/>
      <c r="C158" s="14"/>
      <c r="D158" s="14"/>
      <c r="H158" s="8"/>
      <c r="I158" s="3"/>
      <c r="J158" s="3" t="str">
        <f t="shared" si="6"/>
        <v/>
      </c>
      <c r="K158" s="3" t="str">
        <f>IF(ISNUMBER(SEARCH("-",V158)),IFERROR(IF($H$2="Lower", LOWER(ComputeResourceName(Z158,#REF!,#REF!,G158,N158,O158,P158,Q158,S158,T158,V158,A158)), UPPER(ComputeResourceName(Z158,#REF!,#REF!,G158,N158,O158,P158,Q158,S158,T158,V158,A158))),""),SUBSTITUTE(IFERROR(IF($H$2="Lower", LOWER(ComputeResourceName(#REF!,#REF!,#REF!,G158,N158,O158,P158,Q158,S158,T158,V158,A158)), UPPER(ComputeResourceName(#REF!,#REF!,#REF!,G158,N158,O158,P158,Q158,S158,T158,V158,A158))),""), "-",""))</f>
        <v/>
      </c>
      <c r="L158" s="3" t="str">
        <f xml:space="preserve"> IF(K158="","",  IFERROR(VLOOKUP(I158,Resources!$B$1:$H$1503,5,FALSE)-LEN(K158),0))</f>
        <v/>
      </c>
      <c r="M158" s="3" t="str">
        <f>IF(K158="","",IFERROR(matches(K158,VLOOKUP(I158,Resources!$A$2:$AA$1503,16,FALSE)),FALSE))</f>
        <v/>
      </c>
      <c r="N158" s="3" t="e">
        <f>VLOOKUP(E158,Enviroments!$A$3:$D$59,1,FALSE)</f>
        <v>#N/A</v>
      </c>
      <c r="O158" s="3" t="e">
        <f>VLOOKUP(E158,Enviroments!$A$3:$D$59,2,FALSE)</f>
        <v>#N/A</v>
      </c>
      <c r="P158" s="3" t="e">
        <f>VLOOKUP(E158,Enviroments!$A$3:$D$59,3,FALSE)</f>
        <v>#N/A</v>
      </c>
      <c r="Q158" s="3" t="e">
        <f>VLOOKUP(E158,Enviroments!$A$3:$D$59,4,FALSE)</f>
        <v>#N/A</v>
      </c>
      <c r="R158" s="3" t="e">
        <f>VLOOKUP(H158,AzureRegions!$A$4:$B$1493,1,FALSE)</f>
        <v>#N/A</v>
      </c>
      <c r="S158" s="3" t="e">
        <f>VLOOKUP(H158,AzureRegions!$A$4:$B$1493,2,FALSE)</f>
        <v>#N/A</v>
      </c>
      <c r="T158" s="3" t="e">
        <f>VLOOKUP(H158,AzureRegions!$A$4:$C$1493,3,FALSE)</f>
        <v>#N/A</v>
      </c>
      <c r="U158" s="3" t="e">
        <f>VLOOKUP(I158,Resources!$A$2:$AA$1503,2,FALSE)</f>
        <v>#N/A</v>
      </c>
      <c r="V158" s="3" t="e">
        <f>VLOOKUP(I158,Resources!$A$2:$H$1503,6,FALSE)</f>
        <v>#N/A</v>
      </c>
      <c r="W158" s="3" t="str">
        <f>VLOOKUP($H$2,Casing!$A$4:$A$60,1,FALSE)</f>
        <v>Lower</v>
      </c>
      <c r="X158" s="14" t="str">
        <f t="shared" si="5"/>
        <v>001</v>
      </c>
      <c r="Y158" s="3" t="str">
        <f>IFERROR(VLOOKUP(F158,Func!$A$4:$G$1500,2,FALSE),"none")</f>
        <v>none</v>
      </c>
      <c r="Z158" s="3" t="e">
        <f>VLOOKUP(I158,Resources!$A$2:$AA$1503,18,FALSE)</f>
        <v>#N/A</v>
      </c>
      <c r="AA158" s="3" t="str">
        <f>IFERROR(VLOOKUP(B158,Orgs!$A$4:$G$1500,2,FALSE),"none")</f>
        <v>none</v>
      </c>
      <c r="AB158" s="3" t="str">
        <f>IFERROR(VLOOKUP(C158,UnitsDepts!$A$4:$G$1500,2,FALSE),"none")</f>
        <v>none</v>
      </c>
      <c r="AC158" s="3" t="str">
        <f>IFERROR(VLOOKUP(D158,ProjAppSvc!$A$4:$G$1500,2,FALSE),"none")</f>
        <v>none</v>
      </c>
    </row>
    <row r="159" spans="1:29" x14ac:dyDescent="0.45">
      <c r="A159" s="14" t="s">
        <v>23</v>
      </c>
      <c r="B159" s="14"/>
      <c r="C159" s="14"/>
      <c r="D159" s="14"/>
      <c r="H159" s="8"/>
      <c r="I159" s="3"/>
      <c r="J159" s="3" t="str">
        <f t="shared" si="6"/>
        <v/>
      </c>
      <c r="K159" s="3" t="str">
        <f>IF(ISNUMBER(SEARCH("-",V159)),IFERROR(IF($H$2="Lower", LOWER(ComputeResourceName(Z159,#REF!,#REF!,G159,N159,O159,P159,Q159,S159,T159,V159,A159)), UPPER(ComputeResourceName(Z159,#REF!,#REF!,G159,N159,O159,P159,Q159,S159,T159,V159,A159))),""),SUBSTITUTE(IFERROR(IF($H$2="Lower", LOWER(ComputeResourceName(#REF!,#REF!,#REF!,G159,N159,O159,P159,Q159,S159,T159,V159,A159)), UPPER(ComputeResourceName(#REF!,#REF!,#REF!,G159,N159,O159,P159,Q159,S159,T159,V159,A159))),""), "-",""))</f>
        <v/>
      </c>
      <c r="L159" s="3" t="str">
        <f xml:space="preserve"> IF(K159="","",  IFERROR(VLOOKUP(I159,Resources!$B$1:$H$1503,5,FALSE)-LEN(K159),0))</f>
        <v/>
      </c>
      <c r="M159" s="3" t="str">
        <f>IF(K159="","",IFERROR(matches(K159,VLOOKUP(I159,Resources!$A$2:$AA$1503,16,FALSE)),FALSE))</f>
        <v/>
      </c>
      <c r="N159" s="3" t="e">
        <f>VLOOKUP(E159,Enviroments!$A$3:$D$59,1,FALSE)</f>
        <v>#N/A</v>
      </c>
      <c r="O159" s="3" t="e">
        <f>VLOOKUP(E159,Enviroments!$A$3:$D$59,2,FALSE)</f>
        <v>#N/A</v>
      </c>
      <c r="P159" s="3" t="e">
        <f>VLOOKUP(E159,Enviroments!$A$3:$D$59,3,FALSE)</f>
        <v>#N/A</v>
      </c>
      <c r="Q159" s="3" t="e">
        <f>VLOOKUP(E159,Enviroments!$A$3:$D$59,4,FALSE)</f>
        <v>#N/A</v>
      </c>
      <c r="R159" s="3" t="e">
        <f>VLOOKUP(H159,AzureRegions!$A$4:$B$1493,1,FALSE)</f>
        <v>#N/A</v>
      </c>
      <c r="S159" s="3" t="e">
        <f>VLOOKUP(H159,AzureRegions!$A$4:$B$1493,2,FALSE)</f>
        <v>#N/A</v>
      </c>
      <c r="T159" s="3" t="e">
        <f>VLOOKUP(H159,AzureRegions!$A$4:$C$1493,3,FALSE)</f>
        <v>#N/A</v>
      </c>
      <c r="U159" s="3" t="e">
        <f>VLOOKUP(I159,Resources!$A$2:$AA$1503,2,FALSE)</f>
        <v>#N/A</v>
      </c>
      <c r="V159" s="3" t="e">
        <f>VLOOKUP(I159,Resources!$A$2:$H$1503,6,FALSE)</f>
        <v>#N/A</v>
      </c>
      <c r="W159" s="3" t="str">
        <f>VLOOKUP($H$2,Casing!$A$4:$A$60,1,FALSE)</f>
        <v>Lower</v>
      </c>
      <c r="X159" s="14" t="str">
        <f t="shared" si="5"/>
        <v>001</v>
      </c>
      <c r="Y159" s="3" t="str">
        <f>IFERROR(VLOOKUP(F159,Func!$A$4:$G$1500,2,FALSE),"none")</f>
        <v>none</v>
      </c>
      <c r="Z159" s="3" t="e">
        <f>VLOOKUP(I159,Resources!$A$2:$AA$1503,18,FALSE)</f>
        <v>#N/A</v>
      </c>
      <c r="AA159" s="3" t="str">
        <f>IFERROR(VLOOKUP(B159,Orgs!$A$4:$G$1500,2,FALSE),"none")</f>
        <v>none</v>
      </c>
      <c r="AB159" s="3" t="str">
        <f>IFERROR(VLOOKUP(C159,UnitsDepts!$A$4:$G$1500,2,FALSE),"none")</f>
        <v>none</v>
      </c>
      <c r="AC159" s="3" t="str">
        <f>IFERROR(VLOOKUP(D159,ProjAppSvc!$A$4:$G$1500,2,FALSE),"none")</f>
        <v>none</v>
      </c>
    </row>
    <row r="160" spans="1:29" x14ac:dyDescent="0.45">
      <c r="A160" s="14" t="s">
        <v>23</v>
      </c>
      <c r="B160" s="14"/>
      <c r="C160" s="14"/>
      <c r="D160" s="14"/>
      <c r="H160" s="8"/>
      <c r="I160" s="3"/>
      <c r="J160" s="3" t="str">
        <f t="shared" si="6"/>
        <v/>
      </c>
      <c r="K160" s="3" t="str">
        <f>IF(ISNUMBER(SEARCH("-",V160)),IFERROR(IF($H$2="Lower", LOWER(ComputeResourceName(Z160,#REF!,#REF!,G160,N160,O160,P160,Q160,S160,T160,V160,A160)), UPPER(ComputeResourceName(Z160,#REF!,#REF!,G160,N160,O160,P160,Q160,S160,T160,V160,A160))),""),SUBSTITUTE(IFERROR(IF($H$2="Lower", LOWER(ComputeResourceName(#REF!,#REF!,#REF!,G160,N160,O160,P160,Q160,S160,T160,V160,A160)), UPPER(ComputeResourceName(#REF!,#REF!,#REF!,G160,N160,O160,P160,Q160,S160,T160,V160,A160))),""), "-",""))</f>
        <v/>
      </c>
      <c r="L160" s="3" t="str">
        <f xml:space="preserve"> IF(K160="","",  IFERROR(VLOOKUP(I160,Resources!$B$1:$H$1503,5,FALSE)-LEN(K160),0))</f>
        <v/>
      </c>
      <c r="M160" s="3" t="str">
        <f>IF(K160="","",IFERROR(matches(K160,VLOOKUP(I160,Resources!$A$2:$AA$1503,16,FALSE)),FALSE))</f>
        <v/>
      </c>
      <c r="N160" s="3" t="e">
        <f>VLOOKUP(E160,Enviroments!$A$3:$D$59,1,FALSE)</f>
        <v>#N/A</v>
      </c>
      <c r="O160" s="3" t="e">
        <f>VLOOKUP(E160,Enviroments!$A$3:$D$59,2,FALSE)</f>
        <v>#N/A</v>
      </c>
      <c r="P160" s="3" t="e">
        <f>VLOOKUP(E160,Enviroments!$A$3:$D$59,3,FALSE)</f>
        <v>#N/A</v>
      </c>
      <c r="Q160" s="3" t="e">
        <f>VLOOKUP(E160,Enviroments!$A$3:$D$59,4,FALSE)</f>
        <v>#N/A</v>
      </c>
      <c r="R160" s="3" t="e">
        <f>VLOOKUP(H160,AzureRegions!$A$4:$B$1493,1,FALSE)</f>
        <v>#N/A</v>
      </c>
      <c r="S160" s="3" t="e">
        <f>VLOOKUP(H160,AzureRegions!$A$4:$B$1493,2,FALSE)</f>
        <v>#N/A</v>
      </c>
      <c r="T160" s="3" t="e">
        <f>VLOOKUP(H160,AzureRegions!$A$4:$C$1493,3,FALSE)</f>
        <v>#N/A</v>
      </c>
      <c r="U160" s="3" t="e">
        <f>VLOOKUP(I160,Resources!$A$2:$AA$1503,2,FALSE)</f>
        <v>#N/A</v>
      </c>
      <c r="V160" s="3" t="e">
        <f>VLOOKUP(I160,Resources!$A$2:$H$1503,6,FALSE)</f>
        <v>#N/A</v>
      </c>
      <c r="W160" s="3" t="str">
        <f>VLOOKUP($H$2,Casing!$A$4:$A$60,1,FALSE)</f>
        <v>Lower</v>
      </c>
      <c r="X160" s="14" t="str">
        <f t="shared" si="5"/>
        <v>001</v>
      </c>
      <c r="Y160" s="3" t="str">
        <f>IFERROR(VLOOKUP(F160,Func!$A$4:$G$1500,2,FALSE),"none")</f>
        <v>none</v>
      </c>
      <c r="Z160" s="3" t="e">
        <f>VLOOKUP(I160,Resources!$A$2:$AA$1503,18,FALSE)</f>
        <v>#N/A</v>
      </c>
      <c r="AA160" s="3" t="str">
        <f>IFERROR(VLOOKUP(B160,Orgs!$A$4:$G$1500,2,FALSE),"none")</f>
        <v>none</v>
      </c>
      <c r="AB160" s="3" t="str">
        <f>IFERROR(VLOOKUP(C160,UnitsDepts!$A$4:$G$1500,2,FALSE),"none")</f>
        <v>none</v>
      </c>
      <c r="AC160" s="3" t="str">
        <f>IFERROR(VLOOKUP(D160,ProjAppSvc!$A$4:$G$1500,2,FALSE),"none")</f>
        <v>none</v>
      </c>
    </row>
    <row r="161" spans="1:29" x14ac:dyDescent="0.45">
      <c r="A161" s="14" t="s">
        <v>23</v>
      </c>
      <c r="B161" s="14"/>
      <c r="C161" s="14"/>
      <c r="D161" s="14"/>
      <c r="H161" s="8"/>
      <c r="I161" s="3"/>
      <c r="J161" s="3" t="str">
        <f t="shared" si="6"/>
        <v/>
      </c>
      <c r="K161" s="3" t="str">
        <f>IF(ISNUMBER(SEARCH("-",V161)),IFERROR(IF($H$2="Lower", LOWER(ComputeResourceName(Z161,#REF!,#REF!,G161,N161,O161,P161,Q161,S161,T161,V161,A161)), UPPER(ComputeResourceName(Z161,#REF!,#REF!,G161,N161,O161,P161,Q161,S161,T161,V161,A161))),""),SUBSTITUTE(IFERROR(IF($H$2="Lower", LOWER(ComputeResourceName(#REF!,#REF!,#REF!,G161,N161,O161,P161,Q161,S161,T161,V161,A161)), UPPER(ComputeResourceName(#REF!,#REF!,#REF!,G161,N161,O161,P161,Q161,S161,T161,V161,A161))),""), "-",""))</f>
        <v/>
      </c>
      <c r="L161" s="3" t="str">
        <f xml:space="preserve"> IF(K161="","",  IFERROR(VLOOKUP(I161,Resources!$B$1:$H$1503,5,FALSE)-LEN(K161),0))</f>
        <v/>
      </c>
      <c r="M161" s="3" t="str">
        <f>IF(K161="","",IFERROR(matches(K161,VLOOKUP(I161,Resources!$A$2:$AA$1503,16,FALSE)),FALSE))</f>
        <v/>
      </c>
      <c r="N161" s="3" t="e">
        <f>VLOOKUP(E161,Enviroments!$A$3:$D$59,1,FALSE)</f>
        <v>#N/A</v>
      </c>
      <c r="O161" s="3" t="e">
        <f>VLOOKUP(E161,Enviroments!$A$3:$D$59,2,FALSE)</f>
        <v>#N/A</v>
      </c>
      <c r="P161" s="3" t="e">
        <f>VLOOKUP(E161,Enviroments!$A$3:$D$59,3,FALSE)</f>
        <v>#N/A</v>
      </c>
      <c r="Q161" s="3" t="e">
        <f>VLOOKUP(E161,Enviroments!$A$3:$D$59,4,FALSE)</f>
        <v>#N/A</v>
      </c>
      <c r="R161" s="3" t="e">
        <f>VLOOKUP(H161,AzureRegions!$A$4:$B$1493,1,FALSE)</f>
        <v>#N/A</v>
      </c>
      <c r="S161" s="3" t="e">
        <f>VLOOKUP(H161,AzureRegions!$A$4:$B$1493,2,FALSE)</f>
        <v>#N/A</v>
      </c>
      <c r="T161" s="3" t="e">
        <f>VLOOKUP(H161,AzureRegions!$A$4:$C$1493,3,FALSE)</f>
        <v>#N/A</v>
      </c>
      <c r="U161" s="3" t="e">
        <f>VLOOKUP(I161,Resources!$A$2:$AA$1503,2,FALSE)</f>
        <v>#N/A</v>
      </c>
      <c r="V161" s="3" t="e">
        <f>VLOOKUP(I161,Resources!$A$2:$H$1503,6,FALSE)</f>
        <v>#N/A</v>
      </c>
      <c r="W161" s="3" t="str">
        <f>VLOOKUP($H$2,Casing!$A$4:$A$60,1,FALSE)</f>
        <v>Lower</v>
      </c>
      <c r="X161" s="14" t="str">
        <f t="shared" si="5"/>
        <v>001</v>
      </c>
      <c r="Y161" s="3" t="str">
        <f>IFERROR(VLOOKUP(F161,Func!$A$4:$G$1500,2,FALSE),"none")</f>
        <v>none</v>
      </c>
      <c r="Z161" s="3" t="e">
        <f>VLOOKUP(I161,Resources!$A$2:$AA$1503,18,FALSE)</f>
        <v>#N/A</v>
      </c>
      <c r="AA161" s="3" t="str">
        <f>IFERROR(VLOOKUP(B161,Orgs!$A$4:$G$1500,2,FALSE),"none")</f>
        <v>none</v>
      </c>
      <c r="AB161" s="3" t="str">
        <f>IFERROR(VLOOKUP(C161,UnitsDepts!$A$4:$G$1500,2,FALSE),"none")</f>
        <v>none</v>
      </c>
      <c r="AC161" s="3" t="str">
        <f>IFERROR(VLOOKUP(D161,ProjAppSvc!$A$4:$G$1500,2,FALSE),"none")</f>
        <v>none</v>
      </c>
    </row>
    <row r="162" spans="1:29" x14ac:dyDescent="0.45">
      <c r="A162" s="14" t="s">
        <v>23</v>
      </c>
      <c r="B162" s="14"/>
      <c r="C162" s="14"/>
      <c r="D162" s="14"/>
      <c r="H162" s="8"/>
      <c r="I162" s="3"/>
      <c r="J162" s="3" t="str">
        <f t="shared" si="6"/>
        <v/>
      </c>
      <c r="K162" s="3" t="str">
        <f>IF(ISNUMBER(SEARCH("-",V162)),IFERROR(IF($H$2="Lower", LOWER(ComputeResourceName(Z162,#REF!,#REF!,G162,N162,O162,P162,Q162,S162,T162,V162,A162)), UPPER(ComputeResourceName(Z162,#REF!,#REF!,G162,N162,O162,P162,Q162,S162,T162,V162,A162))),""),SUBSTITUTE(IFERROR(IF($H$2="Lower", LOWER(ComputeResourceName(#REF!,#REF!,#REF!,G162,N162,O162,P162,Q162,S162,T162,V162,A162)), UPPER(ComputeResourceName(#REF!,#REF!,#REF!,G162,N162,O162,P162,Q162,S162,T162,V162,A162))),""), "-",""))</f>
        <v/>
      </c>
      <c r="L162" s="3" t="str">
        <f xml:space="preserve"> IF(K162="","",  IFERROR(VLOOKUP(I162,Resources!$B$1:$H$1503,5,FALSE)-LEN(K162),0))</f>
        <v/>
      </c>
      <c r="M162" s="3" t="str">
        <f>IF(K162="","",IFERROR(matches(K162,VLOOKUP(I162,Resources!$A$2:$AA$1503,16,FALSE)),FALSE))</f>
        <v/>
      </c>
      <c r="N162" s="3" t="e">
        <f>VLOOKUP(E162,Enviroments!$A$3:$D$59,1,FALSE)</f>
        <v>#N/A</v>
      </c>
      <c r="O162" s="3" t="e">
        <f>VLOOKUP(E162,Enviroments!$A$3:$D$59,2,FALSE)</f>
        <v>#N/A</v>
      </c>
      <c r="P162" s="3" t="e">
        <f>VLOOKUP(E162,Enviroments!$A$3:$D$59,3,FALSE)</f>
        <v>#N/A</v>
      </c>
      <c r="Q162" s="3" t="e">
        <f>VLOOKUP(E162,Enviroments!$A$3:$D$59,4,FALSE)</f>
        <v>#N/A</v>
      </c>
      <c r="R162" s="3" t="e">
        <f>VLOOKUP(H162,AzureRegions!$A$4:$B$1493,1,FALSE)</f>
        <v>#N/A</v>
      </c>
      <c r="S162" s="3" t="e">
        <f>VLOOKUP(H162,AzureRegions!$A$4:$B$1493,2,FALSE)</f>
        <v>#N/A</v>
      </c>
      <c r="T162" s="3" t="e">
        <f>VLOOKUP(H162,AzureRegions!$A$4:$C$1493,3,FALSE)</f>
        <v>#N/A</v>
      </c>
      <c r="U162" s="3" t="e">
        <f>VLOOKUP(I162,Resources!$A$2:$AA$1503,2,FALSE)</f>
        <v>#N/A</v>
      </c>
      <c r="V162" s="3" t="e">
        <f>VLOOKUP(I162,Resources!$A$2:$H$1503,6,FALSE)</f>
        <v>#N/A</v>
      </c>
      <c r="W162" s="3" t="str">
        <f>VLOOKUP($H$2,Casing!$A$4:$A$60,1,FALSE)</f>
        <v>Lower</v>
      </c>
      <c r="X162" s="14" t="str">
        <f t="shared" si="5"/>
        <v>001</v>
      </c>
      <c r="Y162" s="3" t="str">
        <f>IFERROR(VLOOKUP(F162,Func!$A$4:$G$1500,2,FALSE),"none")</f>
        <v>none</v>
      </c>
      <c r="Z162" s="3" t="e">
        <f>VLOOKUP(I162,Resources!$A$2:$AA$1503,18,FALSE)</f>
        <v>#N/A</v>
      </c>
      <c r="AA162" s="3" t="str">
        <f>IFERROR(VLOOKUP(B162,Orgs!$A$4:$G$1500,2,FALSE),"none")</f>
        <v>none</v>
      </c>
      <c r="AB162" s="3" t="str">
        <f>IFERROR(VLOOKUP(C162,UnitsDepts!$A$4:$G$1500,2,FALSE),"none")</f>
        <v>none</v>
      </c>
      <c r="AC162" s="3" t="str">
        <f>IFERROR(VLOOKUP(D162,ProjAppSvc!$A$4:$G$1500,2,FALSE),"none")</f>
        <v>none</v>
      </c>
    </row>
    <row r="163" spans="1:29" x14ac:dyDescent="0.45">
      <c r="A163" s="14" t="s">
        <v>23</v>
      </c>
      <c r="B163" s="14"/>
      <c r="C163" s="14"/>
      <c r="D163" s="14"/>
      <c r="H163" s="8"/>
      <c r="I163" s="3"/>
      <c r="J163" s="3" t="str">
        <f t="shared" si="6"/>
        <v/>
      </c>
      <c r="K163" s="3" t="str">
        <f>IF(ISNUMBER(SEARCH("-",V163)),IFERROR(IF($H$2="Lower", LOWER(ComputeResourceName(Z163,#REF!,#REF!,G163,N163,O163,P163,Q163,S163,T163,V163,A163)), UPPER(ComputeResourceName(Z163,#REF!,#REF!,G163,N163,O163,P163,Q163,S163,T163,V163,A163))),""),SUBSTITUTE(IFERROR(IF($H$2="Lower", LOWER(ComputeResourceName(#REF!,#REF!,#REF!,G163,N163,O163,P163,Q163,S163,T163,V163,A163)), UPPER(ComputeResourceName(#REF!,#REF!,#REF!,G163,N163,O163,P163,Q163,S163,T163,V163,A163))),""), "-",""))</f>
        <v/>
      </c>
      <c r="L163" s="3" t="str">
        <f xml:space="preserve"> IF(K163="","",  IFERROR(VLOOKUP(I163,Resources!$B$1:$H$1503,5,FALSE)-LEN(K163),0))</f>
        <v/>
      </c>
      <c r="M163" s="3" t="str">
        <f>IF(K163="","",IFERROR(matches(K163,VLOOKUP(I163,Resources!$A$2:$AA$1503,16,FALSE)),FALSE))</f>
        <v/>
      </c>
      <c r="N163" s="3" t="e">
        <f>VLOOKUP(E163,Enviroments!$A$3:$D$59,1,FALSE)</f>
        <v>#N/A</v>
      </c>
      <c r="O163" s="3" t="e">
        <f>VLOOKUP(E163,Enviroments!$A$3:$D$59,2,FALSE)</f>
        <v>#N/A</v>
      </c>
      <c r="P163" s="3" t="e">
        <f>VLOOKUP(E163,Enviroments!$A$3:$D$59,3,FALSE)</f>
        <v>#N/A</v>
      </c>
      <c r="Q163" s="3" t="e">
        <f>VLOOKUP(E163,Enviroments!$A$3:$D$59,4,FALSE)</f>
        <v>#N/A</v>
      </c>
      <c r="R163" s="3" t="e">
        <f>VLOOKUP(H163,AzureRegions!$A$4:$B$1493,1,FALSE)</f>
        <v>#N/A</v>
      </c>
      <c r="S163" s="3" t="e">
        <f>VLOOKUP(H163,AzureRegions!$A$4:$B$1493,2,FALSE)</f>
        <v>#N/A</v>
      </c>
      <c r="T163" s="3" t="e">
        <f>VLOOKUP(H163,AzureRegions!$A$4:$C$1493,3,FALSE)</f>
        <v>#N/A</v>
      </c>
      <c r="U163" s="3" t="e">
        <f>VLOOKUP(I163,Resources!$A$2:$AA$1503,2,FALSE)</f>
        <v>#N/A</v>
      </c>
      <c r="V163" s="3" t="e">
        <f>VLOOKUP(I163,Resources!$A$2:$H$1503,6,FALSE)</f>
        <v>#N/A</v>
      </c>
      <c r="W163" s="3" t="str">
        <f>VLOOKUP($H$2,Casing!$A$4:$A$60,1,FALSE)</f>
        <v>Lower</v>
      </c>
      <c r="X163" s="14" t="str">
        <f t="shared" si="5"/>
        <v>001</v>
      </c>
      <c r="Y163" s="3" t="str">
        <f>IFERROR(VLOOKUP(F163,Func!$A$4:$G$1500,2,FALSE),"none")</f>
        <v>none</v>
      </c>
      <c r="Z163" s="3" t="e">
        <f>VLOOKUP(I163,Resources!$A$2:$AA$1503,18,FALSE)</f>
        <v>#N/A</v>
      </c>
      <c r="AA163" s="3" t="str">
        <f>IFERROR(VLOOKUP(B163,Orgs!$A$4:$G$1500,2,FALSE),"none")</f>
        <v>none</v>
      </c>
      <c r="AB163" s="3" t="str">
        <f>IFERROR(VLOOKUP(C163,UnitsDepts!$A$4:$G$1500,2,FALSE),"none")</f>
        <v>none</v>
      </c>
      <c r="AC163" s="3" t="str">
        <f>IFERROR(VLOOKUP(D163,ProjAppSvc!$A$4:$G$1500,2,FALSE),"none")</f>
        <v>none</v>
      </c>
    </row>
    <row r="164" spans="1:29" x14ac:dyDescent="0.45">
      <c r="A164" s="14" t="s">
        <v>23</v>
      </c>
      <c r="B164" s="14"/>
      <c r="C164" s="14"/>
      <c r="D164" s="14"/>
      <c r="H164" s="8"/>
      <c r="I164" s="3"/>
      <c r="J164" s="3" t="str">
        <f t="shared" si="6"/>
        <v/>
      </c>
      <c r="K164" s="3" t="str">
        <f>IF(ISNUMBER(SEARCH("-",V164)),IFERROR(IF($H$2="Lower", LOWER(ComputeResourceName(Z164,#REF!,#REF!,G164,N164,O164,P164,Q164,S164,T164,V164,A164)), UPPER(ComputeResourceName(Z164,#REF!,#REF!,G164,N164,O164,P164,Q164,S164,T164,V164,A164))),""),SUBSTITUTE(IFERROR(IF($H$2="Lower", LOWER(ComputeResourceName(#REF!,#REF!,#REF!,G164,N164,O164,P164,Q164,S164,T164,V164,A164)), UPPER(ComputeResourceName(#REF!,#REF!,#REF!,G164,N164,O164,P164,Q164,S164,T164,V164,A164))),""), "-",""))</f>
        <v/>
      </c>
      <c r="L164" s="3" t="str">
        <f xml:space="preserve"> IF(K164="","",  IFERROR(VLOOKUP(I164,Resources!$B$1:$H$1503,5,FALSE)-LEN(K164),0))</f>
        <v/>
      </c>
      <c r="M164" s="3" t="str">
        <f>IF(K164="","",IFERROR(matches(K164,VLOOKUP(I164,Resources!$A$2:$AA$1503,16,FALSE)),FALSE))</f>
        <v/>
      </c>
      <c r="N164" s="3" t="e">
        <f>VLOOKUP(E164,Enviroments!$A$3:$D$59,1,FALSE)</f>
        <v>#N/A</v>
      </c>
      <c r="O164" s="3" t="e">
        <f>VLOOKUP(E164,Enviroments!$A$3:$D$59,2,FALSE)</f>
        <v>#N/A</v>
      </c>
      <c r="P164" s="3" t="e">
        <f>VLOOKUP(E164,Enviroments!$A$3:$D$59,3,FALSE)</f>
        <v>#N/A</v>
      </c>
      <c r="Q164" s="3" t="e">
        <f>VLOOKUP(E164,Enviroments!$A$3:$D$59,4,FALSE)</f>
        <v>#N/A</v>
      </c>
      <c r="R164" s="3" t="e">
        <f>VLOOKUP(H164,AzureRegions!$A$4:$B$1493,1,FALSE)</f>
        <v>#N/A</v>
      </c>
      <c r="S164" s="3" t="e">
        <f>VLOOKUP(H164,AzureRegions!$A$4:$B$1493,2,FALSE)</f>
        <v>#N/A</v>
      </c>
      <c r="T164" s="3" t="e">
        <f>VLOOKUP(H164,AzureRegions!$A$4:$C$1493,3,FALSE)</f>
        <v>#N/A</v>
      </c>
      <c r="U164" s="3" t="e">
        <f>VLOOKUP(I164,Resources!$A$2:$AA$1503,2,FALSE)</f>
        <v>#N/A</v>
      </c>
      <c r="V164" s="3" t="e">
        <f>VLOOKUP(I164,Resources!$A$2:$H$1503,6,FALSE)</f>
        <v>#N/A</v>
      </c>
      <c r="W164" s="3" t="str">
        <f>VLOOKUP($H$2,Casing!$A$4:$A$60,1,FALSE)</f>
        <v>Lower</v>
      </c>
      <c r="X164" s="14" t="str">
        <f t="shared" si="5"/>
        <v>001</v>
      </c>
      <c r="Y164" s="3" t="str">
        <f>IFERROR(VLOOKUP(F164,Func!$A$4:$G$1500,2,FALSE),"none")</f>
        <v>none</v>
      </c>
      <c r="Z164" s="3" t="e">
        <f>VLOOKUP(I164,Resources!$A$2:$AA$1503,18,FALSE)</f>
        <v>#N/A</v>
      </c>
      <c r="AA164" s="3" t="str">
        <f>IFERROR(VLOOKUP(B164,Orgs!$A$4:$G$1500,2,FALSE),"none")</f>
        <v>none</v>
      </c>
      <c r="AB164" s="3" t="str">
        <f>IFERROR(VLOOKUP(C164,UnitsDepts!$A$4:$G$1500,2,FALSE),"none")</f>
        <v>none</v>
      </c>
      <c r="AC164" s="3" t="str">
        <f>IFERROR(VLOOKUP(D164,ProjAppSvc!$A$4:$G$1500,2,FALSE),"none")</f>
        <v>none</v>
      </c>
    </row>
    <row r="165" spans="1:29" x14ac:dyDescent="0.45">
      <c r="A165" s="14" t="s">
        <v>23</v>
      </c>
      <c r="B165" s="14"/>
      <c r="C165" s="14"/>
      <c r="D165" s="14"/>
      <c r="H165" s="8"/>
      <c r="I165" s="3"/>
      <c r="J165" s="3" t="str">
        <f t="shared" si="6"/>
        <v/>
      </c>
      <c r="K165" s="3" t="str">
        <f>IF(ISNUMBER(SEARCH("-",V165)),IFERROR(IF($H$2="Lower", LOWER(ComputeResourceName(Z165,#REF!,#REF!,G165,N165,O165,P165,Q165,S165,T165,V165,A165)), UPPER(ComputeResourceName(Z165,#REF!,#REF!,G165,N165,O165,P165,Q165,S165,T165,V165,A165))),""),SUBSTITUTE(IFERROR(IF($H$2="Lower", LOWER(ComputeResourceName(#REF!,#REF!,#REF!,G165,N165,O165,P165,Q165,S165,T165,V165,A165)), UPPER(ComputeResourceName(#REF!,#REF!,#REF!,G165,N165,O165,P165,Q165,S165,T165,V165,A165))),""), "-",""))</f>
        <v/>
      </c>
      <c r="L165" s="3" t="str">
        <f xml:space="preserve"> IF(K165="","",  IFERROR(VLOOKUP(I165,Resources!$B$1:$H$1503,5,FALSE)-LEN(K165),0))</f>
        <v/>
      </c>
      <c r="M165" s="3" t="str">
        <f>IF(K165="","",IFERROR(matches(K165,VLOOKUP(I165,Resources!$A$2:$AA$1503,16,FALSE)),FALSE))</f>
        <v/>
      </c>
      <c r="N165" s="3" t="e">
        <f>VLOOKUP(E165,Enviroments!$A$3:$D$59,1,FALSE)</f>
        <v>#N/A</v>
      </c>
      <c r="O165" s="3" t="e">
        <f>VLOOKUP(E165,Enviroments!$A$3:$D$59,2,FALSE)</f>
        <v>#N/A</v>
      </c>
      <c r="P165" s="3" t="e">
        <f>VLOOKUP(E165,Enviroments!$A$3:$D$59,3,FALSE)</f>
        <v>#N/A</v>
      </c>
      <c r="Q165" s="3" t="e">
        <f>VLOOKUP(E165,Enviroments!$A$3:$D$59,4,FALSE)</f>
        <v>#N/A</v>
      </c>
      <c r="R165" s="3" t="e">
        <f>VLOOKUP(H165,AzureRegions!$A$4:$B$1493,1,FALSE)</f>
        <v>#N/A</v>
      </c>
      <c r="S165" s="3" t="e">
        <f>VLOOKUP(H165,AzureRegions!$A$4:$B$1493,2,FALSE)</f>
        <v>#N/A</v>
      </c>
      <c r="T165" s="3" t="e">
        <f>VLOOKUP(H165,AzureRegions!$A$4:$C$1493,3,FALSE)</f>
        <v>#N/A</v>
      </c>
      <c r="U165" s="3" t="e">
        <f>VLOOKUP(I165,Resources!$A$2:$AA$1503,2,FALSE)</f>
        <v>#N/A</v>
      </c>
      <c r="V165" s="3" t="e">
        <f>VLOOKUP(I165,Resources!$A$2:$H$1503,6,FALSE)</f>
        <v>#N/A</v>
      </c>
      <c r="W165" s="3" t="str">
        <f>VLOOKUP($H$2,Casing!$A$4:$A$60,1,FALSE)</f>
        <v>Lower</v>
      </c>
      <c r="X165" s="14" t="str">
        <f t="shared" si="5"/>
        <v>001</v>
      </c>
      <c r="Y165" s="3" t="str">
        <f>IFERROR(VLOOKUP(F165,Func!$A$4:$G$1500,2,FALSE),"none")</f>
        <v>none</v>
      </c>
      <c r="Z165" s="3" t="e">
        <f>VLOOKUP(I165,Resources!$A$2:$AA$1503,18,FALSE)</f>
        <v>#N/A</v>
      </c>
      <c r="AA165" s="3" t="str">
        <f>IFERROR(VLOOKUP(B165,Orgs!$A$4:$G$1500,2,FALSE),"none")</f>
        <v>none</v>
      </c>
      <c r="AB165" s="3" t="str">
        <f>IFERROR(VLOOKUP(C165,UnitsDepts!$A$4:$G$1500,2,FALSE),"none")</f>
        <v>none</v>
      </c>
      <c r="AC165" s="3" t="str">
        <f>IFERROR(VLOOKUP(D165,ProjAppSvc!$A$4:$G$1500,2,FALSE),"none")</f>
        <v>none</v>
      </c>
    </row>
    <row r="166" spans="1:29" x14ac:dyDescent="0.45">
      <c r="A166" s="14" t="s">
        <v>23</v>
      </c>
      <c r="B166" s="14"/>
      <c r="C166" s="14"/>
      <c r="D166" s="14"/>
      <c r="H166" s="8"/>
      <c r="I166" s="3"/>
      <c r="J166" s="3" t="str">
        <f t="shared" si="6"/>
        <v/>
      </c>
      <c r="K166" s="3" t="str">
        <f>IF(ISNUMBER(SEARCH("-",V166)),IFERROR(IF($H$2="Lower", LOWER(ComputeResourceName(Z166,#REF!,#REF!,G166,N166,O166,P166,Q166,S166,T166,V166,A166)), UPPER(ComputeResourceName(Z166,#REF!,#REF!,G166,N166,O166,P166,Q166,S166,T166,V166,A166))),""),SUBSTITUTE(IFERROR(IF($H$2="Lower", LOWER(ComputeResourceName(#REF!,#REF!,#REF!,G166,N166,O166,P166,Q166,S166,T166,V166,A166)), UPPER(ComputeResourceName(#REF!,#REF!,#REF!,G166,N166,O166,P166,Q166,S166,T166,V166,A166))),""), "-",""))</f>
        <v/>
      </c>
      <c r="L166" s="3" t="str">
        <f xml:space="preserve"> IF(K166="","",  IFERROR(VLOOKUP(I166,Resources!$B$1:$H$1503,5,FALSE)-LEN(K166),0))</f>
        <v/>
      </c>
      <c r="M166" s="3" t="str">
        <f>IF(K166="","",IFERROR(matches(K166,VLOOKUP(I166,Resources!$A$2:$AA$1503,16,FALSE)),FALSE))</f>
        <v/>
      </c>
      <c r="N166" s="3" t="e">
        <f>VLOOKUP(E166,Enviroments!$A$3:$D$59,1,FALSE)</f>
        <v>#N/A</v>
      </c>
      <c r="O166" s="3" t="e">
        <f>VLOOKUP(E166,Enviroments!$A$3:$D$59,2,FALSE)</f>
        <v>#N/A</v>
      </c>
      <c r="P166" s="3" t="e">
        <f>VLOOKUP(E166,Enviroments!$A$3:$D$59,3,FALSE)</f>
        <v>#N/A</v>
      </c>
      <c r="Q166" s="3" t="e">
        <f>VLOOKUP(E166,Enviroments!$A$3:$D$59,4,FALSE)</f>
        <v>#N/A</v>
      </c>
      <c r="R166" s="3" t="e">
        <f>VLOOKUP(H166,AzureRegions!$A$4:$B$1493,1,FALSE)</f>
        <v>#N/A</v>
      </c>
      <c r="S166" s="3" t="e">
        <f>VLOOKUP(H166,AzureRegions!$A$4:$B$1493,2,FALSE)</f>
        <v>#N/A</v>
      </c>
      <c r="T166" s="3" t="e">
        <f>VLOOKUP(H166,AzureRegions!$A$4:$C$1493,3,FALSE)</f>
        <v>#N/A</v>
      </c>
      <c r="U166" s="3" t="e">
        <f>VLOOKUP(I166,Resources!$A$2:$AA$1503,2,FALSE)</f>
        <v>#N/A</v>
      </c>
      <c r="V166" s="3" t="e">
        <f>VLOOKUP(I166,Resources!$A$2:$H$1503,6,FALSE)</f>
        <v>#N/A</v>
      </c>
      <c r="W166" s="3" t="str">
        <f>VLOOKUP($H$2,Casing!$A$4:$A$60,1,FALSE)</f>
        <v>Lower</v>
      </c>
      <c r="X166" s="14" t="str">
        <f t="shared" si="5"/>
        <v>001</v>
      </c>
      <c r="Y166" s="3" t="str">
        <f>IFERROR(VLOOKUP(F166,Func!$A$4:$G$1500,2,FALSE),"none")</f>
        <v>none</v>
      </c>
      <c r="Z166" s="3" t="e">
        <f>VLOOKUP(I166,Resources!$A$2:$AA$1503,18,FALSE)</f>
        <v>#N/A</v>
      </c>
      <c r="AA166" s="3" t="str">
        <f>IFERROR(VLOOKUP(B166,Orgs!$A$4:$G$1500,2,FALSE),"none")</f>
        <v>none</v>
      </c>
      <c r="AB166" s="3" t="str">
        <f>IFERROR(VLOOKUP(C166,UnitsDepts!$A$4:$G$1500,2,FALSE),"none")</f>
        <v>none</v>
      </c>
      <c r="AC166" s="3" t="str">
        <f>IFERROR(VLOOKUP(D166,ProjAppSvc!$A$4:$G$1500,2,FALSE),"none")</f>
        <v>none</v>
      </c>
    </row>
    <row r="167" spans="1:29" x14ac:dyDescent="0.45">
      <c r="A167" s="14" t="s">
        <v>23</v>
      </c>
      <c r="B167" s="14"/>
      <c r="C167" s="14"/>
      <c r="D167" s="14"/>
      <c r="H167" s="8"/>
      <c r="I167" s="3"/>
      <c r="J167" s="3" t="str">
        <f t="shared" si="6"/>
        <v/>
      </c>
      <c r="K167" s="3" t="str">
        <f>IF(ISNUMBER(SEARCH("-",V167)),IFERROR(IF($H$2="Lower", LOWER(ComputeResourceName(Z167,#REF!,#REF!,G167,N167,O167,P167,Q167,S167,T167,V167,A167)), UPPER(ComputeResourceName(Z167,#REF!,#REF!,G167,N167,O167,P167,Q167,S167,T167,V167,A167))),""),SUBSTITUTE(IFERROR(IF($H$2="Lower", LOWER(ComputeResourceName(#REF!,#REF!,#REF!,G167,N167,O167,P167,Q167,S167,T167,V167,A167)), UPPER(ComputeResourceName(#REF!,#REF!,#REF!,G167,N167,O167,P167,Q167,S167,T167,V167,A167))),""), "-",""))</f>
        <v/>
      </c>
      <c r="L167" s="3" t="str">
        <f xml:space="preserve"> IF(K167="","",  IFERROR(VLOOKUP(I167,Resources!$B$1:$H$1503,5,FALSE)-LEN(K167),0))</f>
        <v/>
      </c>
      <c r="M167" s="3" t="str">
        <f>IF(K167="","",IFERROR(matches(K167,VLOOKUP(I167,Resources!$A$2:$AA$1503,16,FALSE)),FALSE))</f>
        <v/>
      </c>
      <c r="N167" s="3" t="e">
        <f>VLOOKUP(E167,Enviroments!$A$3:$D$59,1,FALSE)</f>
        <v>#N/A</v>
      </c>
      <c r="O167" s="3" t="e">
        <f>VLOOKUP(E167,Enviroments!$A$3:$D$59,2,FALSE)</f>
        <v>#N/A</v>
      </c>
      <c r="P167" s="3" t="e">
        <f>VLOOKUP(E167,Enviroments!$A$3:$D$59,3,FALSE)</f>
        <v>#N/A</v>
      </c>
      <c r="Q167" s="3" t="e">
        <f>VLOOKUP(E167,Enviroments!$A$3:$D$59,4,FALSE)</f>
        <v>#N/A</v>
      </c>
      <c r="R167" s="3" t="e">
        <f>VLOOKUP(H167,AzureRegions!$A$4:$B$1493,1,FALSE)</f>
        <v>#N/A</v>
      </c>
      <c r="S167" s="3" t="e">
        <f>VLOOKUP(H167,AzureRegions!$A$4:$B$1493,2,FALSE)</f>
        <v>#N/A</v>
      </c>
      <c r="T167" s="3" t="e">
        <f>VLOOKUP(H167,AzureRegions!$A$4:$C$1493,3,FALSE)</f>
        <v>#N/A</v>
      </c>
      <c r="U167" s="3" t="e">
        <f>VLOOKUP(I167,Resources!$A$2:$AA$1503,2,FALSE)</f>
        <v>#N/A</v>
      </c>
      <c r="V167" s="3" t="e">
        <f>VLOOKUP(I167,Resources!$A$2:$H$1503,6,FALSE)</f>
        <v>#N/A</v>
      </c>
      <c r="W167" s="3" t="str">
        <f>VLOOKUP($H$2,Casing!$A$4:$A$60,1,FALSE)</f>
        <v>Lower</v>
      </c>
      <c r="X167" s="14" t="str">
        <f t="shared" si="5"/>
        <v>001</v>
      </c>
      <c r="Y167" s="3" t="str">
        <f>IFERROR(VLOOKUP(F167,Func!$A$4:$G$1500,2,FALSE),"none")</f>
        <v>none</v>
      </c>
      <c r="Z167" s="3" t="e">
        <f>VLOOKUP(I167,Resources!$A$2:$AA$1503,18,FALSE)</f>
        <v>#N/A</v>
      </c>
      <c r="AA167" s="3" t="str">
        <f>IFERROR(VLOOKUP(B167,Orgs!$A$4:$G$1500,2,FALSE),"none")</f>
        <v>none</v>
      </c>
      <c r="AB167" s="3" t="str">
        <f>IFERROR(VLOOKUP(C167,UnitsDepts!$A$4:$G$1500,2,FALSE),"none")</f>
        <v>none</v>
      </c>
      <c r="AC167" s="3" t="str">
        <f>IFERROR(VLOOKUP(D167,ProjAppSvc!$A$4:$G$1500,2,FALSE),"none")</f>
        <v>none</v>
      </c>
    </row>
    <row r="168" spans="1:29" x14ac:dyDescent="0.45">
      <c r="A168" s="14" t="s">
        <v>23</v>
      </c>
      <c r="B168" s="14"/>
      <c r="C168" s="14"/>
      <c r="D168" s="14"/>
      <c r="H168" s="8"/>
      <c r="I168" s="3"/>
      <c r="J168" s="3" t="str">
        <f t="shared" si="6"/>
        <v/>
      </c>
      <c r="K168" s="3" t="str">
        <f>IF(ISNUMBER(SEARCH("-",V168)),IFERROR(IF($H$2="Lower", LOWER(ComputeResourceName(Z168,#REF!,#REF!,G168,N168,O168,P168,Q168,S168,T168,V168,A168)), UPPER(ComputeResourceName(Z168,#REF!,#REF!,G168,N168,O168,P168,Q168,S168,T168,V168,A168))),""),SUBSTITUTE(IFERROR(IF($H$2="Lower", LOWER(ComputeResourceName(#REF!,#REF!,#REF!,G168,N168,O168,P168,Q168,S168,T168,V168,A168)), UPPER(ComputeResourceName(#REF!,#REF!,#REF!,G168,N168,O168,P168,Q168,S168,T168,V168,A168))),""), "-",""))</f>
        <v/>
      </c>
      <c r="L168" s="3" t="str">
        <f xml:space="preserve"> IF(K168="","",  IFERROR(VLOOKUP(I168,Resources!$B$1:$H$1503,5,FALSE)-LEN(K168),0))</f>
        <v/>
      </c>
      <c r="M168" s="3" t="str">
        <f>IF(K168="","",IFERROR(matches(K168,VLOOKUP(I168,Resources!$A$2:$AA$1503,16,FALSE)),FALSE))</f>
        <v/>
      </c>
      <c r="N168" s="3" t="e">
        <f>VLOOKUP(E168,Enviroments!$A$3:$D$59,1,FALSE)</f>
        <v>#N/A</v>
      </c>
      <c r="O168" s="3" t="e">
        <f>VLOOKUP(E168,Enviroments!$A$3:$D$59,2,FALSE)</f>
        <v>#N/A</v>
      </c>
      <c r="P168" s="3" t="e">
        <f>VLOOKUP(E168,Enviroments!$A$3:$D$59,3,FALSE)</f>
        <v>#N/A</v>
      </c>
      <c r="Q168" s="3" t="e">
        <f>VLOOKUP(E168,Enviroments!$A$3:$D$59,4,FALSE)</f>
        <v>#N/A</v>
      </c>
      <c r="R168" s="3" t="e">
        <f>VLOOKUP(H168,AzureRegions!$A$4:$B$1493,1,FALSE)</f>
        <v>#N/A</v>
      </c>
      <c r="S168" s="3" t="e">
        <f>VLOOKUP(H168,AzureRegions!$A$4:$B$1493,2,FALSE)</f>
        <v>#N/A</v>
      </c>
      <c r="T168" s="3" t="e">
        <f>VLOOKUP(H168,AzureRegions!$A$4:$C$1493,3,FALSE)</f>
        <v>#N/A</v>
      </c>
      <c r="U168" s="3" t="e">
        <f>VLOOKUP(I168,Resources!$A$2:$AA$1503,2,FALSE)</f>
        <v>#N/A</v>
      </c>
      <c r="V168" s="3" t="e">
        <f>VLOOKUP(I168,Resources!$A$2:$H$1503,6,FALSE)</f>
        <v>#N/A</v>
      </c>
      <c r="W168" s="3" t="str">
        <f>VLOOKUP($H$2,Casing!$A$4:$A$60,1,FALSE)</f>
        <v>Lower</v>
      </c>
      <c r="X168" s="14" t="str">
        <f t="shared" si="5"/>
        <v>001</v>
      </c>
      <c r="Y168" s="3" t="str">
        <f>IFERROR(VLOOKUP(F168,Func!$A$4:$G$1500,2,FALSE),"none")</f>
        <v>none</v>
      </c>
      <c r="Z168" s="3" t="e">
        <f>VLOOKUP(I168,Resources!$A$2:$AA$1503,18,FALSE)</f>
        <v>#N/A</v>
      </c>
      <c r="AA168" s="3" t="str">
        <f>IFERROR(VLOOKUP(B168,Orgs!$A$4:$G$1500,2,FALSE),"none")</f>
        <v>none</v>
      </c>
      <c r="AB168" s="3" t="str">
        <f>IFERROR(VLOOKUP(C168,UnitsDepts!$A$4:$G$1500,2,FALSE),"none")</f>
        <v>none</v>
      </c>
      <c r="AC168" s="3" t="str">
        <f>IFERROR(VLOOKUP(D168,ProjAppSvc!$A$4:$G$1500,2,FALSE),"none")</f>
        <v>none</v>
      </c>
    </row>
    <row r="169" spans="1:29" x14ac:dyDescent="0.45">
      <c r="A169" s="14" t="s">
        <v>23</v>
      </c>
      <c r="B169" s="14"/>
      <c r="C169" s="14"/>
      <c r="D169" s="14"/>
      <c r="H169" s="8"/>
      <c r="I169" s="3"/>
      <c r="J169" s="3" t="str">
        <f t="shared" si="6"/>
        <v/>
      </c>
      <c r="K169" s="3" t="str">
        <f>IF(ISNUMBER(SEARCH("-",V169)),IFERROR(IF($H$2="Lower", LOWER(ComputeResourceName(Z169,#REF!,#REF!,G169,N169,O169,P169,Q169,S169,T169,V169,A169)), UPPER(ComputeResourceName(Z169,#REF!,#REF!,G169,N169,O169,P169,Q169,S169,T169,V169,A169))),""),SUBSTITUTE(IFERROR(IF($H$2="Lower", LOWER(ComputeResourceName(#REF!,#REF!,#REF!,G169,N169,O169,P169,Q169,S169,T169,V169,A169)), UPPER(ComputeResourceName(#REF!,#REF!,#REF!,G169,N169,O169,P169,Q169,S169,T169,V169,A169))),""), "-",""))</f>
        <v/>
      </c>
      <c r="L169" s="3" t="str">
        <f xml:space="preserve"> IF(K169="","",  IFERROR(VLOOKUP(I169,Resources!$B$1:$H$1503,5,FALSE)-LEN(K169),0))</f>
        <v/>
      </c>
      <c r="M169" s="3" t="str">
        <f>IF(K169="","",IFERROR(matches(K169,VLOOKUP(I169,Resources!$A$2:$AA$1503,16,FALSE)),FALSE))</f>
        <v/>
      </c>
      <c r="N169" s="3" t="e">
        <f>VLOOKUP(E169,Enviroments!$A$3:$D$59,1,FALSE)</f>
        <v>#N/A</v>
      </c>
      <c r="O169" s="3" t="e">
        <f>VLOOKUP(E169,Enviroments!$A$3:$D$59,2,FALSE)</f>
        <v>#N/A</v>
      </c>
      <c r="P169" s="3" t="e">
        <f>VLOOKUP(E169,Enviroments!$A$3:$D$59,3,FALSE)</f>
        <v>#N/A</v>
      </c>
      <c r="Q169" s="3" t="e">
        <f>VLOOKUP(E169,Enviroments!$A$3:$D$59,4,FALSE)</f>
        <v>#N/A</v>
      </c>
      <c r="R169" s="3" t="e">
        <f>VLOOKUP(H169,AzureRegions!$A$4:$B$1493,1,FALSE)</f>
        <v>#N/A</v>
      </c>
      <c r="S169" s="3" t="e">
        <f>VLOOKUP(H169,AzureRegions!$A$4:$B$1493,2,FALSE)</f>
        <v>#N/A</v>
      </c>
      <c r="T169" s="3" t="e">
        <f>VLOOKUP(H169,AzureRegions!$A$4:$C$1493,3,FALSE)</f>
        <v>#N/A</v>
      </c>
      <c r="U169" s="3" t="e">
        <f>VLOOKUP(I169,Resources!$A$2:$AA$1503,2,FALSE)</f>
        <v>#N/A</v>
      </c>
      <c r="V169" s="3" t="e">
        <f>VLOOKUP(I169,Resources!$A$2:$H$1503,6,FALSE)</f>
        <v>#N/A</v>
      </c>
      <c r="W169" s="3" t="str">
        <f>VLOOKUP($H$2,Casing!$A$4:$A$60,1,FALSE)</f>
        <v>Lower</v>
      </c>
      <c r="X169" s="14" t="str">
        <f t="shared" si="5"/>
        <v>001</v>
      </c>
      <c r="Y169" s="3" t="str">
        <f>IFERROR(VLOOKUP(F169,Func!$A$4:$G$1500,2,FALSE),"none")</f>
        <v>none</v>
      </c>
      <c r="Z169" s="3" t="e">
        <f>VLOOKUP(I169,Resources!$A$2:$AA$1503,18,FALSE)</f>
        <v>#N/A</v>
      </c>
      <c r="AA169" s="3" t="str">
        <f>IFERROR(VLOOKUP(B169,Orgs!$A$4:$G$1500,2,FALSE),"none")</f>
        <v>none</v>
      </c>
      <c r="AB169" s="3" t="str">
        <f>IFERROR(VLOOKUP(C169,UnitsDepts!$A$4:$G$1500,2,FALSE),"none")</f>
        <v>none</v>
      </c>
      <c r="AC169" s="3" t="str">
        <f>IFERROR(VLOOKUP(D169,ProjAppSvc!$A$4:$G$1500,2,FALSE),"none")</f>
        <v>none</v>
      </c>
    </row>
    <row r="170" spans="1:29" x14ac:dyDescent="0.45">
      <c r="A170" s="14" t="s">
        <v>23</v>
      </c>
      <c r="B170" s="14"/>
      <c r="C170" s="14"/>
      <c r="D170" s="14"/>
      <c r="H170" s="8"/>
      <c r="I170" s="3"/>
      <c r="J170" s="3" t="str">
        <f t="shared" si="6"/>
        <v/>
      </c>
      <c r="K170" s="3" t="str">
        <f>IF(ISNUMBER(SEARCH("-",V170)),IFERROR(IF($H$2="Lower", LOWER(ComputeResourceName(Z170,#REF!,#REF!,G170,N170,O170,P170,Q170,S170,T170,V170,A170)), UPPER(ComputeResourceName(Z170,#REF!,#REF!,G170,N170,O170,P170,Q170,S170,T170,V170,A170))),""),SUBSTITUTE(IFERROR(IF($H$2="Lower", LOWER(ComputeResourceName(#REF!,#REF!,#REF!,G170,N170,O170,P170,Q170,S170,T170,V170,A170)), UPPER(ComputeResourceName(#REF!,#REF!,#REF!,G170,N170,O170,P170,Q170,S170,T170,V170,A170))),""), "-",""))</f>
        <v/>
      </c>
      <c r="L170" s="3" t="str">
        <f xml:space="preserve"> IF(K170="","",  IFERROR(VLOOKUP(I170,Resources!$B$1:$H$1503,5,FALSE)-LEN(K170),0))</f>
        <v/>
      </c>
      <c r="M170" s="3" t="str">
        <f>IF(K170="","",IFERROR(matches(K170,VLOOKUP(I170,Resources!$A$2:$AA$1503,16,FALSE)),FALSE))</f>
        <v/>
      </c>
      <c r="N170" s="3" t="e">
        <f>VLOOKUP(E170,Enviroments!$A$3:$D$59,1,FALSE)</f>
        <v>#N/A</v>
      </c>
      <c r="O170" s="3" t="e">
        <f>VLOOKUP(E170,Enviroments!$A$3:$D$59,2,FALSE)</f>
        <v>#N/A</v>
      </c>
      <c r="P170" s="3" t="e">
        <f>VLOOKUP(E170,Enviroments!$A$3:$D$59,3,FALSE)</f>
        <v>#N/A</v>
      </c>
      <c r="Q170" s="3" t="e">
        <f>VLOOKUP(E170,Enviroments!$A$3:$D$59,4,FALSE)</f>
        <v>#N/A</v>
      </c>
      <c r="R170" s="3" t="e">
        <f>VLOOKUP(H170,AzureRegions!$A$4:$B$1493,1,FALSE)</f>
        <v>#N/A</v>
      </c>
      <c r="S170" s="3" t="e">
        <f>VLOOKUP(H170,AzureRegions!$A$4:$B$1493,2,FALSE)</f>
        <v>#N/A</v>
      </c>
      <c r="T170" s="3" t="e">
        <f>VLOOKUP(H170,AzureRegions!$A$4:$C$1493,3,FALSE)</f>
        <v>#N/A</v>
      </c>
      <c r="U170" s="3" t="e">
        <f>VLOOKUP(I170,Resources!$A$2:$AA$1503,2,FALSE)</f>
        <v>#N/A</v>
      </c>
      <c r="V170" s="3" t="e">
        <f>VLOOKUP(I170,Resources!$A$2:$H$1503,6,FALSE)</f>
        <v>#N/A</v>
      </c>
      <c r="W170" s="3" t="str">
        <f>VLOOKUP($H$2,Casing!$A$4:$A$60,1,FALSE)</f>
        <v>Lower</v>
      </c>
      <c r="X170" s="14" t="str">
        <f t="shared" si="5"/>
        <v>001</v>
      </c>
      <c r="Y170" s="3" t="str">
        <f>IFERROR(VLOOKUP(F170,Func!$A$4:$G$1500,2,FALSE),"none")</f>
        <v>none</v>
      </c>
      <c r="Z170" s="3" t="e">
        <f>VLOOKUP(I170,Resources!$A$2:$AA$1503,18,FALSE)</f>
        <v>#N/A</v>
      </c>
      <c r="AA170" s="3" t="str">
        <f>IFERROR(VLOOKUP(B170,Orgs!$A$4:$G$1500,2,FALSE),"none")</f>
        <v>none</v>
      </c>
      <c r="AB170" s="3" t="str">
        <f>IFERROR(VLOOKUP(C170,UnitsDepts!$A$4:$G$1500,2,FALSE),"none")</f>
        <v>none</v>
      </c>
      <c r="AC170" s="3" t="str">
        <f>IFERROR(VLOOKUP(D170,ProjAppSvc!$A$4:$G$1500,2,FALSE),"none")</f>
        <v>none</v>
      </c>
    </row>
    <row r="171" spans="1:29" x14ac:dyDescent="0.45">
      <c r="A171" s="14" t="s">
        <v>23</v>
      </c>
      <c r="B171" s="14"/>
      <c r="C171" s="14"/>
      <c r="D171" s="14"/>
      <c r="H171" s="8"/>
      <c r="I171" s="3"/>
      <c r="J171" s="3" t="str">
        <f t="shared" si="6"/>
        <v/>
      </c>
      <c r="K171" s="3" t="str">
        <f>IF(ISNUMBER(SEARCH("-",V171)),IFERROR(IF($H$2="Lower", LOWER(ComputeResourceName(Z171,#REF!,#REF!,G171,N171,O171,P171,Q171,S171,T171,V171,A171)), UPPER(ComputeResourceName(Z171,#REF!,#REF!,G171,N171,O171,P171,Q171,S171,T171,V171,A171))),""),SUBSTITUTE(IFERROR(IF($H$2="Lower", LOWER(ComputeResourceName(#REF!,#REF!,#REF!,G171,N171,O171,P171,Q171,S171,T171,V171,A171)), UPPER(ComputeResourceName(#REF!,#REF!,#REF!,G171,N171,O171,P171,Q171,S171,T171,V171,A171))),""), "-",""))</f>
        <v/>
      </c>
      <c r="L171" s="3" t="str">
        <f xml:space="preserve"> IF(K171="","",  IFERROR(VLOOKUP(I171,Resources!$B$1:$H$1503,5,FALSE)-LEN(K171),0))</f>
        <v/>
      </c>
      <c r="M171" s="3" t="str">
        <f>IF(K171="","",IFERROR(matches(K171,VLOOKUP(I171,Resources!$A$2:$AA$1503,16,FALSE)),FALSE))</f>
        <v/>
      </c>
      <c r="N171" s="3" t="e">
        <f>VLOOKUP(E171,Enviroments!$A$3:$D$59,1,FALSE)</f>
        <v>#N/A</v>
      </c>
      <c r="O171" s="3" t="e">
        <f>VLOOKUP(E171,Enviroments!$A$3:$D$59,2,FALSE)</f>
        <v>#N/A</v>
      </c>
      <c r="P171" s="3" t="e">
        <f>VLOOKUP(E171,Enviroments!$A$3:$D$59,3,FALSE)</f>
        <v>#N/A</v>
      </c>
      <c r="Q171" s="3" t="e">
        <f>VLOOKUP(E171,Enviroments!$A$3:$D$59,4,FALSE)</f>
        <v>#N/A</v>
      </c>
      <c r="R171" s="3" t="e">
        <f>VLOOKUP(H171,AzureRegions!$A$4:$B$1493,1,FALSE)</f>
        <v>#N/A</v>
      </c>
      <c r="S171" s="3" t="e">
        <f>VLOOKUP(H171,AzureRegions!$A$4:$B$1493,2,FALSE)</f>
        <v>#N/A</v>
      </c>
      <c r="T171" s="3" t="e">
        <f>VLOOKUP(H171,AzureRegions!$A$4:$C$1493,3,FALSE)</f>
        <v>#N/A</v>
      </c>
      <c r="U171" s="3" t="e">
        <f>VLOOKUP(I171,Resources!$A$2:$AA$1503,2,FALSE)</f>
        <v>#N/A</v>
      </c>
      <c r="V171" s="3" t="e">
        <f>VLOOKUP(I171,Resources!$A$2:$H$1503,6,FALSE)</f>
        <v>#N/A</v>
      </c>
      <c r="W171" s="3" t="str">
        <f>VLOOKUP($H$2,Casing!$A$4:$A$60,1,FALSE)</f>
        <v>Lower</v>
      </c>
      <c r="X171" s="14" t="str">
        <f t="shared" si="5"/>
        <v>001</v>
      </c>
      <c r="Y171" s="3" t="str">
        <f>IFERROR(VLOOKUP(F171,Func!$A$4:$G$1500,2,FALSE),"none")</f>
        <v>none</v>
      </c>
      <c r="Z171" s="3" t="e">
        <f>VLOOKUP(I171,Resources!$A$2:$AA$1503,18,FALSE)</f>
        <v>#N/A</v>
      </c>
      <c r="AA171" s="3" t="str">
        <f>IFERROR(VLOOKUP(B171,Orgs!$A$4:$G$1500,2,FALSE),"none")</f>
        <v>none</v>
      </c>
      <c r="AB171" s="3" t="str">
        <f>IFERROR(VLOOKUP(C171,UnitsDepts!$A$4:$G$1500,2,FALSE),"none")</f>
        <v>none</v>
      </c>
      <c r="AC171" s="3" t="str">
        <f>IFERROR(VLOOKUP(D171,ProjAppSvc!$A$4:$G$1500,2,FALSE),"none")</f>
        <v>none</v>
      </c>
    </row>
    <row r="172" spans="1:29" x14ac:dyDescent="0.45">
      <c r="A172" s="14" t="s">
        <v>23</v>
      </c>
      <c r="B172" s="14"/>
      <c r="C172" s="14"/>
      <c r="D172" s="14"/>
      <c r="H172" s="8"/>
      <c r="I172" s="3"/>
      <c r="J172" s="3" t="str">
        <f t="shared" si="6"/>
        <v/>
      </c>
      <c r="K172" s="3" t="str">
        <f>IF(ISNUMBER(SEARCH("-",V172)),IFERROR(IF($H$2="Lower", LOWER(ComputeResourceName(Z172,#REF!,#REF!,G172,N172,O172,P172,Q172,S172,T172,V172,A172)), UPPER(ComputeResourceName(Z172,#REF!,#REF!,G172,N172,O172,P172,Q172,S172,T172,V172,A172))),""),SUBSTITUTE(IFERROR(IF($H$2="Lower", LOWER(ComputeResourceName(#REF!,#REF!,#REF!,G172,N172,O172,P172,Q172,S172,T172,V172,A172)), UPPER(ComputeResourceName(#REF!,#REF!,#REF!,G172,N172,O172,P172,Q172,S172,T172,V172,A172))),""), "-",""))</f>
        <v/>
      </c>
      <c r="L172" s="3" t="str">
        <f xml:space="preserve"> IF(K172="","",  IFERROR(VLOOKUP(I172,Resources!$B$1:$H$1503,5,FALSE)-LEN(K172),0))</f>
        <v/>
      </c>
      <c r="M172" s="3" t="str">
        <f>IF(K172="","",IFERROR(matches(K172,VLOOKUP(I172,Resources!$A$2:$AA$1503,16,FALSE)),FALSE))</f>
        <v/>
      </c>
      <c r="N172" s="3" t="e">
        <f>VLOOKUP(E172,Enviroments!$A$3:$D$59,1,FALSE)</f>
        <v>#N/A</v>
      </c>
      <c r="O172" s="3" t="e">
        <f>VLOOKUP(E172,Enviroments!$A$3:$D$59,2,FALSE)</f>
        <v>#N/A</v>
      </c>
      <c r="P172" s="3" t="e">
        <f>VLOOKUP(E172,Enviroments!$A$3:$D$59,3,FALSE)</f>
        <v>#N/A</v>
      </c>
      <c r="Q172" s="3" t="e">
        <f>VLOOKUP(E172,Enviroments!$A$3:$D$59,4,FALSE)</f>
        <v>#N/A</v>
      </c>
      <c r="R172" s="3" t="e">
        <f>VLOOKUP(H172,AzureRegions!$A$4:$B$1493,1,FALSE)</f>
        <v>#N/A</v>
      </c>
      <c r="S172" s="3" t="e">
        <f>VLOOKUP(H172,AzureRegions!$A$4:$B$1493,2,FALSE)</f>
        <v>#N/A</v>
      </c>
      <c r="T172" s="3" t="e">
        <f>VLOOKUP(H172,AzureRegions!$A$4:$C$1493,3,FALSE)</f>
        <v>#N/A</v>
      </c>
      <c r="U172" s="3" t="e">
        <f>VLOOKUP(I172,Resources!$A$2:$AA$1503,2,FALSE)</f>
        <v>#N/A</v>
      </c>
      <c r="V172" s="3" t="e">
        <f>VLOOKUP(I172,Resources!$A$2:$H$1503,6,FALSE)</f>
        <v>#N/A</v>
      </c>
      <c r="W172" s="3" t="str">
        <f>VLOOKUP($H$2,Casing!$A$4:$A$60,1,FALSE)</f>
        <v>Lower</v>
      </c>
      <c r="X172" s="14" t="str">
        <f t="shared" si="5"/>
        <v>001</v>
      </c>
      <c r="Y172" s="3" t="str">
        <f>IFERROR(VLOOKUP(F172,Func!$A$4:$G$1500,2,FALSE),"none")</f>
        <v>none</v>
      </c>
      <c r="Z172" s="3" t="e">
        <f>VLOOKUP(I172,Resources!$A$2:$AA$1503,18,FALSE)</f>
        <v>#N/A</v>
      </c>
      <c r="AA172" s="3" t="str">
        <f>IFERROR(VLOOKUP(B172,Orgs!$A$4:$G$1500,2,FALSE),"none")</f>
        <v>none</v>
      </c>
      <c r="AB172" s="3" t="str">
        <f>IFERROR(VLOOKUP(C172,UnitsDepts!$A$4:$G$1500,2,FALSE),"none")</f>
        <v>none</v>
      </c>
      <c r="AC172" s="3" t="str">
        <f>IFERROR(VLOOKUP(D172,ProjAppSvc!$A$4:$G$1500,2,FALSE),"none")</f>
        <v>none</v>
      </c>
    </row>
    <row r="173" spans="1:29" x14ac:dyDescent="0.45">
      <c r="A173" s="14" t="s">
        <v>23</v>
      </c>
      <c r="B173" s="14"/>
      <c r="C173" s="14"/>
      <c r="D173" s="14"/>
      <c r="H173" s="8"/>
      <c r="I173" s="3"/>
      <c r="J173" s="3" t="str">
        <f t="shared" si="6"/>
        <v/>
      </c>
      <c r="K173" s="3" t="str">
        <f>IF(ISNUMBER(SEARCH("-",V173)),IFERROR(IF($H$2="Lower", LOWER(ComputeResourceName(Z173,#REF!,#REF!,G173,N173,O173,P173,Q173,S173,T173,V173,A173)), UPPER(ComputeResourceName(Z173,#REF!,#REF!,G173,N173,O173,P173,Q173,S173,T173,V173,A173))),""),SUBSTITUTE(IFERROR(IF($H$2="Lower", LOWER(ComputeResourceName(#REF!,#REF!,#REF!,G173,N173,O173,P173,Q173,S173,T173,V173,A173)), UPPER(ComputeResourceName(#REF!,#REF!,#REF!,G173,N173,O173,P173,Q173,S173,T173,V173,A173))),""), "-",""))</f>
        <v/>
      </c>
      <c r="L173" s="3" t="str">
        <f xml:space="preserve"> IF(K173="","",  IFERROR(VLOOKUP(I173,Resources!$B$1:$H$1503,5,FALSE)-LEN(K173),0))</f>
        <v/>
      </c>
      <c r="M173" s="3" t="str">
        <f>IF(K173="","",IFERROR(matches(K173,VLOOKUP(I173,Resources!$A$2:$AA$1503,16,FALSE)),FALSE))</f>
        <v/>
      </c>
      <c r="N173" s="3" t="e">
        <f>VLOOKUP(E173,Enviroments!$A$3:$D$59,1,FALSE)</f>
        <v>#N/A</v>
      </c>
      <c r="O173" s="3" t="e">
        <f>VLOOKUP(E173,Enviroments!$A$3:$D$59,2,FALSE)</f>
        <v>#N/A</v>
      </c>
      <c r="P173" s="3" t="e">
        <f>VLOOKUP(E173,Enviroments!$A$3:$D$59,3,FALSE)</f>
        <v>#N/A</v>
      </c>
      <c r="Q173" s="3" t="e">
        <f>VLOOKUP(E173,Enviroments!$A$3:$D$59,4,FALSE)</f>
        <v>#N/A</v>
      </c>
      <c r="R173" s="3" t="e">
        <f>VLOOKUP(H173,AzureRegions!$A$4:$B$1493,1,FALSE)</f>
        <v>#N/A</v>
      </c>
      <c r="S173" s="3" t="e">
        <f>VLOOKUP(H173,AzureRegions!$A$4:$B$1493,2,FALSE)</f>
        <v>#N/A</v>
      </c>
      <c r="T173" s="3" t="e">
        <f>VLOOKUP(H173,AzureRegions!$A$4:$C$1493,3,FALSE)</f>
        <v>#N/A</v>
      </c>
      <c r="U173" s="3" t="e">
        <f>VLOOKUP(I173,Resources!$A$2:$AA$1503,2,FALSE)</f>
        <v>#N/A</v>
      </c>
      <c r="V173" s="3" t="e">
        <f>VLOOKUP(I173,Resources!$A$2:$H$1503,6,FALSE)</f>
        <v>#N/A</v>
      </c>
      <c r="W173" s="3" t="str">
        <f>VLOOKUP($H$2,Casing!$A$4:$A$60,1,FALSE)</f>
        <v>Lower</v>
      </c>
      <c r="X173" s="14" t="str">
        <f t="shared" si="5"/>
        <v>001</v>
      </c>
      <c r="Y173" s="3" t="str">
        <f>IFERROR(VLOOKUP(F173,Func!$A$4:$G$1500,2,FALSE),"none")</f>
        <v>none</v>
      </c>
      <c r="Z173" s="3" t="e">
        <f>VLOOKUP(I173,Resources!$A$2:$AA$1503,18,FALSE)</f>
        <v>#N/A</v>
      </c>
      <c r="AA173" s="3" t="str">
        <f>IFERROR(VLOOKUP(B173,Orgs!$A$4:$G$1500,2,FALSE),"none")</f>
        <v>none</v>
      </c>
      <c r="AB173" s="3" t="str">
        <f>IFERROR(VLOOKUP(C173,UnitsDepts!$A$4:$G$1500,2,FALSE),"none")</f>
        <v>none</v>
      </c>
      <c r="AC173" s="3" t="str">
        <f>IFERROR(VLOOKUP(D173,ProjAppSvc!$A$4:$G$1500,2,FALSE),"none")</f>
        <v>none</v>
      </c>
    </row>
    <row r="174" spans="1:29" x14ac:dyDescent="0.45">
      <c r="A174" s="14" t="s">
        <v>23</v>
      </c>
      <c r="B174" s="14"/>
      <c r="C174" s="14"/>
      <c r="D174" s="14"/>
      <c r="H174" s="8"/>
      <c r="I174" s="3"/>
      <c r="J174" s="3" t="str">
        <f t="shared" si="6"/>
        <v/>
      </c>
      <c r="K174" s="3" t="str">
        <f>IF(ISNUMBER(SEARCH("-",V174)),IFERROR(IF($H$2="Lower", LOWER(ComputeResourceName(Z174,#REF!,#REF!,G174,N174,O174,P174,Q174,S174,T174,V174,A174)), UPPER(ComputeResourceName(Z174,#REF!,#REF!,G174,N174,O174,P174,Q174,S174,T174,V174,A174))),""),SUBSTITUTE(IFERROR(IF($H$2="Lower", LOWER(ComputeResourceName(#REF!,#REF!,#REF!,G174,N174,O174,P174,Q174,S174,T174,V174,A174)), UPPER(ComputeResourceName(#REF!,#REF!,#REF!,G174,N174,O174,P174,Q174,S174,T174,V174,A174))),""), "-",""))</f>
        <v/>
      </c>
      <c r="L174" s="3" t="str">
        <f xml:space="preserve"> IF(K174="","",  IFERROR(VLOOKUP(I174,Resources!$B$1:$H$1503,5,FALSE)-LEN(K174),0))</f>
        <v/>
      </c>
      <c r="M174" s="3" t="str">
        <f>IF(K174="","",IFERROR(matches(K174,VLOOKUP(I174,Resources!$A$2:$AA$1503,16,FALSE)),FALSE))</f>
        <v/>
      </c>
      <c r="N174" s="3" t="e">
        <f>VLOOKUP(E174,Enviroments!$A$3:$D$59,1,FALSE)</f>
        <v>#N/A</v>
      </c>
      <c r="O174" s="3" t="e">
        <f>VLOOKUP(E174,Enviroments!$A$3:$D$59,2,FALSE)</f>
        <v>#N/A</v>
      </c>
      <c r="P174" s="3" t="e">
        <f>VLOOKUP(E174,Enviroments!$A$3:$D$59,3,FALSE)</f>
        <v>#N/A</v>
      </c>
      <c r="Q174" s="3" t="e">
        <f>VLOOKUP(E174,Enviroments!$A$3:$D$59,4,FALSE)</f>
        <v>#N/A</v>
      </c>
      <c r="R174" s="3" t="e">
        <f>VLOOKUP(H174,AzureRegions!$A$4:$B$1493,1,FALSE)</f>
        <v>#N/A</v>
      </c>
      <c r="S174" s="3" t="e">
        <f>VLOOKUP(H174,AzureRegions!$A$4:$B$1493,2,FALSE)</f>
        <v>#N/A</v>
      </c>
      <c r="T174" s="3" t="e">
        <f>VLOOKUP(H174,AzureRegions!$A$4:$C$1493,3,FALSE)</f>
        <v>#N/A</v>
      </c>
      <c r="U174" s="3" t="e">
        <f>VLOOKUP(I174,Resources!$A$2:$AA$1503,2,FALSE)</f>
        <v>#N/A</v>
      </c>
      <c r="V174" s="3" t="e">
        <f>VLOOKUP(I174,Resources!$A$2:$H$1503,6,FALSE)</f>
        <v>#N/A</v>
      </c>
      <c r="W174" s="3" t="str">
        <f>VLOOKUP($H$2,Casing!$A$4:$A$60,1,FALSE)</f>
        <v>Lower</v>
      </c>
      <c r="X174" s="14" t="str">
        <f t="shared" si="5"/>
        <v>001</v>
      </c>
      <c r="Y174" s="3" t="str">
        <f>IFERROR(VLOOKUP(F174,Func!$A$4:$G$1500,2,FALSE),"none")</f>
        <v>none</v>
      </c>
      <c r="Z174" s="3" t="e">
        <f>VLOOKUP(I174,Resources!$A$2:$AA$1503,18,FALSE)</f>
        <v>#N/A</v>
      </c>
      <c r="AA174" s="3" t="str">
        <f>IFERROR(VLOOKUP(B174,Orgs!$A$4:$G$1500,2,FALSE),"none")</f>
        <v>none</v>
      </c>
      <c r="AB174" s="3" t="str">
        <f>IFERROR(VLOOKUP(C174,UnitsDepts!$A$4:$G$1500,2,FALSE),"none")</f>
        <v>none</v>
      </c>
      <c r="AC174" s="3" t="str">
        <f>IFERROR(VLOOKUP(D174,ProjAppSvc!$A$4:$G$1500,2,FALSE),"none")</f>
        <v>none</v>
      </c>
    </row>
    <row r="175" spans="1:29" x14ac:dyDescent="0.45">
      <c r="A175" s="14" t="s">
        <v>23</v>
      </c>
      <c r="B175" s="14"/>
      <c r="C175" s="14"/>
      <c r="D175" s="14"/>
      <c r="H175" s="8"/>
      <c r="I175" s="3"/>
      <c r="J175" s="3" t="str">
        <f t="shared" si="6"/>
        <v/>
      </c>
      <c r="K175" s="3" t="str">
        <f>IF(ISNUMBER(SEARCH("-",V175)),IFERROR(IF($H$2="Lower", LOWER(ComputeResourceName(Z175,#REF!,#REF!,G175,N175,O175,P175,Q175,S175,T175,V175,A175)), UPPER(ComputeResourceName(Z175,#REF!,#REF!,G175,N175,O175,P175,Q175,S175,T175,V175,A175))),""),SUBSTITUTE(IFERROR(IF($H$2="Lower", LOWER(ComputeResourceName(#REF!,#REF!,#REF!,G175,N175,O175,P175,Q175,S175,T175,V175,A175)), UPPER(ComputeResourceName(#REF!,#REF!,#REF!,G175,N175,O175,P175,Q175,S175,T175,V175,A175))),""), "-",""))</f>
        <v/>
      </c>
      <c r="L175" s="3" t="str">
        <f xml:space="preserve"> IF(K175="","",  IFERROR(VLOOKUP(I175,Resources!$B$1:$H$1503,5,FALSE)-LEN(K175),0))</f>
        <v/>
      </c>
      <c r="M175" s="3" t="str">
        <f>IF(K175="","",IFERROR(matches(K175,VLOOKUP(I175,Resources!$A$2:$AA$1503,16,FALSE)),FALSE))</f>
        <v/>
      </c>
      <c r="N175" s="3" t="e">
        <f>VLOOKUP(E175,Enviroments!$A$3:$D$59,1,FALSE)</f>
        <v>#N/A</v>
      </c>
      <c r="O175" s="3" t="e">
        <f>VLOOKUP(E175,Enviroments!$A$3:$D$59,2,FALSE)</f>
        <v>#N/A</v>
      </c>
      <c r="P175" s="3" t="e">
        <f>VLOOKUP(E175,Enviroments!$A$3:$D$59,3,FALSE)</f>
        <v>#N/A</v>
      </c>
      <c r="Q175" s="3" t="e">
        <f>VLOOKUP(E175,Enviroments!$A$3:$D$59,4,FALSE)</f>
        <v>#N/A</v>
      </c>
      <c r="R175" s="3" t="e">
        <f>VLOOKUP(H175,AzureRegions!$A$4:$B$1493,1,FALSE)</f>
        <v>#N/A</v>
      </c>
      <c r="S175" s="3" t="e">
        <f>VLOOKUP(H175,AzureRegions!$A$4:$B$1493,2,FALSE)</f>
        <v>#N/A</v>
      </c>
      <c r="T175" s="3" t="e">
        <f>VLOOKUP(H175,AzureRegions!$A$4:$C$1493,3,FALSE)</f>
        <v>#N/A</v>
      </c>
      <c r="U175" s="3" t="e">
        <f>VLOOKUP(I175,Resources!$A$2:$AA$1503,2,FALSE)</f>
        <v>#N/A</v>
      </c>
      <c r="V175" s="3" t="e">
        <f>VLOOKUP(I175,Resources!$A$2:$H$1503,6,FALSE)</f>
        <v>#N/A</v>
      </c>
      <c r="W175" s="3" t="str">
        <f>VLOOKUP($H$2,Casing!$A$4:$A$60,1,FALSE)</f>
        <v>Lower</v>
      </c>
      <c r="X175" s="14" t="str">
        <f t="shared" si="5"/>
        <v>001</v>
      </c>
      <c r="Y175" s="3" t="str">
        <f>IFERROR(VLOOKUP(F175,Func!$A$4:$G$1500,2,FALSE),"none")</f>
        <v>none</v>
      </c>
      <c r="Z175" s="3" t="e">
        <f>VLOOKUP(I175,Resources!$A$2:$AA$1503,18,FALSE)</f>
        <v>#N/A</v>
      </c>
      <c r="AA175" s="3" t="str">
        <f>IFERROR(VLOOKUP(B175,Orgs!$A$4:$G$1500,2,FALSE),"none")</f>
        <v>none</v>
      </c>
      <c r="AB175" s="3" t="str">
        <f>IFERROR(VLOOKUP(C175,UnitsDepts!$A$4:$G$1500,2,FALSE),"none")</f>
        <v>none</v>
      </c>
      <c r="AC175" s="3" t="str">
        <f>IFERROR(VLOOKUP(D175,ProjAppSvc!$A$4:$G$1500,2,FALSE),"none")</f>
        <v>none</v>
      </c>
    </row>
    <row r="176" spans="1:29" x14ac:dyDescent="0.45">
      <c r="A176" s="14" t="s">
        <v>23</v>
      </c>
      <c r="B176" s="14"/>
      <c r="C176" s="14"/>
      <c r="D176" s="14"/>
      <c r="H176" s="8"/>
      <c r="I176" s="3"/>
      <c r="J176" s="3" t="str">
        <f t="shared" si="6"/>
        <v/>
      </c>
      <c r="K176" s="3" t="str">
        <f>IF(ISNUMBER(SEARCH("-",V176)),IFERROR(IF($H$2="Lower", LOWER(ComputeResourceName(Z176,#REF!,#REF!,G176,N176,O176,P176,Q176,S176,T176,V176,A176)), UPPER(ComputeResourceName(Z176,#REF!,#REF!,G176,N176,O176,P176,Q176,S176,T176,V176,A176))),""),SUBSTITUTE(IFERROR(IF($H$2="Lower", LOWER(ComputeResourceName(#REF!,#REF!,#REF!,G176,N176,O176,P176,Q176,S176,T176,V176,A176)), UPPER(ComputeResourceName(#REF!,#REF!,#REF!,G176,N176,O176,P176,Q176,S176,T176,V176,A176))),""), "-",""))</f>
        <v/>
      </c>
      <c r="L176" s="3" t="str">
        <f xml:space="preserve"> IF(K176="","",  IFERROR(VLOOKUP(I176,Resources!$B$1:$H$1503,5,FALSE)-LEN(K176),0))</f>
        <v/>
      </c>
      <c r="M176" s="3" t="str">
        <f>IF(K176="","",IFERROR(matches(K176,VLOOKUP(I176,Resources!$A$2:$AA$1503,16,FALSE)),FALSE))</f>
        <v/>
      </c>
      <c r="N176" s="3" t="e">
        <f>VLOOKUP(E176,Enviroments!$A$3:$D$59,1,FALSE)</f>
        <v>#N/A</v>
      </c>
      <c r="O176" s="3" t="e">
        <f>VLOOKUP(E176,Enviroments!$A$3:$D$59,2,FALSE)</f>
        <v>#N/A</v>
      </c>
      <c r="P176" s="3" t="e">
        <f>VLOOKUP(E176,Enviroments!$A$3:$D$59,3,FALSE)</f>
        <v>#N/A</v>
      </c>
      <c r="Q176" s="3" t="e">
        <f>VLOOKUP(E176,Enviroments!$A$3:$D$59,4,FALSE)</f>
        <v>#N/A</v>
      </c>
      <c r="R176" s="3" t="e">
        <f>VLOOKUP(H176,AzureRegions!$A$4:$B$1493,1,FALSE)</f>
        <v>#N/A</v>
      </c>
      <c r="S176" s="3" t="e">
        <f>VLOOKUP(H176,AzureRegions!$A$4:$B$1493,2,FALSE)</f>
        <v>#N/A</v>
      </c>
      <c r="T176" s="3" t="e">
        <f>VLOOKUP(H176,AzureRegions!$A$4:$C$1493,3,FALSE)</f>
        <v>#N/A</v>
      </c>
      <c r="U176" s="3" t="e">
        <f>VLOOKUP(I176,Resources!$A$2:$AA$1503,2,FALSE)</f>
        <v>#N/A</v>
      </c>
      <c r="V176" s="3" t="e">
        <f>VLOOKUP(I176,Resources!$A$2:$H$1503,6,FALSE)</f>
        <v>#N/A</v>
      </c>
      <c r="W176" s="3" t="str">
        <f>VLOOKUP($H$2,Casing!$A$4:$A$60,1,FALSE)</f>
        <v>Lower</v>
      </c>
      <c r="X176" s="14" t="str">
        <f t="shared" si="5"/>
        <v>001</v>
      </c>
      <c r="Y176" s="3" t="str">
        <f>IFERROR(VLOOKUP(F176,Func!$A$4:$G$1500,2,FALSE),"none")</f>
        <v>none</v>
      </c>
      <c r="Z176" s="3" t="e">
        <f>VLOOKUP(I176,Resources!$A$2:$AA$1503,18,FALSE)</f>
        <v>#N/A</v>
      </c>
      <c r="AA176" s="3" t="str">
        <f>IFERROR(VLOOKUP(B176,Orgs!$A$4:$G$1500,2,FALSE),"none")</f>
        <v>none</v>
      </c>
      <c r="AB176" s="3" t="str">
        <f>IFERROR(VLOOKUP(C176,UnitsDepts!$A$4:$G$1500,2,FALSE),"none")</f>
        <v>none</v>
      </c>
      <c r="AC176" s="3" t="str">
        <f>IFERROR(VLOOKUP(D176,ProjAppSvc!$A$4:$G$1500,2,FALSE),"none")</f>
        <v>none</v>
      </c>
    </row>
    <row r="177" spans="1:29" x14ac:dyDescent="0.45">
      <c r="A177" s="14" t="s">
        <v>23</v>
      </c>
      <c r="B177" s="14"/>
      <c r="C177" s="14"/>
      <c r="D177" s="14"/>
      <c r="H177" s="8"/>
      <c r="I177" s="3"/>
      <c r="J177" s="3" t="str">
        <f t="shared" si="6"/>
        <v/>
      </c>
      <c r="K177" s="3" t="str">
        <f>IF(ISNUMBER(SEARCH("-",V177)),IFERROR(IF($H$2="Lower", LOWER(ComputeResourceName(Z177,#REF!,#REF!,G177,N177,O177,P177,Q177,S177,T177,V177,A177)), UPPER(ComputeResourceName(Z177,#REF!,#REF!,G177,N177,O177,P177,Q177,S177,T177,V177,A177))),""),SUBSTITUTE(IFERROR(IF($H$2="Lower", LOWER(ComputeResourceName(#REF!,#REF!,#REF!,G177,N177,O177,P177,Q177,S177,T177,V177,A177)), UPPER(ComputeResourceName(#REF!,#REF!,#REF!,G177,N177,O177,P177,Q177,S177,T177,V177,A177))),""), "-",""))</f>
        <v/>
      </c>
      <c r="L177" s="3" t="str">
        <f xml:space="preserve"> IF(K177="","",  IFERROR(VLOOKUP(I177,Resources!$B$1:$H$1503,5,FALSE)-LEN(K177),0))</f>
        <v/>
      </c>
      <c r="M177" s="3" t="str">
        <f>IF(K177="","",IFERROR(matches(K177,VLOOKUP(I177,Resources!$A$2:$AA$1503,16,FALSE)),FALSE))</f>
        <v/>
      </c>
      <c r="N177" s="3" t="e">
        <f>VLOOKUP(E177,Enviroments!$A$3:$D$59,1,FALSE)</f>
        <v>#N/A</v>
      </c>
      <c r="O177" s="3" t="e">
        <f>VLOOKUP(E177,Enviroments!$A$3:$D$59,2,FALSE)</f>
        <v>#N/A</v>
      </c>
      <c r="P177" s="3" t="e">
        <f>VLOOKUP(E177,Enviroments!$A$3:$D$59,3,FALSE)</f>
        <v>#N/A</v>
      </c>
      <c r="Q177" s="3" t="e">
        <f>VLOOKUP(E177,Enviroments!$A$3:$D$59,4,FALSE)</f>
        <v>#N/A</v>
      </c>
      <c r="R177" s="3" t="e">
        <f>VLOOKUP(H177,AzureRegions!$A$4:$B$1493,1,FALSE)</f>
        <v>#N/A</v>
      </c>
      <c r="S177" s="3" t="e">
        <f>VLOOKUP(H177,AzureRegions!$A$4:$B$1493,2,FALSE)</f>
        <v>#N/A</v>
      </c>
      <c r="T177" s="3" t="e">
        <f>VLOOKUP(H177,AzureRegions!$A$4:$C$1493,3,FALSE)</f>
        <v>#N/A</v>
      </c>
      <c r="U177" s="3" t="e">
        <f>VLOOKUP(I177,Resources!$A$2:$AA$1503,2,FALSE)</f>
        <v>#N/A</v>
      </c>
      <c r="V177" s="3" t="e">
        <f>VLOOKUP(I177,Resources!$A$2:$H$1503,6,FALSE)</f>
        <v>#N/A</v>
      </c>
      <c r="W177" s="3" t="str">
        <f>VLOOKUP($H$2,Casing!$A$4:$A$60,1,FALSE)</f>
        <v>Lower</v>
      </c>
      <c r="X177" s="14" t="str">
        <f t="shared" si="5"/>
        <v>001</v>
      </c>
      <c r="Y177" s="3" t="str">
        <f>IFERROR(VLOOKUP(F177,Func!$A$4:$G$1500,2,FALSE),"none")</f>
        <v>none</v>
      </c>
      <c r="Z177" s="3" t="e">
        <f>VLOOKUP(I177,Resources!$A$2:$AA$1503,18,FALSE)</f>
        <v>#N/A</v>
      </c>
      <c r="AA177" s="3" t="str">
        <f>IFERROR(VLOOKUP(B177,Orgs!$A$4:$G$1500,2,FALSE),"none")</f>
        <v>none</v>
      </c>
      <c r="AB177" s="3" t="str">
        <f>IFERROR(VLOOKUP(C177,UnitsDepts!$A$4:$G$1500,2,FALSE),"none")</f>
        <v>none</v>
      </c>
      <c r="AC177" s="3" t="str">
        <f>IFERROR(VLOOKUP(D177,ProjAppSvc!$A$4:$G$1500,2,FALSE),"none")</f>
        <v>none</v>
      </c>
    </row>
    <row r="178" spans="1:29" x14ac:dyDescent="0.45">
      <c r="A178" s="14" t="s">
        <v>23</v>
      </c>
      <c r="B178" s="14"/>
      <c r="C178" s="14"/>
      <c r="D178" s="14"/>
      <c r="H178" s="8"/>
      <c r="I178" s="3"/>
      <c r="J178" s="3" t="str">
        <f t="shared" si="6"/>
        <v/>
      </c>
      <c r="K178" s="3" t="str">
        <f>IF(ISNUMBER(SEARCH("-",V178)),IFERROR(IF($H$2="Lower", LOWER(ComputeResourceName(Z178,#REF!,#REF!,G178,N178,O178,P178,Q178,S178,T178,V178,A178)), UPPER(ComputeResourceName(Z178,#REF!,#REF!,G178,N178,O178,P178,Q178,S178,T178,V178,A178))),""),SUBSTITUTE(IFERROR(IF($H$2="Lower", LOWER(ComputeResourceName(#REF!,#REF!,#REF!,G178,N178,O178,P178,Q178,S178,T178,V178,A178)), UPPER(ComputeResourceName(#REF!,#REF!,#REF!,G178,N178,O178,P178,Q178,S178,T178,V178,A178))),""), "-",""))</f>
        <v/>
      </c>
      <c r="L178" s="3" t="str">
        <f xml:space="preserve"> IF(K178="","",  IFERROR(VLOOKUP(I178,Resources!$B$1:$H$1503,5,FALSE)-LEN(K178),0))</f>
        <v/>
      </c>
      <c r="M178" s="3" t="str">
        <f>IF(K178="","",IFERROR(matches(K178,VLOOKUP(I178,Resources!$A$2:$AA$1503,16,FALSE)),FALSE))</f>
        <v/>
      </c>
      <c r="N178" s="3" t="e">
        <f>VLOOKUP(E178,Enviroments!$A$3:$D$59,1,FALSE)</f>
        <v>#N/A</v>
      </c>
      <c r="O178" s="3" t="e">
        <f>VLOOKUP(E178,Enviroments!$A$3:$D$59,2,FALSE)</f>
        <v>#N/A</v>
      </c>
      <c r="P178" s="3" t="e">
        <f>VLOOKUP(E178,Enviroments!$A$3:$D$59,3,FALSE)</f>
        <v>#N/A</v>
      </c>
      <c r="Q178" s="3" t="e">
        <f>VLOOKUP(E178,Enviroments!$A$3:$D$59,4,FALSE)</f>
        <v>#N/A</v>
      </c>
      <c r="R178" s="3" t="e">
        <f>VLOOKUP(H178,AzureRegions!$A$4:$B$1493,1,FALSE)</f>
        <v>#N/A</v>
      </c>
      <c r="S178" s="3" t="e">
        <f>VLOOKUP(H178,AzureRegions!$A$4:$B$1493,2,FALSE)</f>
        <v>#N/A</v>
      </c>
      <c r="T178" s="3" t="e">
        <f>VLOOKUP(H178,AzureRegions!$A$4:$C$1493,3,FALSE)</f>
        <v>#N/A</v>
      </c>
      <c r="U178" s="3" t="e">
        <f>VLOOKUP(I178,Resources!$A$2:$AA$1503,2,FALSE)</f>
        <v>#N/A</v>
      </c>
      <c r="V178" s="3" t="e">
        <f>VLOOKUP(I178,Resources!$A$2:$H$1503,6,FALSE)</f>
        <v>#N/A</v>
      </c>
      <c r="W178" s="3" t="str">
        <f>VLOOKUP($H$2,Casing!$A$4:$A$60,1,FALSE)</f>
        <v>Lower</v>
      </c>
      <c r="X178" s="14" t="str">
        <f t="shared" si="5"/>
        <v>001</v>
      </c>
      <c r="Y178" s="3" t="str">
        <f>IFERROR(VLOOKUP(F178,Func!$A$4:$G$1500,2,FALSE),"none")</f>
        <v>none</v>
      </c>
      <c r="Z178" s="3" t="e">
        <f>VLOOKUP(I178,Resources!$A$2:$AA$1503,18,FALSE)</f>
        <v>#N/A</v>
      </c>
      <c r="AA178" s="3" t="str">
        <f>IFERROR(VLOOKUP(B178,Orgs!$A$4:$G$1500,2,FALSE),"none")</f>
        <v>none</v>
      </c>
      <c r="AB178" s="3" t="str">
        <f>IFERROR(VLOOKUP(C178,UnitsDepts!$A$4:$G$1500,2,FALSE),"none")</f>
        <v>none</v>
      </c>
      <c r="AC178" s="3" t="str">
        <f>IFERROR(VLOOKUP(D178,ProjAppSvc!$A$4:$G$1500,2,FALSE),"none")</f>
        <v>none</v>
      </c>
    </row>
    <row r="179" spans="1:29" x14ac:dyDescent="0.45">
      <c r="A179" s="14" t="s">
        <v>23</v>
      </c>
      <c r="B179" s="14"/>
      <c r="C179" s="14"/>
      <c r="D179" s="14"/>
      <c r="H179" s="8"/>
      <c r="I179" s="3"/>
      <c r="J179" s="3" t="str">
        <f t="shared" si="6"/>
        <v/>
      </c>
      <c r="K179" s="3" t="str">
        <f>IF(ISNUMBER(SEARCH("-",V179)),IFERROR(IF($H$2="Lower", LOWER(ComputeResourceName(Z179,#REF!,#REF!,G179,N179,O179,P179,Q179,S179,T179,V179,A179)), UPPER(ComputeResourceName(Z179,#REF!,#REF!,G179,N179,O179,P179,Q179,S179,T179,V179,A179))),""),SUBSTITUTE(IFERROR(IF($H$2="Lower", LOWER(ComputeResourceName(#REF!,#REF!,#REF!,G179,N179,O179,P179,Q179,S179,T179,V179,A179)), UPPER(ComputeResourceName(#REF!,#REF!,#REF!,G179,N179,O179,P179,Q179,S179,T179,V179,A179))),""), "-",""))</f>
        <v/>
      </c>
      <c r="L179" s="3" t="str">
        <f xml:space="preserve"> IF(K179="","",  IFERROR(VLOOKUP(I179,Resources!$B$1:$H$1503,5,FALSE)-LEN(K179),0))</f>
        <v/>
      </c>
      <c r="M179" s="3" t="str">
        <f>IF(K179="","",IFERROR(matches(K179,VLOOKUP(I179,Resources!$A$2:$AA$1503,16,FALSE)),FALSE))</f>
        <v/>
      </c>
      <c r="N179" s="3" t="e">
        <f>VLOOKUP(E179,Enviroments!$A$3:$D$59,1,FALSE)</f>
        <v>#N/A</v>
      </c>
      <c r="O179" s="3" t="e">
        <f>VLOOKUP(E179,Enviroments!$A$3:$D$59,2,FALSE)</f>
        <v>#N/A</v>
      </c>
      <c r="P179" s="3" t="e">
        <f>VLOOKUP(E179,Enviroments!$A$3:$D$59,3,FALSE)</f>
        <v>#N/A</v>
      </c>
      <c r="Q179" s="3" t="e">
        <f>VLOOKUP(E179,Enviroments!$A$3:$D$59,4,FALSE)</f>
        <v>#N/A</v>
      </c>
      <c r="R179" s="3" t="e">
        <f>VLOOKUP(H179,AzureRegions!$A$4:$B$1493,1,FALSE)</f>
        <v>#N/A</v>
      </c>
      <c r="S179" s="3" t="e">
        <f>VLOOKUP(H179,AzureRegions!$A$4:$B$1493,2,FALSE)</f>
        <v>#N/A</v>
      </c>
      <c r="T179" s="3" t="e">
        <f>VLOOKUP(H179,AzureRegions!$A$4:$C$1493,3,FALSE)</f>
        <v>#N/A</v>
      </c>
      <c r="U179" s="3" t="e">
        <f>VLOOKUP(I179,Resources!$A$2:$AA$1503,2,FALSE)</f>
        <v>#N/A</v>
      </c>
      <c r="V179" s="3" t="e">
        <f>VLOOKUP(I179,Resources!$A$2:$H$1503,6,FALSE)</f>
        <v>#N/A</v>
      </c>
      <c r="W179" s="3" t="str">
        <f>VLOOKUP($H$2,Casing!$A$4:$A$60,1,FALSE)</f>
        <v>Lower</v>
      </c>
      <c r="X179" s="14" t="str">
        <f t="shared" si="5"/>
        <v>001</v>
      </c>
      <c r="Y179" s="3" t="str">
        <f>IFERROR(VLOOKUP(F179,Func!$A$4:$G$1500,2,FALSE),"none")</f>
        <v>none</v>
      </c>
      <c r="Z179" s="3" t="e">
        <f>VLOOKUP(I179,Resources!$A$2:$AA$1503,18,FALSE)</f>
        <v>#N/A</v>
      </c>
      <c r="AA179" s="3" t="str">
        <f>IFERROR(VLOOKUP(B179,Orgs!$A$4:$G$1500,2,FALSE),"none")</f>
        <v>none</v>
      </c>
      <c r="AB179" s="3" t="str">
        <f>IFERROR(VLOOKUP(C179,UnitsDepts!$A$4:$G$1500,2,FALSE),"none")</f>
        <v>none</v>
      </c>
      <c r="AC179" s="3" t="str">
        <f>IFERROR(VLOOKUP(D179,ProjAppSvc!$A$4:$G$1500,2,FALSE),"none")</f>
        <v>none</v>
      </c>
    </row>
    <row r="180" spans="1:29" x14ac:dyDescent="0.45">
      <c r="A180" s="14" t="s">
        <v>23</v>
      </c>
      <c r="B180" s="14"/>
      <c r="C180" s="14"/>
      <c r="D180" s="14"/>
      <c r="H180" s="8"/>
      <c r="I180" s="3"/>
      <c r="J180" s="3" t="str">
        <f t="shared" si="6"/>
        <v/>
      </c>
      <c r="K180" s="3" t="str">
        <f>IF(ISNUMBER(SEARCH("-",V180)),IFERROR(IF($H$2="Lower", LOWER(ComputeResourceName(Z180,#REF!,#REF!,G180,N180,O180,P180,Q180,S180,T180,V180,A180)), UPPER(ComputeResourceName(Z180,#REF!,#REF!,G180,N180,O180,P180,Q180,S180,T180,V180,A180))),""),SUBSTITUTE(IFERROR(IF($H$2="Lower", LOWER(ComputeResourceName(#REF!,#REF!,#REF!,G180,N180,O180,P180,Q180,S180,T180,V180,A180)), UPPER(ComputeResourceName(#REF!,#REF!,#REF!,G180,N180,O180,P180,Q180,S180,T180,V180,A180))),""), "-",""))</f>
        <v/>
      </c>
      <c r="L180" s="3" t="str">
        <f xml:space="preserve"> IF(K180="","",  IFERROR(VLOOKUP(I180,Resources!$B$1:$H$1503,5,FALSE)-LEN(K180),0))</f>
        <v/>
      </c>
      <c r="M180" s="3" t="str">
        <f>IF(K180="","",IFERROR(matches(K180,VLOOKUP(I180,Resources!$A$2:$AA$1503,16,FALSE)),FALSE))</f>
        <v/>
      </c>
      <c r="N180" s="3" t="e">
        <f>VLOOKUP(E180,Enviroments!$A$3:$D$59,1,FALSE)</f>
        <v>#N/A</v>
      </c>
      <c r="O180" s="3" t="e">
        <f>VLOOKUP(E180,Enviroments!$A$3:$D$59,2,FALSE)</f>
        <v>#N/A</v>
      </c>
      <c r="P180" s="3" t="e">
        <f>VLOOKUP(E180,Enviroments!$A$3:$D$59,3,FALSE)</f>
        <v>#N/A</v>
      </c>
      <c r="Q180" s="3" t="e">
        <f>VLOOKUP(E180,Enviroments!$A$3:$D$59,4,FALSE)</f>
        <v>#N/A</v>
      </c>
      <c r="R180" s="3" t="e">
        <f>VLOOKUP(H180,AzureRegions!$A$4:$B$1493,1,FALSE)</f>
        <v>#N/A</v>
      </c>
      <c r="S180" s="3" t="e">
        <f>VLOOKUP(H180,AzureRegions!$A$4:$B$1493,2,FALSE)</f>
        <v>#N/A</v>
      </c>
      <c r="T180" s="3" t="e">
        <f>VLOOKUP(H180,AzureRegions!$A$4:$C$1493,3,FALSE)</f>
        <v>#N/A</v>
      </c>
      <c r="U180" s="3" t="e">
        <f>VLOOKUP(I180,Resources!$A$2:$AA$1503,2,FALSE)</f>
        <v>#N/A</v>
      </c>
      <c r="V180" s="3" t="e">
        <f>VLOOKUP(I180,Resources!$A$2:$H$1503,6,FALSE)</f>
        <v>#N/A</v>
      </c>
      <c r="W180" s="3" t="str">
        <f>VLOOKUP($H$2,Casing!$A$4:$A$60,1,FALSE)</f>
        <v>Lower</v>
      </c>
      <c r="X180" s="14" t="str">
        <f t="shared" si="5"/>
        <v>001</v>
      </c>
      <c r="Y180" s="3" t="str">
        <f>IFERROR(VLOOKUP(F180,Func!$A$4:$G$1500,2,FALSE),"none")</f>
        <v>none</v>
      </c>
      <c r="Z180" s="3" t="e">
        <f>VLOOKUP(I180,Resources!$A$2:$AA$1503,18,FALSE)</f>
        <v>#N/A</v>
      </c>
      <c r="AA180" s="3" t="str">
        <f>IFERROR(VLOOKUP(B180,Orgs!$A$4:$G$1500,2,FALSE),"none")</f>
        <v>none</v>
      </c>
      <c r="AB180" s="3" t="str">
        <f>IFERROR(VLOOKUP(C180,UnitsDepts!$A$4:$G$1500,2,FALSE),"none")</f>
        <v>none</v>
      </c>
      <c r="AC180" s="3" t="str">
        <f>IFERROR(VLOOKUP(D180,ProjAppSvc!$A$4:$G$1500,2,FALSE),"none")</f>
        <v>none</v>
      </c>
    </row>
    <row r="181" spans="1:29" x14ac:dyDescent="0.45">
      <c r="A181" s="14" t="s">
        <v>23</v>
      </c>
      <c r="B181" s="14"/>
      <c r="C181" s="14"/>
      <c r="D181" s="14"/>
      <c r="H181" s="8"/>
      <c r="I181" s="3"/>
      <c r="J181" s="3" t="str">
        <f t="shared" si="6"/>
        <v/>
      </c>
      <c r="K181" s="3" t="str">
        <f>IF(ISNUMBER(SEARCH("-",V181)),IFERROR(IF($H$2="Lower", LOWER(ComputeResourceName(Z181,#REF!,#REF!,G181,N181,O181,P181,Q181,S181,T181,V181,A181)), UPPER(ComputeResourceName(Z181,#REF!,#REF!,G181,N181,O181,P181,Q181,S181,T181,V181,A181))),""),SUBSTITUTE(IFERROR(IF($H$2="Lower", LOWER(ComputeResourceName(#REF!,#REF!,#REF!,G181,N181,O181,P181,Q181,S181,T181,V181,A181)), UPPER(ComputeResourceName(#REF!,#REF!,#REF!,G181,N181,O181,P181,Q181,S181,T181,V181,A181))),""), "-",""))</f>
        <v/>
      </c>
      <c r="L181" s="3" t="str">
        <f xml:space="preserve"> IF(K181="","",  IFERROR(VLOOKUP(I181,Resources!$B$1:$H$1503,5,FALSE)-LEN(K181),0))</f>
        <v/>
      </c>
      <c r="M181" s="3" t="str">
        <f>IF(K181="","",IFERROR(matches(K181,VLOOKUP(I181,Resources!$A$2:$AA$1503,16,FALSE)),FALSE))</f>
        <v/>
      </c>
      <c r="N181" s="3" t="e">
        <f>VLOOKUP(E181,Enviroments!$A$3:$D$59,1,FALSE)</f>
        <v>#N/A</v>
      </c>
      <c r="O181" s="3" t="e">
        <f>VLOOKUP(E181,Enviroments!$A$3:$D$59,2,FALSE)</f>
        <v>#N/A</v>
      </c>
      <c r="P181" s="3" t="e">
        <f>VLOOKUP(E181,Enviroments!$A$3:$D$59,3,FALSE)</f>
        <v>#N/A</v>
      </c>
      <c r="Q181" s="3" t="e">
        <f>VLOOKUP(E181,Enviroments!$A$3:$D$59,4,FALSE)</f>
        <v>#N/A</v>
      </c>
      <c r="R181" s="3" t="e">
        <f>VLOOKUP(H181,AzureRegions!$A$4:$B$1493,1,FALSE)</f>
        <v>#N/A</v>
      </c>
      <c r="S181" s="3" t="e">
        <f>VLOOKUP(H181,AzureRegions!$A$4:$B$1493,2,FALSE)</f>
        <v>#N/A</v>
      </c>
      <c r="T181" s="3" t="e">
        <f>VLOOKUP(H181,AzureRegions!$A$4:$C$1493,3,FALSE)</f>
        <v>#N/A</v>
      </c>
      <c r="U181" s="3" t="e">
        <f>VLOOKUP(I181,Resources!$A$2:$AA$1503,2,FALSE)</f>
        <v>#N/A</v>
      </c>
      <c r="V181" s="3" t="e">
        <f>VLOOKUP(I181,Resources!$A$2:$H$1503,6,FALSE)</f>
        <v>#N/A</v>
      </c>
      <c r="W181" s="3" t="str">
        <f>VLOOKUP($H$2,Casing!$A$4:$A$60,1,FALSE)</f>
        <v>Lower</v>
      </c>
      <c r="X181" s="14" t="str">
        <f t="shared" si="5"/>
        <v>001</v>
      </c>
      <c r="Y181" s="3" t="str">
        <f>IFERROR(VLOOKUP(F181,Func!$A$4:$G$1500,2,FALSE),"none")</f>
        <v>none</v>
      </c>
      <c r="Z181" s="3" t="e">
        <f>VLOOKUP(I181,Resources!$A$2:$AA$1503,18,FALSE)</f>
        <v>#N/A</v>
      </c>
      <c r="AA181" s="3" t="str">
        <f>IFERROR(VLOOKUP(B181,Orgs!$A$4:$G$1500,2,FALSE),"none")</f>
        <v>none</v>
      </c>
      <c r="AB181" s="3" t="str">
        <f>IFERROR(VLOOKUP(C181,UnitsDepts!$A$4:$G$1500,2,FALSE),"none")</f>
        <v>none</v>
      </c>
      <c r="AC181" s="3" t="str">
        <f>IFERROR(VLOOKUP(D181,ProjAppSvc!$A$4:$G$1500,2,FALSE),"none")</f>
        <v>none</v>
      </c>
    </row>
    <row r="182" spans="1:29" x14ac:dyDescent="0.45">
      <c r="A182" s="14" t="s">
        <v>23</v>
      </c>
      <c r="B182" s="14"/>
      <c r="C182" s="14"/>
      <c r="D182" s="14"/>
      <c r="H182" s="8"/>
      <c r="I182" s="3"/>
      <c r="J182" s="3" t="str">
        <f t="shared" si="6"/>
        <v/>
      </c>
      <c r="K182" s="3" t="str">
        <f>IF(ISNUMBER(SEARCH("-",V182)),IFERROR(IF($H$2="Lower", LOWER(ComputeResourceName(Z182,#REF!,#REF!,G182,N182,O182,P182,Q182,S182,T182,V182,A182)), UPPER(ComputeResourceName(Z182,#REF!,#REF!,G182,N182,O182,P182,Q182,S182,T182,V182,A182))),""),SUBSTITUTE(IFERROR(IF($H$2="Lower", LOWER(ComputeResourceName(#REF!,#REF!,#REF!,G182,N182,O182,P182,Q182,S182,T182,V182,A182)), UPPER(ComputeResourceName(#REF!,#REF!,#REF!,G182,N182,O182,P182,Q182,S182,T182,V182,A182))),""), "-",""))</f>
        <v/>
      </c>
      <c r="L182" s="3" t="str">
        <f xml:space="preserve"> IF(K182="","",  IFERROR(VLOOKUP(I182,Resources!$B$1:$H$1503,5,FALSE)-LEN(K182),0))</f>
        <v/>
      </c>
      <c r="M182" s="3" t="str">
        <f>IF(K182="","",IFERROR(matches(K182,VLOOKUP(I182,Resources!$A$2:$AA$1503,16,FALSE)),FALSE))</f>
        <v/>
      </c>
      <c r="N182" s="3" t="e">
        <f>VLOOKUP(E182,Enviroments!$A$3:$D$59,1,FALSE)</f>
        <v>#N/A</v>
      </c>
      <c r="O182" s="3" t="e">
        <f>VLOOKUP(E182,Enviroments!$A$3:$D$59,2,FALSE)</f>
        <v>#N/A</v>
      </c>
      <c r="P182" s="3" t="e">
        <f>VLOOKUP(E182,Enviroments!$A$3:$D$59,3,FALSE)</f>
        <v>#N/A</v>
      </c>
      <c r="Q182" s="3" t="e">
        <f>VLOOKUP(E182,Enviroments!$A$3:$D$59,4,FALSE)</f>
        <v>#N/A</v>
      </c>
      <c r="R182" s="3" t="e">
        <f>VLOOKUP(H182,AzureRegions!$A$4:$B$1493,1,FALSE)</f>
        <v>#N/A</v>
      </c>
      <c r="S182" s="3" t="e">
        <f>VLOOKUP(H182,AzureRegions!$A$4:$B$1493,2,FALSE)</f>
        <v>#N/A</v>
      </c>
      <c r="T182" s="3" t="e">
        <f>VLOOKUP(H182,AzureRegions!$A$4:$C$1493,3,FALSE)</f>
        <v>#N/A</v>
      </c>
      <c r="U182" s="3" t="e">
        <f>VLOOKUP(I182,Resources!$A$2:$AA$1503,2,FALSE)</f>
        <v>#N/A</v>
      </c>
      <c r="V182" s="3" t="e">
        <f>VLOOKUP(I182,Resources!$A$2:$H$1503,6,FALSE)</f>
        <v>#N/A</v>
      </c>
      <c r="W182" s="3" t="str">
        <f>VLOOKUP($H$2,Casing!$A$4:$A$60,1,FALSE)</f>
        <v>Lower</v>
      </c>
      <c r="X182" s="14" t="str">
        <f t="shared" si="5"/>
        <v>001</v>
      </c>
      <c r="Y182" s="3" t="str">
        <f>IFERROR(VLOOKUP(F182,Func!$A$4:$G$1500,2,FALSE),"none")</f>
        <v>none</v>
      </c>
      <c r="Z182" s="3" t="e">
        <f>VLOOKUP(I182,Resources!$A$2:$AA$1503,18,FALSE)</f>
        <v>#N/A</v>
      </c>
      <c r="AA182" s="3" t="str">
        <f>IFERROR(VLOOKUP(B182,Orgs!$A$4:$G$1500,2,FALSE),"none")</f>
        <v>none</v>
      </c>
      <c r="AB182" s="3" t="str">
        <f>IFERROR(VLOOKUP(C182,UnitsDepts!$A$4:$G$1500,2,FALSE),"none")</f>
        <v>none</v>
      </c>
      <c r="AC182" s="3" t="str">
        <f>IFERROR(VLOOKUP(D182,ProjAppSvc!$A$4:$G$1500,2,FALSE),"none")</f>
        <v>none</v>
      </c>
    </row>
    <row r="183" spans="1:29" x14ac:dyDescent="0.45">
      <c r="A183" s="14" t="s">
        <v>23</v>
      </c>
      <c r="B183" s="14"/>
      <c r="C183" s="14"/>
      <c r="D183" s="14"/>
      <c r="H183" s="8"/>
      <c r="I183" s="3"/>
      <c r="J183" s="3" t="str">
        <f t="shared" si="6"/>
        <v/>
      </c>
      <c r="K183" s="3" t="str">
        <f>IF(ISNUMBER(SEARCH("-",V183)),IFERROR(IF($H$2="Lower", LOWER(ComputeResourceName(Z183,#REF!,#REF!,G183,N183,O183,P183,Q183,S183,T183,V183,A183)), UPPER(ComputeResourceName(Z183,#REF!,#REF!,G183,N183,O183,P183,Q183,S183,T183,V183,A183))),""),SUBSTITUTE(IFERROR(IF($H$2="Lower", LOWER(ComputeResourceName(#REF!,#REF!,#REF!,G183,N183,O183,P183,Q183,S183,T183,V183,A183)), UPPER(ComputeResourceName(#REF!,#REF!,#REF!,G183,N183,O183,P183,Q183,S183,T183,V183,A183))),""), "-",""))</f>
        <v/>
      </c>
      <c r="L183" s="3" t="str">
        <f xml:space="preserve"> IF(K183="","",  IFERROR(VLOOKUP(I183,Resources!$B$1:$H$1503,5,FALSE)-LEN(K183),0))</f>
        <v/>
      </c>
      <c r="M183" s="3" t="str">
        <f>IF(K183="","",IFERROR(matches(K183,VLOOKUP(I183,Resources!$A$2:$AA$1503,16,FALSE)),FALSE))</f>
        <v/>
      </c>
      <c r="N183" s="3" t="e">
        <f>VLOOKUP(E183,Enviroments!$A$3:$D$59,1,FALSE)</f>
        <v>#N/A</v>
      </c>
      <c r="O183" s="3" t="e">
        <f>VLOOKUP(E183,Enviroments!$A$3:$D$59,2,FALSE)</f>
        <v>#N/A</v>
      </c>
      <c r="P183" s="3" t="e">
        <f>VLOOKUP(E183,Enviroments!$A$3:$D$59,3,FALSE)</f>
        <v>#N/A</v>
      </c>
      <c r="Q183" s="3" t="e">
        <f>VLOOKUP(E183,Enviroments!$A$3:$D$59,4,FALSE)</f>
        <v>#N/A</v>
      </c>
      <c r="R183" s="3" t="e">
        <f>VLOOKUP(H183,AzureRegions!$A$4:$B$1493,1,FALSE)</f>
        <v>#N/A</v>
      </c>
      <c r="S183" s="3" t="e">
        <f>VLOOKUP(H183,AzureRegions!$A$4:$B$1493,2,FALSE)</f>
        <v>#N/A</v>
      </c>
      <c r="T183" s="3" t="e">
        <f>VLOOKUP(H183,AzureRegions!$A$4:$C$1493,3,FALSE)</f>
        <v>#N/A</v>
      </c>
      <c r="U183" s="3" t="e">
        <f>VLOOKUP(I183,Resources!$A$2:$AA$1503,2,FALSE)</f>
        <v>#N/A</v>
      </c>
      <c r="V183" s="3" t="e">
        <f>VLOOKUP(I183,Resources!$A$2:$H$1503,6,FALSE)</f>
        <v>#N/A</v>
      </c>
      <c r="W183" s="3" t="str">
        <f>VLOOKUP($H$2,Casing!$A$4:$A$60,1,FALSE)</f>
        <v>Lower</v>
      </c>
      <c r="X183" s="14" t="str">
        <f t="shared" si="5"/>
        <v>001</v>
      </c>
      <c r="Y183" s="3" t="str">
        <f>IFERROR(VLOOKUP(F183,Func!$A$4:$G$1500,2,FALSE),"none")</f>
        <v>none</v>
      </c>
      <c r="Z183" s="3" t="e">
        <f>VLOOKUP(I183,Resources!$A$2:$AA$1503,18,FALSE)</f>
        <v>#N/A</v>
      </c>
      <c r="AA183" s="3" t="str">
        <f>IFERROR(VLOOKUP(B183,Orgs!$A$4:$G$1500,2,FALSE),"none")</f>
        <v>none</v>
      </c>
      <c r="AB183" s="3" t="str">
        <f>IFERROR(VLOOKUP(C183,UnitsDepts!$A$4:$G$1500,2,FALSE),"none")</f>
        <v>none</v>
      </c>
      <c r="AC183" s="3" t="str">
        <f>IFERROR(VLOOKUP(D183,ProjAppSvc!$A$4:$G$1500,2,FALSE),"none")</f>
        <v>none</v>
      </c>
    </row>
    <row r="184" spans="1:29" x14ac:dyDescent="0.45">
      <c r="A184" s="14" t="s">
        <v>23</v>
      </c>
      <c r="B184" s="14"/>
      <c r="C184" s="14"/>
      <c r="D184" s="14"/>
      <c r="H184" s="8"/>
      <c r="I184" s="3"/>
      <c r="J184" s="3" t="str">
        <f t="shared" si="6"/>
        <v/>
      </c>
      <c r="K184" s="3" t="str">
        <f>IF(ISNUMBER(SEARCH("-",V184)),IFERROR(IF($H$2="Lower", LOWER(ComputeResourceName(Z184,#REF!,#REF!,G184,N184,O184,P184,Q184,S184,T184,V184,A184)), UPPER(ComputeResourceName(Z184,#REF!,#REF!,G184,N184,O184,P184,Q184,S184,T184,V184,A184))),""),SUBSTITUTE(IFERROR(IF($H$2="Lower", LOWER(ComputeResourceName(#REF!,#REF!,#REF!,G184,N184,O184,P184,Q184,S184,T184,V184,A184)), UPPER(ComputeResourceName(#REF!,#REF!,#REF!,G184,N184,O184,P184,Q184,S184,T184,V184,A184))),""), "-",""))</f>
        <v/>
      </c>
      <c r="L184" s="3" t="str">
        <f xml:space="preserve"> IF(K184="","",  IFERROR(VLOOKUP(I184,Resources!$B$1:$H$1503,5,FALSE)-LEN(K184),0))</f>
        <v/>
      </c>
      <c r="M184" s="3" t="str">
        <f>IF(K184="","",IFERROR(matches(K184,VLOOKUP(I184,Resources!$A$2:$AA$1503,16,FALSE)),FALSE))</f>
        <v/>
      </c>
      <c r="N184" s="3" t="e">
        <f>VLOOKUP(E184,Enviroments!$A$3:$D$59,1,FALSE)</f>
        <v>#N/A</v>
      </c>
      <c r="O184" s="3" t="e">
        <f>VLOOKUP(E184,Enviroments!$A$3:$D$59,2,FALSE)</f>
        <v>#N/A</v>
      </c>
      <c r="P184" s="3" t="e">
        <f>VLOOKUP(E184,Enviroments!$A$3:$D$59,3,FALSE)</f>
        <v>#N/A</v>
      </c>
      <c r="Q184" s="3" t="e">
        <f>VLOOKUP(E184,Enviroments!$A$3:$D$59,4,FALSE)</f>
        <v>#N/A</v>
      </c>
      <c r="R184" s="3" t="e">
        <f>VLOOKUP(H184,AzureRegions!$A$4:$B$1493,1,FALSE)</f>
        <v>#N/A</v>
      </c>
      <c r="S184" s="3" t="e">
        <f>VLOOKUP(H184,AzureRegions!$A$4:$B$1493,2,FALSE)</f>
        <v>#N/A</v>
      </c>
      <c r="T184" s="3" t="e">
        <f>VLOOKUP(H184,AzureRegions!$A$4:$C$1493,3,FALSE)</f>
        <v>#N/A</v>
      </c>
      <c r="U184" s="3" t="e">
        <f>VLOOKUP(I184,Resources!$A$2:$AA$1503,2,FALSE)</f>
        <v>#N/A</v>
      </c>
      <c r="V184" s="3" t="e">
        <f>VLOOKUP(I184,Resources!$A$2:$H$1503,6,FALSE)</f>
        <v>#N/A</v>
      </c>
      <c r="W184" s="3" t="str">
        <f>VLOOKUP($H$2,Casing!$A$4:$A$60,1,FALSE)</f>
        <v>Lower</v>
      </c>
      <c r="X184" s="14" t="str">
        <f t="shared" si="5"/>
        <v>001</v>
      </c>
      <c r="Y184" s="3" t="str">
        <f>IFERROR(VLOOKUP(F184,Func!$A$4:$G$1500,2,FALSE),"none")</f>
        <v>none</v>
      </c>
      <c r="Z184" s="3" t="e">
        <f>VLOOKUP(I184,Resources!$A$2:$AA$1503,18,FALSE)</f>
        <v>#N/A</v>
      </c>
      <c r="AA184" s="3" t="str">
        <f>IFERROR(VLOOKUP(B184,Orgs!$A$4:$G$1500,2,FALSE),"none")</f>
        <v>none</v>
      </c>
      <c r="AB184" s="3" t="str">
        <f>IFERROR(VLOOKUP(C184,UnitsDepts!$A$4:$G$1500,2,FALSE),"none")</f>
        <v>none</v>
      </c>
      <c r="AC184" s="3" t="str">
        <f>IFERROR(VLOOKUP(D184,ProjAppSvc!$A$4:$G$1500,2,FALSE),"none")</f>
        <v>none</v>
      </c>
    </row>
    <row r="185" spans="1:29" x14ac:dyDescent="0.45">
      <c r="A185" s="14" t="s">
        <v>23</v>
      </c>
      <c r="B185" s="14"/>
      <c r="C185" s="14"/>
      <c r="D185" s="14"/>
      <c r="H185" s="8"/>
      <c r="I185" s="3"/>
      <c r="J185" s="3" t="str">
        <f t="shared" si="6"/>
        <v/>
      </c>
      <c r="K185" s="3" t="str">
        <f>IF(ISNUMBER(SEARCH("-",V185)),IFERROR(IF($H$2="Lower", LOWER(ComputeResourceName(Z185,#REF!,#REF!,G185,N185,O185,P185,Q185,S185,T185,V185,A185)), UPPER(ComputeResourceName(Z185,#REF!,#REF!,G185,N185,O185,P185,Q185,S185,T185,V185,A185))),""),SUBSTITUTE(IFERROR(IF($H$2="Lower", LOWER(ComputeResourceName(#REF!,#REF!,#REF!,G185,N185,O185,P185,Q185,S185,T185,V185,A185)), UPPER(ComputeResourceName(#REF!,#REF!,#REF!,G185,N185,O185,P185,Q185,S185,T185,V185,A185))),""), "-",""))</f>
        <v/>
      </c>
      <c r="L185" s="3" t="str">
        <f xml:space="preserve"> IF(K185="","",  IFERROR(VLOOKUP(I185,Resources!$B$1:$H$1503,5,FALSE)-LEN(K185),0))</f>
        <v/>
      </c>
      <c r="M185" s="3" t="str">
        <f>IF(K185="","",IFERROR(matches(K185,VLOOKUP(I185,Resources!$A$2:$AA$1503,16,FALSE)),FALSE))</f>
        <v/>
      </c>
      <c r="N185" s="3" t="e">
        <f>VLOOKUP(E185,Enviroments!$A$3:$D$59,1,FALSE)</f>
        <v>#N/A</v>
      </c>
      <c r="O185" s="3" t="e">
        <f>VLOOKUP(E185,Enviroments!$A$3:$D$59,2,FALSE)</f>
        <v>#N/A</v>
      </c>
      <c r="P185" s="3" t="e">
        <f>VLOOKUP(E185,Enviroments!$A$3:$D$59,3,FALSE)</f>
        <v>#N/A</v>
      </c>
      <c r="Q185" s="3" t="e">
        <f>VLOOKUP(E185,Enviroments!$A$3:$D$59,4,FALSE)</f>
        <v>#N/A</v>
      </c>
      <c r="R185" s="3" t="e">
        <f>VLOOKUP(H185,AzureRegions!$A$4:$B$1493,1,FALSE)</f>
        <v>#N/A</v>
      </c>
      <c r="S185" s="3" t="e">
        <f>VLOOKUP(H185,AzureRegions!$A$4:$B$1493,2,FALSE)</f>
        <v>#N/A</v>
      </c>
      <c r="T185" s="3" t="e">
        <f>VLOOKUP(H185,AzureRegions!$A$4:$C$1493,3,FALSE)</f>
        <v>#N/A</v>
      </c>
      <c r="U185" s="3" t="e">
        <f>VLOOKUP(I185,Resources!$A$2:$AA$1503,2,FALSE)</f>
        <v>#N/A</v>
      </c>
      <c r="V185" s="3" t="e">
        <f>VLOOKUP(I185,Resources!$A$2:$H$1503,6,FALSE)</f>
        <v>#N/A</v>
      </c>
      <c r="W185" s="3" t="str">
        <f>VLOOKUP($H$2,Casing!$A$4:$A$60,1,FALSE)</f>
        <v>Lower</v>
      </c>
      <c r="X185" s="14" t="str">
        <f t="shared" si="5"/>
        <v>001</v>
      </c>
      <c r="Y185" s="3" t="str">
        <f>IFERROR(VLOOKUP(F185,Func!$A$4:$G$1500,2,FALSE),"none")</f>
        <v>none</v>
      </c>
      <c r="Z185" s="3" t="e">
        <f>VLOOKUP(I185,Resources!$A$2:$AA$1503,18,FALSE)</f>
        <v>#N/A</v>
      </c>
      <c r="AA185" s="3" t="str">
        <f>IFERROR(VLOOKUP(B185,Orgs!$A$4:$G$1500,2,FALSE),"none")</f>
        <v>none</v>
      </c>
      <c r="AB185" s="3" t="str">
        <f>IFERROR(VLOOKUP(C185,UnitsDepts!$A$4:$G$1500,2,FALSE),"none")</f>
        <v>none</v>
      </c>
      <c r="AC185" s="3" t="str">
        <f>IFERROR(VLOOKUP(D185,ProjAppSvc!$A$4:$G$1500,2,FALSE),"none")</f>
        <v>none</v>
      </c>
    </row>
    <row r="186" spans="1:29" x14ac:dyDescent="0.45">
      <c r="A186" s="14" t="s">
        <v>23</v>
      </c>
      <c r="B186" s="14"/>
      <c r="C186" s="14"/>
      <c r="D186" s="14"/>
      <c r="H186" s="8"/>
      <c r="I186" s="3"/>
      <c r="J186" s="3" t="str">
        <f t="shared" si="6"/>
        <v/>
      </c>
      <c r="K186" s="3" t="str">
        <f>IF(ISNUMBER(SEARCH("-",V186)),IFERROR(IF($H$2="Lower", LOWER(ComputeResourceName(Z186,#REF!,#REF!,G186,N186,O186,P186,Q186,S186,T186,V186,A186)), UPPER(ComputeResourceName(Z186,#REF!,#REF!,G186,N186,O186,P186,Q186,S186,T186,V186,A186))),""),SUBSTITUTE(IFERROR(IF($H$2="Lower", LOWER(ComputeResourceName(#REF!,#REF!,#REF!,G186,N186,O186,P186,Q186,S186,T186,V186,A186)), UPPER(ComputeResourceName(#REF!,#REF!,#REF!,G186,N186,O186,P186,Q186,S186,T186,V186,A186))),""), "-",""))</f>
        <v/>
      </c>
      <c r="L186" s="3" t="str">
        <f xml:space="preserve"> IF(K186="","",  IFERROR(VLOOKUP(I186,Resources!$B$1:$H$1503,5,FALSE)-LEN(K186),0))</f>
        <v/>
      </c>
      <c r="M186" s="3" t="str">
        <f>IF(K186="","",IFERROR(matches(K186,VLOOKUP(I186,Resources!$A$2:$AA$1503,16,FALSE)),FALSE))</f>
        <v/>
      </c>
      <c r="N186" s="3" t="e">
        <f>VLOOKUP(E186,Enviroments!$A$3:$D$59,1,FALSE)</f>
        <v>#N/A</v>
      </c>
      <c r="O186" s="3" t="e">
        <f>VLOOKUP(E186,Enviroments!$A$3:$D$59,2,FALSE)</f>
        <v>#N/A</v>
      </c>
      <c r="P186" s="3" t="e">
        <f>VLOOKUP(E186,Enviroments!$A$3:$D$59,3,FALSE)</f>
        <v>#N/A</v>
      </c>
      <c r="Q186" s="3" t="e">
        <f>VLOOKUP(E186,Enviroments!$A$3:$D$59,4,FALSE)</f>
        <v>#N/A</v>
      </c>
      <c r="R186" s="3" t="e">
        <f>VLOOKUP(H186,AzureRegions!$A$4:$B$1493,1,FALSE)</f>
        <v>#N/A</v>
      </c>
      <c r="S186" s="3" t="e">
        <f>VLOOKUP(H186,AzureRegions!$A$4:$B$1493,2,FALSE)</f>
        <v>#N/A</v>
      </c>
      <c r="T186" s="3" t="e">
        <f>VLOOKUP(H186,AzureRegions!$A$4:$C$1493,3,FALSE)</f>
        <v>#N/A</v>
      </c>
      <c r="U186" s="3" t="e">
        <f>VLOOKUP(I186,Resources!$A$2:$AA$1503,2,FALSE)</f>
        <v>#N/A</v>
      </c>
      <c r="V186" s="3" t="e">
        <f>VLOOKUP(I186,Resources!$A$2:$H$1503,6,FALSE)</f>
        <v>#N/A</v>
      </c>
      <c r="W186" s="3" t="str">
        <f>VLOOKUP($H$2,Casing!$A$4:$A$60,1,FALSE)</f>
        <v>Lower</v>
      </c>
      <c r="X186" s="14" t="str">
        <f t="shared" si="5"/>
        <v>001</v>
      </c>
      <c r="Y186" s="3" t="str">
        <f>IFERROR(VLOOKUP(F186,Func!$A$4:$G$1500,2,FALSE),"none")</f>
        <v>none</v>
      </c>
      <c r="Z186" s="3" t="e">
        <f>VLOOKUP(I186,Resources!$A$2:$AA$1503,18,FALSE)</f>
        <v>#N/A</v>
      </c>
      <c r="AA186" s="3" t="str">
        <f>IFERROR(VLOOKUP(B186,Orgs!$A$4:$G$1500,2,FALSE),"none")</f>
        <v>none</v>
      </c>
      <c r="AB186" s="3" t="str">
        <f>IFERROR(VLOOKUP(C186,UnitsDepts!$A$4:$G$1500,2,FALSE),"none")</f>
        <v>none</v>
      </c>
      <c r="AC186" s="3" t="str">
        <f>IFERROR(VLOOKUP(D186,ProjAppSvc!$A$4:$G$1500,2,FALSE),"none")</f>
        <v>none</v>
      </c>
    </row>
    <row r="187" spans="1:29" x14ac:dyDescent="0.45">
      <c r="A187" s="14" t="s">
        <v>23</v>
      </c>
      <c r="B187" s="14"/>
      <c r="C187" s="14"/>
      <c r="D187" s="14"/>
      <c r="H187" s="8"/>
      <c r="I187" s="3"/>
      <c r="J187" s="3" t="str">
        <f t="shared" si="6"/>
        <v/>
      </c>
      <c r="K187" s="3" t="str">
        <f>IF(ISNUMBER(SEARCH("-",V187)),IFERROR(IF($H$2="Lower", LOWER(ComputeResourceName(Z187,#REF!,#REF!,G187,N187,O187,P187,Q187,S187,T187,V187,A187)), UPPER(ComputeResourceName(Z187,#REF!,#REF!,G187,N187,O187,P187,Q187,S187,T187,V187,A187))),""),SUBSTITUTE(IFERROR(IF($H$2="Lower", LOWER(ComputeResourceName(#REF!,#REF!,#REF!,G187,N187,O187,P187,Q187,S187,T187,V187,A187)), UPPER(ComputeResourceName(#REF!,#REF!,#REF!,G187,N187,O187,P187,Q187,S187,T187,V187,A187))),""), "-",""))</f>
        <v/>
      </c>
      <c r="L187" s="3" t="str">
        <f xml:space="preserve"> IF(K187="","",  IFERROR(VLOOKUP(I187,Resources!$B$1:$H$1503,5,FALSE)-LEN(K187),0))</f>
        <v/>
      </c>
      <c r="M187" s="3" t="str">
        <f>IF(K187="","",IFERROR(matches(K187,VLOOKUP(I187,Resources!$A$2:$AA$1503,16,FALSE)),FALSE))</f>
        <v/>
      </c>
      <c r="N187" s="3" t="e">
        <f>VLOOKUP(E187,Enviroments!$A$3:$D$59,1,FALSE)</f>
        <v>#N/A</v>
      </c>
      <c r="O187" s="3" t="e">
        <f>VLOOKUP(E187,Enviroments!$A$3:$D$59,2,FALSE)</f>
        <v>#N/A</v>
      </c>
      <c r="P187" s="3" t="e">
        <f>VLOOKUP(E187,Enviroments!$A$3:$D$59,3,FALSE)</f>
        <v>#N/A</v>
      </c>
      <c r="Q187" s="3" t="e">
        <f>VLOOKUP(E187,Enviroments!$A$3:$D$59,4,FALSE)</f>
        <v>#N/A</v>
      </c>
      <c r="R187" s="3" t="e">
        <f>VLOOKUP(H187,AzureRegions!$A$4:$B$1493,1,FALSE)</f>
        <v>#N/A</v>
      </c>
      <c r="S187" s="3" t="e">
        <f>VLOOKUP(H187,AzureRegions!$A$4:$B$1493,2,FALSE)</f>
        <v>#N/A</v>
      </c>
      <c r="T187" s="3" t="e">
        <f>VLOOKUP(H187,AzureRegions!$A$4:$C$1493,3,FALSE)</f>
        <v>#N/A</v>
      </c>
      <c r="U187" s="3" t="e">
        <f>VLOOKUP(I187,Resources!$A$2:$AA$1503,2,FALSE)</f>
        <v>#N/A</v>
      </c>
      <c r="V187" s="3" t="e">
        <f>VLOOKUP(I187,Resources!$A$2:$H$1503,6,FALSE)</f>
        <v>#N/A</v>
      </c>
      <c r="W187" s="3" t="str">
        <f>VLOOKUP($H$2,Casing!$A$4:$A$60,1,FALSE)</f>
        <v>Lower</v>
      </c>
      <c r="X187" s="14" t="str">
        <f t="shared" si="5"/>
        <v>001</v>
      </c>
      <c r="Y187" s="3" t="str">
        <f>IFERROR(VLOOKUP(F187,Func!$A$4:$G$1500,2,FALSE),"none")</f>
        <v>none</v>
      </c>
      <c r="Z187" s="3" t="e">
        <f>VLOOKUP(I187,Resources!$A$2:$AA$1503,18,FALSE)</f>
        <v>#N/A</v>
      </c>
      <c r="AA187" s="3" t="str">
        <f>IFERROR(VLOOKUP(B187,Orgs!$A$4:$G$1500,2,FALSE),"none")</f>
        <v>none</v>
      </c>
      <c r="AB187" s="3" t="str">
        <f>IFERROR(VLOOKUP(C187,UnitsDepts!$A$4:$G$1500,2,FALSE),"none")</f>
        <v>none</v>
      </c>
      <c r="AC187" s="3" t="str">
        <f>IFERROR(VLOOKUP(D187,ProjAppSvc!$A$4:$G$1500,2,FALSE),"none")</f>
        <v>none</v>
      </c>
    </row>
    <row r="188" spans="1:29" x14ac:dyDescent="0.45">
      <c r="A188" s="14" t="s">
        <v>23</v>
      </c>
      <c r="B188" s="14"/>
      <c r="C188" s="14"/>
      <c r="D188" s="14"/>
      <c r="H188" s="8"/>
      <c r="I188" s="3"/>
      <c r="J188" s="3" t="str">
        <f t="shared" si="6"/>
        <v/>
      </c>
      <c r="K188" s="3" t="str">
        <f>IF(ISNUMBER(SEARCH("-",V188)),IFERROR(IF($H$2="Lower", LOWER(ComputeResourceName(Z188,#REF!,#REF!,G188,N188,O188,P188,Q188,S188,T188,V188,A188)), UPPER(ComputeResourceName(Z188,#REF!,#REF!,G188,N188,O188,P188,Q188,S188,T188,V188,A188))),""),SUBSTITUTE(IFERROR(IF($H$2="Lower", LOWER(ComputeResourceName(#REF!,#REF!,#REF!,G188,N188,O188,P188,Q188,S188,T188,V188,A188)), UPPER(ComputeResourceName(#REF!,#REF!,#REF!,G188,N188,O188,P188,Q188,S188,T188,V188,A188))),""), "-",""))</f>
        <v/>
      </c>
      <c r="L188" s="3" t="str">
        <f xml:space="preserve"> IF(K188="","",  IFERROR(VLOOKUP(I188,Resources!$B$1:$H$1503,5,FALSE)-LEN(K188),0))</f>
        <v/>
      </c>
      <c r="M188" s="3" t="str">
        <f>IF(K188="","",IFERROR(matches(K188,VLOOKUP(I188,Resources!$A$2:$AA$1503,16,FALSE)),FALSE))</f>
        <v/>
      </c>
      <c r="N188" s="3" t="e">
        <f>VLOOKUP(E188,Enviroments!$A$3:$D$59,1,FALSE)</f>
        <v>#N/A</v>
      </c>
      <c r="O188" s="3" t="e">
        <f>VLOOKUP(E188,Enviroments!$A$3:$D$59,2,FALSE)</f>
        <v>#N/A</v>
      </c>
      <c r="P188" s="3" t="e">
        <f>VLOOKUP(E188,Enviroments!$A$3:$D$59,3,FALSE)</f>
        <v>#N/A</v>
      </c>
      <c r="Q188" s="3" t="e">
        <f>VLOOKUP(E188,Enviroments!$A$3:$D$59,4,FALSE)</f>
        <v>#N/A</v>
      </c>
      <c r="R188" s="3" t="e">
        <f>VLOOKUP(H188,AzureRegions!$A$4:$B$1493,1,FALSE)</f>
        <v>#N/A</v>
      </c>
      <c r="S188" s="3" t="e">
        <f>VLOOKUP(H188,AzureRegions!$A$4:$B$1493,2,FALSE)</f>
        <v>#N/A</v>
      </c>
      <c r="T188" s="3" t="e">
        <f>VLOOKUP(H188,AzureRegions!$A$4:$C$1493,3,FALSE)</f>
        <v>#N/A</v>
      </c>
      <c r="U188" s="3" t="e">
        <f>VLOOKUP(I188,Resources!$A$2:$AA$1503,2,FALSE)</f>
        <v>#N/A</v>
      </c>
      <c r="V188" s="3" t="e">
        <f>VLOOKUP(I188,Resources!$A$2:$H$1503,6,FALSE)</f>
        <v>#N/A</v>
      </c>
      <c r="W188" s="3" t="str">
        <f>VLOOKUP($H$2,Casing!$A$4:$A$60,1,FALSE)</f>
        <v>Lower</v>
      </c>
      <c r="X188" s="14" t="str">
        <f t="shared" si="5"/>
        <v>001</v>
      </c>
      <c r="Y188" s="3" t="str">
        <f>IFERROR(VLOOKUP(F188,Func!$A$4:$G$1500,2,FALSE),"none")</f>
        <v>none</v>
      </c>
      <c r="Z188" s="3" t="e">
        <f>VLOOKUP(I188,Resources!$A$2:$AA$1503,18,FALSE)</f>
        <v>#N/A</v>
      </c>
      <c r="AA188" s="3" t="str">
        <f>IFERROR(VLOOKUP(B188,Orgs!$A$4:$G$1500,2,FALSE),"none")</f>
        <v>none</v>
      </c>
      <c r="AB188" s="3" t="str">
        <f>IFERROR(VLOOKUP(C188,UnitsDepts!$A$4:$G$1500,2,FALSE),"none")</f>
        <v>none</v>
      </c>
      <c r="AC188" s="3" t="str">
        <f>IFERROR(VLOOKUP(D188,ProjAppSvc!$A$4:$G$1500,2,FALSE),"none")</f>
        <v>none</v>
      </c>
    </row>
    <row r="189" spans="1:29" x14ac:dyDescent="0.45">
      <c r="A189" s="14" t="s">
        <v>23</v>
      </c>
      <c r="B189" s="14"/>
      <c r="C189" s="14"/>
      <c r="D189" s="14"/>
      <c r="H189" s="8"/>
      <c r="I189" s="3"/>
      <c r="J189" s="3" t="str">
        <f t="shared" si="6"/>
        <v/>
      </c>
      <c r="K189" s="3" t="str">
        <f>IF(ISNUMBER(SEARCH("-",V189)),IFERROR(IF($H$2="Lower", LOWER(ComputeResourceName(Z189,#REF!,#REF!,G189,N189,O189,P189,Q189,S189,T189,V189,A189)), UPPER(ComputeResourceName(Z189,#REF!,#REF!,G189,N189,O189,P189,Q189,S189,T189,V189,A189))),""),SUBSTITUTE(IFERROR(IF($H$2="Lower", LOWER(ComputeResourceName(#REF!,#REF!,#REF!,G189,N189,O189,P189,Q189,S189,T189,V189,A189)), UPPER(ComputeResourceName(#REF!,#REF!,#REF!,G189,N189,O189,P189,Q189,S189,T189,V189,A189))),""), "-",""))</f>
        <v/>
      </c>
      <c r="L189" s="3" t="str">
        <f xml:space="preserve"> IF(K189="","",  IFERROR(VLOOKUP(I189,Resources!$B$1:$H$1503,5,FALSE)-LEN(K189),0))</f>
        <v/>
      </c>
      <c r="M189" s="3" t="str">
        <f>IF(K189="","",IFERROR(matches(K189,VLOOKUP(I189,Resources!$A$2:$AA$1503,16,FALSE)),FALSE))</f>
        <v/>
      </c>
      <c r="N189" s="3" t="e">
        <f>VLOOKUP(E189,Enviroments!$A$3:$D$59,1,FALSE)</f>
        <v>#N/A</v>
      </c>
      <c r="O189" s="3" t="e">
        <f>VLOOKUP(E189,Enviroments!$A$3:$D$59,2,FALSE)</f>
        <v>#N/A</v>
      </c>
      <c r="P189" s="3" t="e">
        <f>VLOOKUP(E189,Enviroments!$A$3:$D$59,3,FALSE)</f>
        <v>#N/A</v>
      </c>
      <c r="Q189" s="3" t="e">
        <f>VLOOKUP(E189,Enviroments!$A$3:$D$59,4,FALSE)</f>
        <v>#N/A</v>
      </c>
      <c r="R189" s="3" t="e">
        <f>VLOOKUP(H189,AzureRegions!$A$4:$B$1493,1,FALSE)</f>
        <v>#N/A</v>
      </c>
      <c r="S189" s="3" t="e">
        <f>VLOOKUP(H189,AzureRegions!$A$4:$B$1493,2,FALSE)</f>
        <v>#N/A</v>
      </c>
      <c r="T189" s="3" t="e">
        <f>VLOOKUP(H189,AzureRegions!$A$4:$C$1493,3,FALSE)</f>
        <v>#N/A</v>
      </c>
      <c r="U189" s="3" t="e">
        <f>VLOOKUP(I189,Resources!$A$2:$AA$1503,2,FALSE)</f>
        <v>#N/A</v>
      </c>
      <c r="V189" s="3" t="e">
        <f>VLOOKUP(I189,Resources!$A$2:$H$1503,6,FALSE)</f>
        <v>#N/A</v>
      </c>
      <c r="W189" s="3" t="str">
        <f>VLOOKUP($H$2,Casing!$A$4:$A$60,1,FALSE)</f>
        <v>Lower</v>
      </c>
      <c r="X189" s="14" t="str">
        <f t="shared" si="5"/>
        <v>001</v>
      </c>
      <c r="Y189" s="3" t="str">
        <f>IFERROR(VLOOKUP(F189,Func!$A$4:$G$1500,2,FALSE),"none")</f>
        <v>none</v>
      </c>
      <c r="Z189" s="3" t="e">
        <f>VLOOKUP(I189,Resources!$A$2:$AA$1503,18,FALSE)</f>
        <v>#N/A</v>
      </c>
      <c r="AA189" s="3" t="str">
        <f>IFERROR(VLOOKUP(B189,Orgs!$A$4:$G$1500,2,FALSE),"none")</f>
        <v>none</v>
      </c>
      <c r="AB189" s="3" t="str">
        <f>IFERROR(VLOOKUP(C189,UnitsDepts!$A$4:$G$1500,2,FALSE),"none")</f>
        <v>none</v>
      </c>
      <c r="AC189" s="3" t="str">
        <f>IFERROR(VLOOKUP(D189,ProjAppSvc!$A$4:$G$1500,2,FALSE),"none")</f>
        <v>none</v>
      </c>
    </row>
    <row r="190" spans="1:29" x14ac:dyDescent="0.45">
      <c r="J190" s="3"/>
    </row>
    <row r="191" spans="1:29" x14ac:dyDescent="0.45">
      <c r="J191" s="3"/>
    </row>
    <row r="192" spans="1:29" x14ac:dyDescent="0.45">
      <c r="J192" s="3"/>
    </row>
    <row r="193" spans="10:10" x14ac:dyDescent="0.45">
      <c r="J193" s="3"/>
    </row>
    <row r="194" spans="10:10" x14ac:dyDescent="0.45">
      <c r="J194" s="3"/>
    </row>
    <row r="195" spans="10:10" x14ac:dyDescent="0.45">
      <c r="J195" s="3"/>
    </row>
    <row r="196" spans="10:10" x14ac:dyDescent="0.45">
      <c r="J196" s="3"/>
    </row>
    <row r="197" spans="10:10" x14ac:dyDescent="0.45">
      <c r="J197" s="3"/>
    </row>
    <row r="198" spans="10:10" x14ac:dyDescent="0.45">
      <c r="J198" s="3"/>
    </row>
    <row r="199" spans="10:10" x14ac:dyDescent="0.45">
      <c r="J199" s="3"/>
    </row>
    <row r="200" spans="10:10" x14ac:dyDescent="0.45">
      <c r="J200" s="3"/>
    </row>
    <row r="201" spans="10:10" x14ac:dyDescent="0.45">
      <c r="J201" s="3"/>
    </row>
    <row r="202" spans="10:10" x14ac:dyDescent="0.45">
      <c r="J202" s="3"/>
    </row>
    <row r="203" spans="10:10" x14ac:dyDescent="0.45">
      <c r="J203" s="3"/>
    </row>
    <row r="204" spans="10:10" x14ac:dyDescent="0.45">
      <c r="J204" s="3"/>
    </row>
    <row r="205" spans="10:10" x14ac:dyDescent="0.45">
      <c r="J205" s="3"/>
    </row>
    <row r="206" spans="10:10" x14ac:dyDescent="0.45">
      <c r="J206" s="3"/>
    </row>
    <row r="207" spans="10:10" x14ac:dyDescent="0.45">
      <c r="J207" s="3"/>
    </row>
    <row r="208" spans="10:10" x14ac:dyDescent="0.45">
      <c r="J208" s="3"/>
    </row>
    <row r="209" spans="10:10" x14ac:dyDescent="0.45">
      <c r="J209" s="3"/>
    </row>
    <row r="210" spans="10:10" x14ac:dyDescent="0.45">
      <c r="J210" s="3"/>
    </row>
    <row r="211" spans="10:10" x14ac:dyDescent="0.45">
      <c r="J211" s="3"/>
    </row>
    <row r="212" spans="10:10" x14ac:dyDescent="0.45">
      <c r="J212" s="3"/>
    </row>
    <row r="213" spans="10:10" x14ac:dyDescent="0.45">
      <c r="J213" s="3"/>
    </row>
    <row r="214" spans="10:10" x14ac:dyDescent="0.45">
      <c r="J214" s="3"/>
    </row>
    <row r="215" spans="10:10" x14ac:dyDescent="0.45">
      <c r="J215" s="3"/>
    </row>
    <row r="216" spans="10:10" x14ac:dyDescent="0.45">
      <c r="J216" s="3"/>
    </row>
    <row r="217" spans="10:10" x14ac:dyDescent="0.45">
      <c r="J217" s="3"/>
    </row>
    <row r="218" spans="10:10" x14ac:dyDescent="0.45">
      <c r="J218" s="3"/>
    </row>
    <row r="219" spans="10:10" x14ac:dyDescent="0.45">
      <c r="J219" s="3"/>
    </row>
    <row r="220" spans="10:10" x14ac:dyDescent="0.45">
      <c r="J220" s="3"/>
    </row>
    <row r="221" spans="10:10" x14ac:dyDescent="0.45">
      <c r="J221" s="3"/>
    </row>
    <row r="222" spans="10:10" x14ac:dyDescent="0.45">
      <c r="J222" s="3"/>
    </row>
    <row r="223" spans="10:10" x14ac:dyDescent="0.45">
      <c r="J223" s="3"/>
    </row>
    <row r="224" spans="10:10" x14ac:dyDescent="0.45">
      <c r="J224" s="3"/>
    </row>
    <row r="225" spans="10:10" x14ac:dyDescent="0.45">
      <c r="J225" s="3"/>
    </row>
    <row r="226" spans="10:10" x14ac:dyDescent="0.45">
      <c r="J226" s="3"/>
    </row>
    <row r="227" spans="10:10" x14ac:dyDescent="0.45">
      <c r="J227" s="3"/>
    </row>
    <row r="228" spans="10:10" x14ac:dyDescent="0.45">
      <c r="J228" s="3"/>
    </row>
    <row r="229" spans="10:10" x14ac:dyDescent="0.45">
      <c r="J229" s="3"/>
    </row>
    <row r="230" spans="10:10" x14ac:dyDescent="0.45">
      <c r="J230" s="3"/>
    </row>
    <row r="231" spans="10:10" x14ac:dyDescent="0.45">
      <c r="J231" s="3"/>
    </row>
    <row r="232" spans="10:10" x14ac:dyDescent="0.45">
      <c r="J232" s="3"/>
    </row>
    <row r="233" spans="10:10" x14ac:dyDescent="0.45">
      <c r="J233" s="3"/>
    </row>
    <row r="234" spans="10:10" x14ac:dyDescent="0.45">
      <c r="J234" s="3"/>
    </row>
    <row r="235" spans="10:10" x14ac:dyDescent="0.45">
      <c r="J235" s="3"/>
    </row>
    <row r="236" spans="10:10" x14ac:dyDescent="0.45">
      <c r="J236" s="3"/>
    </row>
    <row r="237" spans="10:10" x14ac:dyDescent="0.45">
      <c r="J237" s="3"/>
    </row>
    <row r="238" spans="10:10" x14ac:dyDescent="0.45">
      <c r="J238" s="3"/>
    </row>
    <row r="239" spans="10:10" x14ac:dyDescent="0.45">
      <c r="J239" s="3"/>
    </row>
    <row r="240" spans="10:10" x14ac:dyDescent="0.45">
      <c r="J240" s="3"/>
    </row>
    <row r="241" spans="10:10" x14ac:dyDescent="0.45">
      <c r="J241" s="3"/>
    </row>
    <row r="242" spans="10:10" x14ac:dyDescent="0.45">
      <c r="J242" s="3"/>
    </row>
    <row r="243" spans="10:10" x14ac:dyDescent="0.45">
      <c r="J243" s="3"/>
    </row>
    <row r="244" spans="10:10" x14ac:dyDescent="0.45">
      <c r="J244" s="3"/>
    </row>
    <row r="245" spans="10:10" x14ac:dyDescent="0.45">
      <c r="J245" s="3"/>
    </row>
    <row r="246" spans="10:10" x14ac:dyDescent="0.45">
      <c r="J246" s="3"/>
    </row>
    <row r="247" spans="10:10" x14ac:dyDescent="0.45">
      <c r="J247" s="3"/>
    </row>
    <row r="248" spans="10:10" x14ac:dyDescent="0.45">
      <c r="J248" s="3"/>
    </row>
    <row r="249" spans="10:10" x14ac:dyDescent="0.45">
      <c r="J249" s="3"/>
    </row>
    <row r="250" spans="10:10" x14ac:dyDescent="0.45">
      <c r="J250" s="3"/>
    </row>
    <row r="251" spans="10:10" x14ac:dyDescent="0.45">
      <c r="J251" s="3"/>
    </row>
    <row r="252" spans="10:10" x14ac:dyDescent="0.45">
      <c r="J252" s="3"/>
    </row>
    <row r="253" spans="10:10" x14ac:dyDescent="0.45">
      <c r="J253" s="3"/>
    </row>
    <row r="254" spans="10:10" x14ac:dyDescent="0.45">
      <c r="J254" s="3"/>
    </row>
    <row r="255" spans="10:10" x14ac:dyDescent="0.45">
      <c r="J255" s="3"/>
    </row>
    <row r="256" spans="10:10" x14ac:dyDescent="0.45">
      <c r="J256" s="3"/>
    </row>
    <row r="257" spans="10:10" x14ac:dyDescent="0.45">
      <c r="J257" s="3"/>
    </row>
    <row r="258" spans="10:10" x14ac:dyDescent="0.45">
      <c r="J258" s="3"/>
    </row>
    <row r="259" spans="10:10" x14ac:dyDescent="0.45">
      <c r="J259" s="3"/>
    </row>
    <row r="260" spans="10:10" x14ac:dyDescent="0.45">
      <c r="J260" s="3"/>
    </row>
    <row r="261" spans="10:10" x14ac:dyDescent="0.45">
      <c r="J261" s="3"/>
    </row>
    <row r="262" spans="10:10" x14ac:dyDescent="0.45">
      <c r="J262" s="3"/>
    </row>
    <row r="263" spans="10:10" x14ac:dyDescent="0.45">
      <c r="J263" s="3"/>
    </row>
    <row r="264" spans="10:10" x14ac:dyDescent="0.45">
      <c r="J264" s="3"/>
    </row>
    <row r="265" spans="10:10" x14ac:dyDescent="0.45">
      <c r="J265" s="3"/>
    </row>
    <row r="266" spans="10:10" x14ac:dyDescent="0.45">
      <c r="J266" s="3"/>
    </row>
    <row r="267" spans="10:10" x14ac:dyDescent="0.45">
      <c r="J267" s="3"/>
    </row>
    <row r="268" spans="10:10" x14ac:dyDescent="0.45">
      <c r="J268" s="3"/>
    </row>
    <row r="269" spans="10:10" x14ac:dyDescent="0.45">
      <c r="J269" s="3"/>
    </row>
    <row r="270" spans="10:10" x14ac:dyDescent="0.45">
      <c r="J270" s="3"/>
    </row>
    <row r="271" spans="10:10" x14ac:dyDescent="0.45">
      <c r="J271" s="3"/>
    </row>
    <row r="272" spans="10:10" x14ac:dyDescent="0.45">
      <c r="J272" s="3"/>
    </row>
    <row r="273" spans="10:10" x14ac:dyDescent="0.45">
      <c r="J273" s="3"/>
    </row>
    <row r="274" spans="10:10" x14ac:dyDescent="0.45">
      <c r="J274" s="3"/>
    </row>
    <row r="275" spans="10:10" x14ac:dyDescent="0.45">
      <c r="J275" s="3"/>
    </row>
    <row r="276" spans="10:10" x14ac:dyDescent="0.45">
      <c r="J276" s="3"/>
    </row>
    <row r="277" spans="10:10" x14ac:dyDescent="0.45">
      <c r="J277" s="3"/>
    </row>
    <row r="278" spans="10:10" x14ac:dyDescent="0.45">
      <c r="J278" s="3"/>
    </row>
    <row r="279" spans="10:10" x14ac:dyDescent="0.45">
      <c r="J279" s="3"/>
    </row>
    <row r="280" spans="10:10" x14ac:dyDescent="0.45">
      <c r="J280" s="3"/>
    </row>
  </sheetData>
  <dataConsolidate/>
  <mergeCells count="4">
    <mergeCell ref="A1:L1"/>
    <mergeCell ref="A2:G2"/>
    <mergeCell ref="A3:G3"/>
    <mergeCell ref="O3:X3"/>
  </mergeCells>
  <conditionalFormatting sqref="L5:L189">
    <cfRule type="cellIs" dxfId="5" priority="2" operator="lessThan">
      <formula>0</formula>
    </cfRule>
  </conditionalFormatting>
  <conditionalFormatting sqref="M5:M189">
    <cfRule type="cellIs" dxfId="4" priority="1" operator="equal">
      <formula>FALSE</formula>
    </cfRule>
  </conditionalFormatting>
  <dataValidations count="1">
    <dataValidation type="list" allowBlank="1" showInputMessage="1" showErrorMessage="1" sqref="H2" xr:uid="{B2F8A176-DF10-4659-AF76-953C59178EE7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errorStyle="information" allowBlank="1" showInputMessage="1" showErrorMessage="1" xr:uid="{49431BAA-AB48-4F36-9318-0234DB13B1A5}">
          <x14:formula1>
            <xm:f>Resources!$A$2:$A$1503</xm:f>
          </x14:formula1>
          <xm:sqref>I5:I189</xm:sqref>
        </x14:dataValidation>
        <x14:dataValidation type="list" allowBlank="1" showInputMessage="1" showErrorMessage="1" xr:uid="{A4527CF2-DE7A-43CE-8E98-7009DF7363DE}">
          <x14:formula1>
            <xm:f>ProjAppSvc!$A$4:$A$450</xm:f>
          </x14:formula1>
          <xm:sqref>D5:D189</xm:sqref>
        </x14:dataValidation>
        <x14:dataValidation type="list" allowBlank="1" showInputMessage="1" showErrorMessage="1" xr:uid="{E70CE3C2-040D-4A47-B573-BC212A3DE62B}">
          <x14:formula1>
            <xm:f>UnitsDepts!$A$4:$A$450</xm:f>
          </x14:formula1>
          <xm:sqref>C5:C189</xm:sqref>
        </x14:dataValidation>
        <x14:dataValidation type="list" allowBlank="1" showInputMessage="1" showErrorMessage="1" xr:uid="{354347F6-8129-488C-9A14-D3AD7EE9CA99}">
          <x14:formula1>
            <xm:f>Orgs!$A$4:$A$450</xm:f>
          </x14:formula1>
          <xm:sqref>B5:B189</xm:sqref>
        </x14:dataValidation>
        <x14:dataValidation type="list" allowBlank="1" showInputMessage="1" showErrorMessage="1" xr:uid="{62405D77-78F3-48BF-9E9C-EBC109947651}">
          <x14:formula1>
            <xm:f>Func!$A$4:$A$430</xm:f>
          </x14:formula1>
          <xm:sqref>F5:F189</xm:sqref>
        </x14:dataValidation>
        <x14:dataValidation type="list" allowBlank="1" showInputMessage="1" showErrorMessage="1" xr:uid="{B49FFAB6-337E-4CF0-94EC-644E38EE9CD3}">
          <x14:formula1>
            <xm:f>AzureRegions!$A$4:$A$1493</xm:f>
          </x14:formula1>
          <xm:sqref>H5:H189</xm:sqref>
        </x14:dataValidation>
        <x14:dataValidation type="list" allowBlank="1" showInputMessage="1" showErrorMessage="1" xr:uid="{5A78AF2A-AEF1-4233-961F-949042391405}">
          <x14:formula1>
            <xm:f>Enviroments!$A$4:$A$43</xm:f>
          </x14:formula1>
          <xm:sqref>E5:E189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53D41-BB99-416D-BBA1-3F48A3222778}">
  <sheetPr codeName="Sheet18"/>
  <dimension ref="A1:AC280"/>
  <sheetViews>
    <sheetView topLeftCell="G1" workbookViewId="0">
      <selection activeCell="I6" sqref="I6"/>
    </sheetView>
  </sheetViews>
  <sheetFormatPr defaultColWidth="9.1796875" defaultRowHeight="16.5" x14ac:dyDescent="0.45"/>
  <cols>
    <col min="1" max="1" width="19.453125" style="3" customWidth="1"/>
    <col min="2" max="4" width="28" style="3" customWidth="1"/>
    <col min="5" max="6" width="13.54296875" style="3" customWidth="1"/>
    <col min="7" max="7" width="38.81640625" style="3" customWidth="1"/>
    <col min="8" max="8" width="40" style="3" customWidth="1"/>
    <col min="9" max="9" width="40" style="8" customWidth="1"/>
    <col min="10" max="10" width="92.08984375" style="8" customWidth="1"/>
    <col min="11" max="11" width="43.453125" style="3" customWidth="1"/>
    <col min="12" max="12" width="104.453125" style="3" customWidth="1"/>
    <col min="13" max="13" width="28.54296875" style="3" customWidth="1"/>
    <col min="14" max="14" width="33.1796875" style="3" hidden="1" customWidth="1"/>
    <col min="15" max="18" width="22.54296875" style="3" hidden="1" customWidth="1"/>
    <col min="19" max="25" width="23.453125" style="3" hidden="1" customWidth="1"/>
    <col min="26" max="26" width="34.1796875" style="3" hidden="1" customWidth="1"/>
    <col min="27" max="27" width="0" style="3" hidden="1" customWidth="1"/>
    <col min="28" max="28" width="12.08984375" style="3" hidden="1" customWidth="1"/>
    <col min="29" max="29" width="17.81640625" style="3" hidden="1" customWidth="1"/>
    <col min="30" max="16384" width="9.1796875" style="3"/>
  </cols>
  <sheetData>
    <row r="1" spans="1:29" ht="68" x14ac:dyDescent="1.65">
      <c r="A1" s="25" t="s">
        <v>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15"/>
    </row>
    <row r="2" spans="1:29" ht="16.5" customHeight="1" x14ac:dyDescent="0.55000000000000004">
      <c r="A2" s="23" t="s">
        <v>5</v>
      </c>
      <c r="B2" s="23"/>
      <c r="C2" s="23"/>
      <c r="D2" s="23"/>
      <c r="E2" s="23"/>
      <c r="F2" s="23"/>
      <c r="G2" s="23"/>
      <c r="H2" s="9" t="s">
        <v>6</v>
      </c>
      <c r="I2" s="16"/>
      <c r="J2" s="16"/>
      <c r="K2" s="9"/>
      <c r="L2" s="9"/>
      <c r="M2" s="9"/>
    </row>
    <row r="3" spans="1:29" ht="21" x14ac:dyDescent="0.55000000000000004">
      <c r="A3" s="23"/>
      <c r="B3" s="23"/>
      <c r="C3" s="23"/>
      <c r="D3" s="23"/>
      <c r="E3" s="23"/>
      <c r="F3" s="23"/>
      <c r="G3" s="23"/>
      <c r="H3" s="9"/>
      <c r="I3" s="16"/>
      <c r="J3" s="16"/>
      <c r="K3" s="9"/>
      <c r="L3" s="9"/>
      <c r="M3" s="9"/>
      <c r="O3" s="24" t="s">
        <v>7</v>
      </c>
      <c r="P3" s="24"/>
      <c r="Q3" s="24"/>
      <c r="R3" s="24"/>
      <c r="S3" s="24"/>
      <c r="T3" s="24"/>
      <c r="U3" s="24"/>
      <c r="V3" s="24"/>
      <c r="W3" s="24"/>
      <c r="X3" s="24"/>
      <c r="Y3" s="2"/>
    </row>
    <row r="4" spans="1:29" ht="21" x14ac:dyDescent="0.55000000000000004">
      <c r="A4" s="7" t="s">
        <v>8</v>
      </c>
      <c r="B4" s="7" t="s">
        <v>3</v>
      </c>
      <c r="C4" s="7" t="s">
        <v>225</v>
      </c>
      <c r="D4" s="7" t="s">
        <v>233</v>
      </c>
      <c r="E4" s="7" t="s">
        <v>9</v>
      </c>
      <c r="F4" s="7" t="s">
        <v>234</v>
      </c>
      <c r="G4" s="7" t="s">
        <v>10</v>
      </c>
      <c r="H4" s="10" t="s">
        <v>11</v>
      </c>
      <c r="I4" s="7" t="s">
        <v>241</v>
      </c>
      <c r="J4" s="7" t="s">
        <v>219</v>
      </c>
      <c r="K4" s="7" t="s">
        <v>13</v>
      </c>
      <c r="L4" s="7" t="s">
        <v>14</v>
      </c>
      <c r="M4" s="7" t="s">
        <v>15</v>
      </c>
      <c r="N4" s="2" t="s">
        <v>16</v>
      </c>
      <c r="O4" s="2" t="s">
        <v>17</v>
      </c>
      <c r="P4" s="2" t="s">
        <v>18</v>
      </c>
      <c r="Q4" s="2" t="s">
        <v>19</v>
      </c>
      <c r="R4" s="2" t="s">
        <v>11</v>
      </c>
      <c r="S4" s="2" t="s">
        <v>20</v>
      </c>
      <c r="T4" s="2" t="s">
        <v>21</v>
      </c>
      <c r="U4" s="3" t="s">
        <v>12</v>
      </c>
      <c r="V4" s="3" t="s">
        <v>22</v>
      </c>
      <c r="W4" s="3" t="s">
        <v>5</v>
      </c>
      <c r="X4" s="3" t="s">
        <v>8</v>
      </c>
      <c r="Y4" s="3" t="s">
        <v>234</v>
      </c>
      <c r="Z4" s="3" t="s">
        <v>220</v>
      </c>
      <c r="AA4" s="3" t="s">
        <v>221</v>
      </c>
      <c r="AB4" s="3" t="s">
        <v>235</v>
      </c>
      <c r="AC4" s="3" t="s">
        <v>236</v>
      </c>
    </row>
    <row r="5" spans="1:29" x14ac:dyDescent="0.45">
      <c r="A5" s="14" t="s">
        <v>23</v>
      </c>
      <c r="B5" s="14"/>
      <c r="C5" s="14"/>
      <c r="D5" s="14"/>
      <c r="E5" s="3" t="s">
        <v>24</v>
      </c>
      <c r="G5" s="3" t="s">
        <v>33</v>
      </c>
      <c r="H5" s="8" t="s">
        <v>26</v>
      </c>
      <c r="I5" s="3" t="s">
        <v>1263</v>
      </c>
      <c r="J5" s="3" t="str">
        <f>IFERROR(Z5, "")</f>
        <v>{azSrvAbbr}{Component}</v>
      </c>
      <c r="K5" s="3" t="str">
        <f>IF(ISNUMBER(SEARCH("-",V5)),IFERROR(IF($H$2="Lower", LOWER(ComputeResourceName(Z5,AC5,AA5,G5,N5,O5,P5,Q5,S5,T5,V5,A5,Y5,AB5)), UPPER(ComputeResourceName(Z5,AC5,AA5,G5,N5,O5,P5,Q5,S5,T5,V5,A5,Y5,AB5))),""),SUBSTITUTE(IFERROR(IF($H$2="Lower", LOWER(ComputeResourceName(Z5,AC5,AA5,G5,N5,O5,P5,Q5,S5,T5,V5,A5,Y5,AB5)), UPPER(ComputeResourceName(Z5,AC5,AA5,G5,N5,O5,P5,Q5,S5,T5,V5,A5,Y5,AB5))),""), "-",""))</f>
        <v>subcr-connectivity</v>
      </c>
      <c r="L5" s="3">
        <f xml:space="preserve"> IF(K5="","",  IFERROR(VLOOKUP(I5,Resources!$A$2:$AA$1500,9,FALSE)-LEN(K5),0))</f>
        <v>0</v>
      </c>
      <c r="M5" s="3" t="b">
        <f>IF(K5="","",IFERROR(matches(K5,VLOOKUP(I5,Resources!$A$2:$AA$1503,16,FALSE)),FALSE))</f>
        <v>1</v>
      </c>
      <c r="N5" s="3" t="str">
        <f>VLOOKUP(E5,Enviroments!$A$3:$D$59,1,FALSE)</f>
        <v>Production</v>
      </c>
      <c r="O5" s="3" t="str">
        <f>VLOOKUP(E5,Enviroments!$A$3:$D$59,2,FALSE)</f>
        <v>p</v>
      </c>
      <c r="P5" s="3" t="str">
        <f>VLOOKUP(E5,Enviroments!$A$3:$D$59,3,FALSE)</f>
        <v>prd</v>
      </c>
      <c r="Q5" s="3">
        <f>VLOOKUP(E5,Enviroments!$A$3:$D$59,4,FALSE)</f>
        <v>2</v>
      </c>
      <c r="R5" s="3" t="str">
        <f>VLOOKUP(H5,AzureRegions!$A$4:$B$1493,1,FALSE)</f>
        <v>North Europe</v>
      </c>
      <c r="S5" s="3" t="str">
        <f>VLOOKUP(H5,AzureRegions!$A$4:$B$1493,2,FALSE)</f>
        <v>northeurope</v>
      </c>
      <c r="T5" s="3" t="str">
        <f>VLOOKUP(H5,AzureRegions!$A$4:$C$1493,3,FALSE)</f>
        <v>NE</v>
      </c>
      <c r="U5" s="3" t="str">
        <f>VLOOKUP(I5,Resources!$A$2:$AA$1503,2,FALSE)</f>
        <v>Subscription/subscriptions</v>
      </c>
      <c r="V5" s="3" t="str">
        <f>VLOOKUP(I5,Resources!$A$2:$H$1503,6,FALSE)</f>
        <v>subcr-</v>
      </c>
      <c r="W5" s="3" t="str">
        <f>VLOOKUP($H$2,Casing!$A$4:$A$60,1,FALSE)</f>
        <v>Lower</v>
      </c>
      <c r="X5" s="14" t="str">
        <f>A5</f>
        <v>001</v>
      </c>
      <c r="Y5" s="3" t="str">
        <f>IFERROR(VLOOKUP(F5,Func!$A$4:$G$1500,2,FALSE),"none")</f>
        <v>none</v>
      </c>
      <c r="Z5" s="3" t="str">
        <f>VLOOKUP(I5,Resources!$A$2:$AA$1503,18,FALSE)</f>
        <v>{azSrvAbbr}{Component}</v>
      </c>
      <c r="AA5" s="3" t="str">
        <f>IFERROR(VLOOKUP(B5,Orgs!$A$4:$G$1500,2,FALSE),"none")</f>
        <v>none</v>
      </c>
      <c r="AB5" s="3" t="str">
        <f>IFERROR(VLOOKUP(C5,UnitsDepts!$A$4:$G$1500,2,FALSE),"none")</f>
        <v>none</v>
      </c>
      <c r="AC5" s="3" t="str">
        <f>IFERROR(VLOOKUP(D5,ProjAppSvc!$A$4:$G$1500,2,FALSE),"none")</f>
        <v>none</v>
      </c>
    </row>
    <row r="6" spans="1:29" x14ac:dyDescent="0.45">
      <c r="A6" s="14" t="s">
        <v>23</v>
      </c>
      <c r="B6" s="14"/>
      <c r="C6" s="14"/>
      <c r="D6" s="14"/>
      <c r="E6" s="3" t="s">
        <v>24</v>
      </c>
      <c r="G6" s="3" t="s">
        <v>34</v>
      </c>
      <c r="H6" s="8" t="s">
        <v>26</v>
      </c>
      <c r="I6" s="3" t="s">
        <v>1263</v>
      </c>
      <c r="J6" s="3" t="str">
        <f t="shared" ref="J6:J10" si="0">IFERROR(Z6, "")</f>
        <v>{azSrvAbbr}{Component}</v>
      </c>
      <c r="K6" s="3" t="str">
        <f>IF(ISNUMBER(SEARCH("-",V6)),IFERROR(IF($H$2="Lower", LOWER(ComputeResourceName(Z6,AC6,AA6,G6,N6,O6,P6,Q6,S6,T6,V6,A6,Y6,AB6)), UPPER(ComputeResourceName(Z6,AC6,AA6,G6,N6,O6,P6,Q6,S6,T6,V6,A6,Y6,AB6))),""),SUBSTITUTE(IFERROR(IF($H$2="Lower", LOWER(ComputeResourceName(Z6,AC6,AA6,G6,N6,O6,P6,Q6,S6,T6,V6,A6,Y6,AB6)), UPPER(ComputeResourceName(Z6,AC6,AA6,G6,N6,O6,P6,Q6,S6,T6,V6,A6,Y6,AB6))),""), "-",""))</f>
        <v>subcr-management</v>
      </c>
      <c r="L6" s="3">
        <f xml:space="preserve"> IF(K6="","",  IFERROR(VLOOKUP(I6,Resources!$A$2:$AA$1500,9,FALSE)-LEN(K6),0))</f>
        <v>0</v>
      </c>
      <c r="M6" s="3" t="b">
        <f>IF(K6="","",IFERROR(matches(K6,VLOOKUP(I6,Resources!$A$2:$AA$1503,16,FALSE)),FALSE))</f>
        <v>1</v>
      </c>
      <c r="N6" s="3" t="str">
        <f>VLOOKUP(E6,Enviroments!$A$3:$D$59,1,FALSE)</f>
        <v>Production</v>
      </c>
      <c r="O6" s="3" t="str">
        <f>VLOOKUP(E6,Enviroments!$A$3:$D$59,2,FALSE)</f>
        <v>p</v>
      </c>
      <c r="P6" s="3" t="str">
        <f>VLOOKUP(E6,Enviroments!$A$3:$D$59,3,FALSE)</f>
        <v>prd</v>
      </c>
      <c r="Q6" s="3">
        <f>VLOOKUP(E6,Enviroments!$A$3:$D$59,4,FALSE)</f>
        <v>2</v>
      </c>
      <c r="R6" s="3" t="str">
        <f>VLOOKUP(H6,AzureRegions!$A$4:$B$1493,1,FALSE)</f>
        <v>North Europe</v>
      </c>
      <c r="S6" s="3" t="str">
        <f>VLOOKUP(H6,AzureRegions!$A$4:$B$1493,2,FALSE)</f>
        <v>northeurope</v>
      </c>
      <c r="T6" s="3" t="str">
        <f>VLOOKUP(H6,AzureRegions!$A$4:$C$1493,3,FALSE)</f>
        <v>NE</v>
      </c>
      <c r="U6" s="3" t="str">
        <f>VLOOKUP(I6,Resources!$A$2:$AA$1503,2,FALSE)</f>
        <v>Subscription/subscriptions</v>
      </c>
      <c r="V6" s="3" t="str">
        <f>VLOOKUP(I6,Resources!$A$2:$H$1503,6,FALSE)</f>
        <v>subcr-</v>
      </c>
      <c r="W6" s="3" t="str">
        <f>VLOOKUP($H$2,Casing!$A$4:$A$60,1,FALSE)</f>
        <v>Lower</v>
      </c>
      <c r="X6" s="14" t="str">
        <f>A6</f>
        <v>001</v>
      </c>
      <c r="Y6" s="3" t="str">
        <f>IFERROR(VLOOKUP(F6,Func!$A$4:$G$1500,2,FALSE),"none")</f>
        <v>none</v>
      </c>
      <c r="Z6" s="3" t="str">
        <f>VLOOKUP(I6,Resources!$A$2:$AA$1503,18,FALSE)</f>
        <v>{azSrvAbbr}{Component}</v>
      </c>
      <c r="AA6" s="3" t="str">
        <f>IFERROR(VLOOKUP(B6,Orgs!$A$4:$G$1500,2,FALSE),"none")</f>
        <v>none</v>
      </c>
      <c r="AB6" s="3" t="str">
        <f>IFERROR(VLOOKUP(C6,UnitsDepts!$A$4:$G$1500,2,FALSE),"none")</f>
        <v>none</v>
      </c>
      <c r="AC6" s="3" t="str">
        <f>IFERROR(VLOOKUP(D6,ProjAppSvc!$A$4:$G$1500,2,FALSE),"none")</f>
        <v>none</v>
      </c>
    </row>
    <row r="7" spans="1:29" x14ac:dyDescent="0.45">
      <c r="A7" s="14" t="s">
        <v>23</v>
      </c>
      <c r="B7" s="14"/>
      <c r="C7" s="14"/>
      <c r="D7" s="14"/>
      <c r="E7" s="3" t="s">
        <v>24</v>
      </c>
      <c r="G7" s="3" t="s">
        <v>35</v>
      </c>
      <c r="H7" s="8" t="s">
        <v>26</v>
      </c>
      <c r="I7" s="3" t="s">
        <v>1263</v>
      </c>
      <c r="J7" s="3" t="str">
        <f t="shared" si="0"/>
        <v>{azSrvAbbr}{Component}</v>
      </c>
      <c r="K7" s="3" t="str">
        <f>IF(ISNUMBER(SEARCH("-",V7)),IFERROR(IF($H$2="Lower", LOWER(ComputeResourceName(Z7,AC7,AA7,G7,N7,O7,P7,Q7,S7,T7,V7,A7,Y7,AB7)), UPPER(ComputeResourceName(Z7,AC7,AA7,G7,N7,O7,P7,Q7,S7,T7,V7,A7,Y7,AB7))),""),SUBSTITUTE(IFERROR(IF($H$2="Lower", LOWER(ComputeResourceName(Z7,AC7,AA7,G7,N7,O7,P7,Q7,S7,T7,V7,A7,Y7,AB7)), UPPER(ComputeResourceName(Z7,AC7,AA7,G7,N7,O7,P7,Q7,S7,T7,V7,A7,Y7,AB7))),""), "-",""))</f>
        <v>subcr-identity</v>
      </c>
      <c r="L7" s="3">
        <f xml:space="preserve"> IF(K7="","",  IFERROR(VLOOKUP(I7,Resources!$A$2:$AA$1500,9,FALSE)-LEN(K7),0))</f>
        <v>0</v>
      </c>
      <c r="M7" s="3" t="b">
        <f>IF(K7="","",IFERROR(matches(K7,VLOOKUP(I7,Resources!$A$2:$AA$1503,16,FALSE)),FALSE))</f>
        <v>1</v>
      </c>
      <c r="N7" s="3" t="str">
        <f>VLOOKUP(E7,Enviroments!$A$3:$D$59,1,FALSE)</f>
        <v>Production</v>
      </c>
      <c r="O7" s="3" t="str">
        <f>VLOOKUP(E7,Enviroments!$A$3:$D$59,2,FALSE)</f>
        <v>p</v>
      </c>
      <c r="P7" s="3" t="str">
        <f>VLOOKUP(E7,Enviroments!$A$3:$D$59,3,FALSE)</f>
        <v>prd</v>
      </c>
      <c r="Q7" s="3">
        <f>VLOOKUP(E7,Enviroments!$A$3:$D$59,4,FALSE)</f>
        <v>2</v>
      </c>
      <c r="R7" s="3" t="str">
        <f>VLOOKUP(H7,AzureRegions!$A$4:$B$1493,1,FALSE)</f>
        <v>North Europe</v>
      </c>
      <c r="S7" s="3" t="str">
        <f>VLOOKUP(H7,AzureRegions!$A$4:$B$1493,2,FALSE)</f>
        <v>northeurope</v>
      </c>
      <c r="T7" s="3" t="str">
        <f>VLOOKUP(H7,AzureRegions!$A$4:$C$1493,3,FALSE)</f>
        <v>NE</v>
      </c>
      <c r="U7" s="3" t="str">
        <f>VLOOKUP(I7,Resources!$A$2:$AA$1503,2,FALSE)</f>
        <v>Subscription/subscriptions</v>
      </c>
      <c r="V7" s="3" t="str">
        <f>VLOOKUP(I7,Resources!$A$2:$H$1503,6,FALSE)</f>
        <v>subcr-</v>
      </c>
      <c r="W7" s="3" t="str">
        <f>VLOOKUP($H$2,Casing!$A$4:$A$60,1,FALSE)</f>
        <v>Lower</v>
      </c>
      <c r="X7" s="14" t="str">
        <f t="shared" ref="X7:X70" si="1">A7</f>
        <v>001</v>
      </c>
      <c r="Y7" s="3" t="str">
        <f>IFERROR(VLOOKUP(F7,Func!$A$4:$G$1500,2,FALSE),"none")</f>
        <v>none</v>
      </c>
      <c r="Z7" s="3" t="str">
        <f>VLOOKUP(I7,Resources!$A$2:$AA$1503,18,FALSE)</f>
        <v>{azSrvAbbr}{Component}</v>
      </c>
      <c r="AA7" s="3" t="str">
        <f>IFERROR(VLOOKUP(B7,Orgs!$A$4:$G$1500,2,FALSE),"none")</f>
        <v>none</v>
      </c>
      <c r="AB7" s="3" t="str">
        <f>IFERROR(VLOOKUP(C7,UnitsDepts!$A$4:$G$1500,2,FALSE),"none")</f>
        <v>none</v>
      </c>
      <c r="AC7" s="3" t="str">
        <f>IFERROR(VLOOKUP(D7,ProjAppSvc!$A$4:$G$1500,2,FALSE),"none")</f>
        <v>none</v>
      </c>
    </row>
    <row r="8" spans="1:29" x14ac:dyDescent="0.45">
      <c r="A8" s="14" t="s">
        <v>23</v>
      </c>
      <c r="B8" s="14"/>
      <c r="C8" s="14"/>
      <c r="D8" s="14"/>
      <c r="H8" s="8"/>
      <c r="I8" s="3"/>
      <c r="J8" s="3" t="str">
        <f t="shared" si="0"/>
        <v/>
      </c>
      <c r="K8" s="3" t="str">
        <f>IF(ISNUMBER(SEARCH("-",V8)),IFERROR(IF($H$2="Lower", LOWER(ComputeResourceName(Z8,AC8,AA8,G8,N8,O8,P8,Q8,S8,T8,V8,A8,Y8,AB8)), UPPER(ComputeResourceName(Z8,AC8,AA8,G8,N8,O8,P8,Q8,S8,T8,V8,A8,Y8,AB8))),""),SUBSTITUTE(IFERROR(IF($H$2="Lower", LOWER(ComputeResourceName(Z8,AC8,AA8,G8,N8,O8,P8,Q8,S8,T8,V8,A8,Y8,AB8)), UPPER(ComputeResourceName(Z8,AC8,AA8,G8,N8,O8,P8,Q8,S8,T8,V8,A8,Y8,AB8))),""), "-",""))</f>
        <v/>
      </c>
      <c r="L8" s="3" t="str">
        <f xml:space="preserve"> IF(K8="","",  IFERROR(VLOOKUP(I8,Resources!$A$2:$AA$1500,9,FALSE)-LEN(K8),0))</f>
        <v/>
      </c>
      <c r="M8" s="3" t="str">
        <f>IF(K8="","",IFERROR(matches(K8,VLOOKUP(I8,Resources!$A$2:$AA$1503,16,FALSE)),FALSE))</f>
        <v/>
      </c>
      <c r="N8" s="3" t="e">
        <f>VLOOKUP(E8,Enviroments!$A$3:$D$59,1,FALSE)</f>
        <v>#N/A</v>
      </c>
      <c r="O8" s="3" t="e">
        <f>VLOOKUP(E8,Enviroments!$A$3:$D$59,2,FALSE)</f>
        <v>#N/A</v>
      </c>
      <c r="P8" s="3" t="e">
        <f>VLOOKUP(E8,Enviroments!$A$3:$D$59,3,FALSE)</f>
        <v>#N/A</v>
      </c>
      <c r="Q8" s="3" t="e">
        <f>VLOOKUP(E8,Enviroments!$A$3:$D$59,4,FALSE)</f>
        <v>#N/A</v>
      </c>
      <c r="R8" s="3" t="e">
        <f>VLOOKUP(H8,AzureRegions!$A$4:$B$1493,1,FALSE)</f>
        <v>#N/A</v>
      </c>
      <c r="S8" s="3" t="e">
        <f>VLOOKUP(H8,AzureRegions!$A$4:$B$1493,2,FALSE)</f>
        <v>#N/A</v>
      </c>
      <c r="T8" s="3" t="e">
        <f>VLOOKUP(H8,AzureRegions!$A$4:$C$1493,3,FALSE)</f>
        <v>#N/A</v>
      </c>
      <c r="U8" s="3" t="e">
        <f>VLOOKUP(I8,Resources!$A$2:$AA$1503,2,FALSE)</f>
        <v>#N/A</v>
      </c>
      <c r="V8" s="3" t="e">
        <f>VLOOKUP(I8,Resources!$A$2:$H$1503,6,FALSE)</f>
        <v>#N/A</v>
      </c>
      <c r="W8" s="3" t="str">
        <f>VLOOKUP($H$2,Casing!$A$4:$A$60,1,FALSE)</f>
        <v>Lower</v>
      </c>
      <c r="X8" s="14" t="str">
        <f t="shared" si="1"/>
        <v>001</v>
      </c>
      <c r="Y8" s="3" t="str">
        <f>IFERROR(VLOOKUP(F8,Func!$A$4:$G$1500,2,FALSE),"none")</f>
        <v>none</v>
      </c>
      <c r="Z8" s="3" t="e">
        <f>VLOOKUP(I8,Resources!$A$2:$AA$1503,18,FALSE)</f>
        <v>#N/A</v>
      </c>
      <c r="AA8" s="3" t="str">
        <f>IFERROR(VLOOKUP(B8,Orgs!$A$4:$G$1500,2,FALSE),"none")</f>
        <v>none</v>
      </c>
      <c r="AB8" s="3" t="str">
        <f>IFERROR(VLOOKUP(C8,UnitsDepts!$A$4:$G$1500,2,FALSE),"none")</f>
        <v>none</v>
      </c>
      <c r="AC8" s="3" t="str">
        <f>IFERROR(VLOOKUP(D8,ProjAppSvc!$A$4:$G$1500,2,FALSE),"none")</f>
        <v>none</v>
      </c>
    </row>
    <row r="9" spans="1:29" x14ac:dyDescent="0.45">
      <c r="A9" s="14" t="s">
        <v>23</v>
      </c>
      <c r="B9" s="14"/>
      <c r="C9" s="14"/>
      <c r="D9" s="14"/>
      <c r="H9" s="8"/>
      <c r="I9" s="3"/>
      <c r="J9" s="3" t="str">
        <f t="shared" si="0"/>
        <v/>
      </c>
      <c r="K9" s="3" t="str">
        <f>IF(ISNUMBER(SEARCH("-",V9)),IFERROR(IF($H$2="Lower", LOWER(ComputeResourceName(Z9,AC9,AA9,G9,N9,O9,P9,Q9,S9,T9,V9,A9,Y9,AB9)), UPPER(ComputeResourceName(Z9,AC9,AA9,G9,N9,O9,P9,Q9,S9,T9,V9,A9,Y9,AB9))),""),SUBSTITUTE(IFERROR(IF($H$2="Lower", LOWER(ComputeResourceName(Z9,AC9,AA9,G9,N9,O9,P9,Q9,S9,T9,V9,A9,Y9,AB9)), UPPER(ComputeResourceName(Z9,AC9,AA9,G9,N9,O9,P9,Q9,S9,T9,V9,A9,Y9,AB9))),""), "-",""))</f>
        <v/>
      </c>
      <c r="L9" s="3" t="str">
        <f xml:space="preserve"> IF(K9="","",  IFERROR(VLOOKUP(I9,Resources!$A$2:$AA$1500,9,FALSE)-LEN(K9),0))</f>
        <v/>
      </c>
      <c r="M9" s="3" t="str">
        <f>IF(K9="","",IFERROR(matches(K9,VLOOKUP(I9,Resources!$A$2:$AA$1503,16,FALSE)),FALSE))</f>
        <v/>
      </c>
      <c r="N9" s="3" t="e">
        <f>VLOOKUP(E9,Enviroments!$A$3:$D$59,1,FALSE)</f>
        <v>#N/A</v>
      </c>
      <c r="O9" s="3" t="e">
        <f>VLOOKUP(E9,Enviroments!$A$3:$D$59,2,FALSE)</f>
        <v>#N/A</v>
      </c>
      <c r="P9" s="3" t="e">
        <f>VLOOKUP(E9,Enviroments!$A$3:$D$59,3,FALSE)</f>
        <v>#N/A</v>
      </c>
      <c r="Q9" s="3" t="e">
        <f>VLOOKUP(E9,Enviroments!$A$3:$D$59,4,FALSE)</f>
        <v>#N/A</v>
      </c>
      <c r="R9" s="3" t="e">
        <f>VLOOKUP(H9,AzureRegions!$A$4:$B$1493,1,FALSE)</f>
        <v>#N/A</v>
      </c>
      <c r="S9" s="3" t="e">
        <f>VLOOKUP(H9,AzureRegions!$A$4:$B$1493,2,FALSE)</f>
        <v>#N/A</v>
      </c>
      <c r="T9" s="3" t="e">
        <f>VLOOKUP(H9,AzureRegions!$A$4:$C$1493,3,FALSE)</f>
        <v>#N/A</v>
      </c>
      <c r="U9" s="3" t="e">
        <f>VLOOKUP(I9,Resources!$A$2:$AA$1503,2,FALSE)</f>
        <v>#N/A</v>
      </c>
      <c r="V9" s="3" t="e">
        <f>VLOOKUP(I9,Resources!$A$2:$H$1503,6,FALSE)</f>
        <v>#N/A</v>
      </c>
      <c r="W9" s="3" t="str">
        <f>VLOOKUP($H$2,Casing!$A$4:$A$60,1,FALSE)</f>
        <v>Lower</v>
      </c>
      <c r="X9" s="14" t="str">
        <f t="shared" si="1"/>
        <v>001</v>
      </c>
      <c r="Y9" s="3" t="str">
        <f>IFERROR(VLOOKUP(F9,Func!$A$4:$G$1500,2,FALSE),"none")</f>
        <v>none</v>
      </c>
      <c r="Z9" s="3" t="e">
        <f>VLOOKUP(I9,Resources!$A$2:$AA$1503,18,FALSE)</f>
        <v>#N/A</v>
      </c>
      <c r="AA9" s="3" t="str">
        <f>IFERROR(VLOOKUP(B9,Orgs!$A$4:$G$1500,2,FALSE),"none")</f>
        <v>none</v>
      </c>
      <c r="AB9" s="3" t="str">
        <f>IFERROR(VLOOKUP(C9,UnitsDepts!$A$4:$G$1500,2,FALSE),"none")</f>
        <v>none</v>
      </c>
      <c r="AC9" s="3" t="str">
        <f>IFERROR(VLOOKUP(D9,ProjAppSvc!$A$4:$G$1500,2,FALSE),"none")</f>
        <v>none</v>
      </c>
    </row>
    <row r="10" spans="1:29" x14ac:dyDescent="0.45">
      <c r="A10" s="14" t="s">
        <v>23</v>
      </c>
      <c r="B10" s="14"/>
      <c r="C10" s="14"/>
      <c r="D10" s="14"/>
      <c r="H10" s="8"/>
      <c r="I10" s="3"/>
      <c r="J10" s="3" t="str">
        <f t="shared" si="0"/>
        <v/>
      </c>
      <c r="K10" s="3" t="str">
        <f>IF(ISNUMBER(SEARCH("-",V10)),IFERROR(IF($H$2="Lower", LOWER(ComputeResourceName(Z10,AC10,AA10,G10,N10,O10,P10,Q10,S10,T10,V10,A10,Y10,AB10)), UPPER(ComputeResourceName(Z10,AC10,AA10,G10,N10,O10,P10,Q10,S10,T10,V10,A10,Y10,AB10))),""),SUBSTITUTE(IFERROR(IF($H$2="Lower", LOWER(ComputeResourceName(Z10,AC10,AA10,G10,N10,O10,P10,Q10,S10,T10,V10,A10,Y10,AB10)), UPPER(ComputeResourceName(Z10,AC10,AA10,G10,N10,O10,P10,Q10,S10,T10,V10,A10,Y10,AB10))),""), "-",""))</f>
        <v/>
      </c>
      <c r="L10" s="3" t="str">
        <f xml:space="preserve"> IF(K10="","",  IFERROR(VLOOKUP(I10,Resources!$A$2:$AA$1500,9,FALSE)-LEN(K10),0))</f>
        <v/>
      </c>
      <c r="M10" s="3" t="str">
        <f>IF(K10="","",IFERROR(matches(K10,VLOOKUP(I10,Resources!$A$2:$AA$1503,16,FALSE)),FALSE))</f>
        <v/>
      </c>
      <c r="N10" s="3" t="e">
        <f>VLOOKUP(E10,Enviroments!$A$3:$D$59,1,FALSE)</f>
        <v>#N/A</v>
      </c>
      <c r="O10" s="3" t="e">
        <f>VLOOKUP(E10,Enviroments!$A$3:$D$59,2,FALSE)</f>
        <v>#N/A</v>
      </c>
      <c r="P10" s="3" t="e">
        <f>VLOOKUP(E10,Enviroments!$A$3:$D$59,3,FALSE)</f>
        <v>#N/A</v>
      </c>
      <c r="Q10" s="3" t="e">
        <f>VLOOKUP(E10,Enviroments!$A$3:$D$59,4,FALSE)</f>
        <v>#N/A</v>
      </c>
      <c r="R10" s="3" t="e">
        <f>VLOOKUP(H10,AzureRegions!$A$4:$B$1493,1,FALSE)</f>
        <v>#N/A</v>
      </c>
      <c r="S10" s="3" t="e">
        <f>VLOOKUP(H10,AzureRegions!$A$4:$B$1493,2,FALSE)</f>
        <v>#N/A</v>
      </c>
      <c r="T10" s="3" t="e">
        <f>VLOOKUP(H10,AzureRegions!$A$4:$C$1493,3,FALSE)</f>
        <v>#N/A</v>
      </c>
      <c r="U10" s="3" t="e">
        <f>VLOOKUP(I10,Resources!$A$2:$AA$1503,2,FALSE)</f>
        <v>#N/A</v>
      </c>
      <c r="V10" s="3" t="e">
        <f>VLOOKUP(I10,Resources!$A$2:$H$1503,6,FALSE)</f>
        <v>#N/A</v>
      </c>
      <c r="W10" s="3" t="str">
        <f>VLOOKUP($H$2,Casing!$A$4:$A$60,1,FALSE)</f>
        <v>Lower</v>
      </c>
      <c r="X10" s="14" t="str">
        <f t="shared" si="1"/>
        <v>001</v>
      </c>
      <c r="Y10" s="3" t="str">
        <f>IFERROR(VLOOKUP(F10,Func!$A$4:$G$1500,2,FALSE),"none")</f>
        <v>none</v>
      </c>
      <c r="Z10" s="3" t="e">
        <f>VLOOKUP(I10,Resources!$A$2:$AA$1503,18,FALSE)</f>
        <v>#N/A</v>
      </c>
      <c r="AA10" s="3" t="str">
        <f>IFERROR(VLOOKUP(B10,Orgs!$A$4:$G$1500,2,FALSE),"none")</f>
        <v>none</v>
      </c>
      <c r="AB10" s="3" t="str">
        <f>IFERROR(VLOOKUP(C10,UnitsDepts!$A$4:$G$1500,2,FALSE),"none")</f>
        <v>none</v>
      </c>
      <c r="AC10" s="3" t="str">
        <f>IFERROR(VLOOKUP(D10,ProjAppSvc!$A$4:$G$1500,2,FALSE),"none")</f>
        <v>none</v>
      </c>
    </row>
    <row r="11" spans="1:29" x14ac:dyDescent="0.45">
      <c r="A11" s="14" t="s">
        <v>23</v>
      </c>
      <c r="B11" s="14"/>
      <c r="C11" s="14"/>
      <c r="D11" s="14"/>
      <c r="H11" s="8"/>
      <c r="I11" s="3"/>
      <c r="J11" s="3" t="str">
        <f>IFERROR(Z11, "")</f>
        <v/>
      </c>
      <c r="K11" s="3" t="str">
        <f>IF(ISNUMBER(SEARCH("-",V11)),IFERROR(IF($H$2="Lower", LOWER(ComputeResourceName(Z11,AC11,AA11,G11,N11,O11,P11,Q11,S11,T11,V11,A11,Y11,AB11)), UPPER(ComputeResourceName(Z11,AC11,AA11,G11,N11,O11,P11,Q11,S11,T11,V11,A11,Y11,AB11))),""),SUBSTITUTE(IFERROR(IF($H$2="Lower", LOWER(ComputeResourceName(Z11,AC11,AA11,G11,N11,O11,P11,Q11,S11,T11,V11,A11,Y11,AB11)), UPPER(ComputeResourceName(Z11,AC11,AA11,G11,N11,O11,P11,Q11,S11,T11,V11,A11,Y11,AB11))),""), "-",""))</f>
        <v/>
      </c>
      <c r="L11" s="3" t="str">
        <f xml:space="preserve"> IF(K11="","",  IFERROR(VLOOKUP(I11,Resources!$A$2:$AA$1500,9,FALSE)-LEN(K11),0))</f>
        <v/>
      </c>
      <c r="M11" s="3" t="str">
        <f>IF(K11="","",IFERROR(matches(K11,VLOOKUP(I11,Resources!$A$2:$AA$1503,16,FALSE)),FALSE))</f>
        <v/>
      </c>
      <c r="N11" s="3" t="e">
        <f>VLOOKUP(E11,Enviroments!$A$3:$D$59,1,FALSE)</f>
        <v>#N/A</v>
      </c>
      <c r="O11" s="3" t="e">
        <f>VLOOKUP(E11,Enviroments!$A$3:$D$59,2,FALSE)</f>
        <v>#N/A</v>
      </c>
      <c r="P11" s="3" t="e">
        <f>VLOOKUP(E11,Enviroments!$A$3:$D$59,3,FALSE)</f>
        <v>#N/A</v>
      </c>
      <c r="Q11" s="3" t="e">
        <f>VLOOKUP(E11,Enviroments!$A$3:$D$59,4,FALSE)</f>
        <v>#N/A</v>
      </c>
      <c r="R11" s="3" t="e">
        <f>VLOOKUP(H11,AzureRegions!$A$4:$B$1493,1,FALSE)</f>
        <v>#N/A</v>
      </c>
      <c r="S11" s="3" t="e">
        <f>VLOOKUP(H11,AzureRegions!$A$4:$B$1493,2,FALSE)</f>
        <v>#N/A</v>
      </c>
      <c r="T11" s="3" t="e">
        <f>VLOOKUP(H11,AzureRegions!$A$4:$C$1493,3,FALSE)</f>
        <v>#N/A</v>
      </c>
      <c r="U11" s="3" t="e">
        <f>VLOOKUP(I11,Resources!$A$2:$AA$1503,2,FALSE)</f>
        <v>#N/A</v>
      </c>
      <c r="V11" s="3" t="e">
        <f>VLOOKUP(I11,Resources!$A$2:$H$1503,6,FALSE)</f>
        <v>#N/A</v>
      </c>
      <c r="W11" s="3" t="str">
        <f>VLOOKUP($H$2,Casing!$A$4:$A$60,1,FALSE)</f>
        <v>Lower</v>
      </c>
      <c r="X11" s="14" t="str">
        <f t="shared" si="1"/>
        <v>001</v>
      </c>
      <c r="Y11" s="3" t="str">
        <f>IFERROR(VLOOKUP(F11,Func!$A$4:$G$1500,2,FALSE),"none")</f>
        <v>none</v>
      </c>
      <c r="Z11" s="3" t="e">
        <f>VLOOKUP(I11,Resources!$A$2:$AA$1503,18,FALSE)</f>
        <v>#N/A</v>
      </c>
      <c r="AA11" s="3" t="str">
        <f>IFERROR(VLOOKUP(B11,Orgs!$A$4:$G$1500,2,FALSE),"none")</f>
        <v>none</v>
      </c>
      <c r="AB11" s="3" t="str">
        <f>IFERROR(VLOOKUP(C11,UnitsDepts!$A$4:$G$1500,2,FALSE),"none")</f>
        <v>none</v>
      </c>
      <c r="AC11" s="3" t="str">
        <f>IFERROR(VLOOKUP(D11,ProjAppSvc!$A$4:$G$1500,2,FALSE),"none")</f>
        <v>none</v>
      </c>
    </row>
    <row r="12" spans="1:29" x14ac:dyDescent="0.45">
      <c r="A12" s="14" t="s">
        <v>23</v>
      </c>
      <c r="B12" s="14"/>
      <c r="C12" s="14"/>
      <c r="D12" s="14"/>
      <c r="H12" s="8"/>
      <c r="I12" s="3"/>
      <c r="J12" s="3" t="str">
        <f>IFERROR(Z12, "")</f>
        <v/>
      </c>
      <c r="K12" s="3" t="str">
        <f>IF(ISNUMBER(SEARCH("-",V12)),IFERROR(IF($H$2="Lower", LOWER(ComputeResourceName(Z12,#REF!,#REF!,G12,N12,O12,P12,Q12,S12,T12,V12,A12)), UPPER(ComputeResourceName(Z12,#REF!,#REF!,G12,N12,O12,P12,Q12,S12,T12,V12,A12))),""),SUBSTITUTE(IFERROR(IF($H$2="Lower", LOWER(ComputeResourceName(#REF!,#REF!,#REF!,G12,N12,O12,P12,Q12,S12,T12,V12,A12)), UPPER(ComputeResourceName(#REF!,#REF!,#REF!,G12,N12,O12,P12,Q12,S12,T12,V12,A12))),""), "-",""))</f>
        <v/>
      </c>
      <c r="L12" s="3" t="str">
        <f xml:space="preserve"> IF(K12="","",  IFERROR(VLOOKUP(I12,Resources!$B$1:$H$1503,5,FALSE)-LEN(K12),0))</f>
        <v/>
      </c>
      <c r="M12" s="3" t="str">
        <f>IF(K12="","",IFERROR(matches(K12,VLOOKUP(I12,Resources!$A$2:$AA$1503,16,FALSE)),FALSE))</f>
        <v/>
      </c>
      <c r="N12" s="3" t="e">
        <f>VLOOKUP(E12,Enviroments!$A$3:$D$59,1,FALSE)</f>
        <v>#N/A</v>
      </c>
      <c r="O12" s="3" t="e">
        <f>VLOOKUP(E12,Enviroments!$A$3:$D$59,2,FALSE)</f>
        <v>#N/A</v>
      </c>
      <c r="P12" s="3" t="e">
        <f>VLOOKUP(E12,Enviroments!$A$3:$D$59,3,FALSE)</f>
        <v>#N/A</v>
      </c>
      <c r="Q12" s="3" t="e">
        <f>VLOOKUP(E12,Enviroments!$A$3:$D$59,4,FALSE)</f>
        <v>#N/A</v>
      </c>
      <c r="R12" s="3" t="e">
        <f>VLOOKUP(H12,AzureRegions!$A$4:$B$1493,1,FALSE)</f>
        <v>#N/A</v>
      </c>
      <c r="S12" s="3" t="e">
        <f>VLOOKUP(H12,AzureRegions!$A$4:$B$1493,2,FALSE)</f>
        <v>#N/A</v>
      </c>
      <c r="T12" s="3" t="e">
        <f>VLOOKUP(H12,AzureRegions!$A$4:$C$1493,3,FALSE)</f>
        <v>#N/A</v>
      </c>
      <c r="U12" s="3" t="e">
        <f>VLOOKUP(I12,Resources!$A$2:$AA$1503,2,FALSE)</f>
        <v>#N/A</v>
      </c>
      <c r="V12" s="3" t="e">
        <f>VLOOKUP(I12,Resources!$A$2:$H$1503,6,FALSE)</f>
        <v>#N/A</v>
      </c>
      <c r="W12" s="3" t="str">
        <f>VLOOKUP($H$2,Casing!$A$4:$A$60,1,FALSE)</f>
        <v>Lower</v>
      </c>
      <c r="X12" s="14" t="str">
        <f t="shared" si="1"/>
        <v>001</v>
      </c>
      <c r="Y12" s="3" t="str">
        <f>IFERROR(VLOOKUP(F12,Func!$A$4:$G$1500,2,FALSE),"none")</f>
        <v>none</v>
      </c>
      <c r="Z12" s="3" t="e">
        <f>VLOOKUP(I12,Resources!$A$2:$AA$1503,18,FALSE)</f>
        <v>#N/A</v>
      </c>
      <c r="AA12" s="3" t="str">
        <f>IFERROR(VLOOKUP(B12,Orgs!$A$4:$G$1500,2,FALSE),"none")</f>
        <v>none</v>
      </c>
      <c r="AB12" s="3" t="str">
        <f>IFERROR(VLOOKUP(C12,UnitsDepts!$A$4:$G$1500,2,FALSE),"none")</f>
        <v>none</v>
      </c>
      <c r="AC12" s="3" t="str">
        <f>IFERROR(VLOOKUP(D12,ProjAppSvc!$A$4:$G$1500,2,FALSE),"none")</f>
        <v>none</v>
      </c>
    </row>
    <row r="13" spans="1:29" x14ac:dyDescent="0.45">
      <c r="A13" s="14" t="s">
        <v>23</v>
      </c>
      <c r="B13" s="14"/>
      <c r="C13" s="14"/>
      <c r="D13" s="14"/>
      <c r="H13" s="8"/>
      <c r="I13" s="14"/>
      <c r="J13" s="3" t="str">
        <f t="shared" ref="J13:J76" si="2">IFERROR(Z13, "")</f>
        <v/>
      </c>
      <c r="K13" s="3" t="str">
        <f>IF(ISNUMBER(SEARCH("-",V13)),IFERROR(IF($H$2="Lower", LOWER(ComputeResourceName(Z13,#REF!,#REF!,G13,N13,O13,P13,Q13,S13,T13,V13,A13)), UPPER(ComputeResourceName(Z13,#REF!,#REF!,G13,N13,O13,P13,Q13,S13,T13,V13,A13))),""),SUBSTITUTE(IFERROR(IF($H$2="Lower", LOWER(ComputeResourceName(#REF!,#REF!,#REF!,G13,N13,O13,P13,Q13,S13,T13,V13,A13)), UPPER(ComputeResourceName(#REF!,#REF!,#REF!,G13,N13,O13,P13,Q13,S13,T13,V13,A13))),""), "-",""))</f>
        <v/>
      </c>
      <c r="L13" s="3" t="str">
        <f xml:space="preserve"> IF(K13="","",  IFERROR(VLOOKUP(I13,Resources!$B$1:$H$1503,5,FALSE)-LEN(K13),0))</f>
        <v/>
      </c>
      <c r="M13" s="3" t="str">
        <f>IF(K13="","",IFERROR(matches(K13,VLOOKUP(I13,Resources!$A$2:$AA$1503,16,FALSE)),FALSE))</f>
        <v/>
      </c>
      <c r="N13" s="3" t="e">
        <f>VLOOKUP(E13,Enviroments!$A$3:$D$59,1,FALSE)</f>
        <v>#N/A</v>
      </c>
      <c r="O13" s="3" t="e">
        <f>VLOOKUP(E13,Enviroments!$A$3:$D$59,2,FALSE)</f>
        <v>#N/A</v>
      </c>
      <c r="P13" s="3" t="e">
        <f>VLOOKUP(E13,Enviroments!$A$3:$D$59,3,FALSE)</f>
        <v>#N/A</v>
      </c>
      <c r="Q13" s="3" t="e">
        <f>VLOOKUP(E13,Enviroments!$A$3:$D$59,4,FALSE)</f>
        <v>#N/A</v>
      </c>
      <c r="R13" s="3" t="e">
        <f>VLOOKUP(H13,AzureRegions!$A$4:$B$1493,1,FALSE)</f>
        <v>#N/A</v>
      </c>
      <c r="S13" s="3" t="e">
        <f>VLOOKUP(H13,AzureRegions!$A$4:$B$1493,2,FALSE)</f>
        <v>#N/A</v>
      </c>
      <c r="T13" s="3" t="e">
        <f>VLOOKUP(H13,AzureRegions!$A$4:$C$1493,3,FALSE)</f>
        <v>#N/A</v>
      </c>
      <c r="U13" s="3" t="e">
        <f>VLOOKUP(I13,Resources!$A$2:$AA$1503,2,FALSE)</f>
        <v>#N/A</v>
      </c>
      <c r="V13" s="3" t="e">
        <f>VLOOKUP(I13,Resources!$A$2:$H$1503,6,FALSE)</f>
        <v>#N/A</v>
      </c>
      <c r="W13" s="3" t="str">
        <f>VLOOKUP($H$2,Casing!$A$4:$A$60,1,FALSE)</f>
        <v>Lower</v>
      </c>
      <c r="X13" s="14" t="str">
        <f t="shared" si="1"/>
        <v>001</v>
      </c>
      <c r="Y13" s="3" t="str">
        <f>IFERROR(VLOOKUP(F13,Func!$A$4:$G$1500,2,FALSE),"none")</f>
        <v>none</v>
      </c>
      <c r="Z13" s="3" t="e">
        <f>VLOOKUP(I13,Resources!$A$2:$AA$1503,18,FALSE)</f>
        <v>#N/A</v>
      </c>
      <c r="AA13" s="3" t="str">
        <f>IFERROR(VLOOKUP(B13,Orgs!$A$4:$G$1500,2,FALSE),"none")</f>
        <v>none</v>
      </c>
      <c r="AB13" s="3" t="str">
        <f>IFERROR(VLOOKUP(C13,UnitsDepts!$A$4:$G$1500,2,FALSE),"none")</f>
        <v>none</v>
      </c>
      <c r="AC13" s="3" t="str">
        <f>IFERROR(VLOOKUP(D13,ProjAppSvc!$A$4:$G$1500,2,FALSE),"none")</f>
        <v>none</v>
      </c>
    </row>
    <row r="14" spans="1:29" x14ac:dyDescent="0.45">
      <c r="A14" s="14" t="s">
        <v>23</v>
      </c>
      <c r="B14" s="14"/>
      <c r="C14" s="14"/>
      <c r="D14" s="14"/>
      <c r="H14" s="8"/>
      <c r="I14" s="3"/>
      <c r="J14" s="3" t="str">
        <f t="shared" si="2"/>
        <v/>
      </c>
      <c r="K14" s="3" t="str">
        <f>IF(ISNUMBER(SEARCH("-",V14)),IFERROR(IF($H$2="Lower", LOWER(ComputeResourceName(Z14,#REF!,#REF!,G14,N14,O14,P14,Q14,S14,T14,V14,A14)), UPPER(ComputeResourceName(Z14,#REF!,#REF!,G14,N14,O14,P14,Q14,S14,T14,V14,A14))),""),SUBSTITUTE(IFERROR(IF($H$2="Lower", LOWER(ComputeResourceName(#REF!,#REF!,#REF!,G14,N14,O14,P14,Q14,S14,T14,V14,A14)), UPPER(ComputeResourceName(#REF!,#REF!,#REF!,G14,N14,O14,P14,Q14,S14,T14,V14,A14))),""), "-",""))</f>
        <v/>
      </c>
      <c r="L14" s="3" t="str">
        <f xml:space="preserve"> IF(K14="","",  IFERROR(VLOOKUP(I14,Resources!$B$1:$H$1503,5,FALSE)-LEN(K14),0))</f>
        <v/>
      </c>
      <c r="M14" s="3" t="str">
        <f>IF(K14="","",IFERROR(matches(K14,VLOOKUP(I14,Resources!$A$2:$AA$1503,16,FALSE)),FALSE))</f>
        <v/>
      </c>
      <c r="N14" s="3" t="e">
        <f>VLOOKUP(E14,Enviroments!$A$3:$D$59,1,FALSE)</f>
        <v>#N/A</v>
      </c>
      <c r="O14" s="3" t="e">
        <f>VLOOKUP(E14,Enviroments!$A$3:$D$59,2,FALSE)</f>
        <v>#N/A</v>
      </c>
      <c r="P14" s="3" t="e">
        <f>VLOOKUP(E14,Enviroments!$A$3:$D$59,3,FALSE)</f>
        <v>#N/A</v>
      </c>
      <c r="Q14" s="3" t="e">
        <f>VLOOKUP(E14,Enviroments!$A$3:$D$59,4,FALSE)</f>
        <v>#N/A</v>
      </c>
      <c r="R14" s="3" t="e">
        <f>VLOOKUP(H14,AzureRegions!$A$4:$B$1493,1,FALSE)</f>
        <v>#N/A</v>
      </c>
      <c r="S14" s="3" t="e">
        <f>VLOOKUP(H14,AzureRegions!$A$4:$B$1493,2,FALSE)</f>
        <v>#N/A</v>
      </c>
      <c r="T14" s="3" t="e">
        <f>VLOOKUP(H14,AzureRegions!$A$4:$C$1493,3,FALSE)</f>
        <v>#N/A</v>
      </c>
      <c r="U14" s="3" t="e">
        <f>VLOOKUP(I14,Resources!$A$2:$AA$1503,2,FALSE)</f>
        <v>#N/A</v>
      </c>
      <c r="V14" s="3" t="e">
        <f>VLOOKUP(I14,Resources!$A$2:$H$1503,6,FALSE)</f>
        <v>#N/A</v>
      </c>
      <c r="W14" s="3" t="str">
        <f>VLOOKUP($H$2,Casing!$A$4:$A$60,1,FALSE)</f>
        <v>Lower</v>
      </c>
      <c r="X14" s="14" t="str">
        <f t="shared" si="1"/>
        <v>001</v>
      </c>
      <c r="Y14" s="3" t="str">
        <f>IFERROR(VLOOKUP(F14,Func!$A$4:$G$1500,2,FALSE),"none")</f>
        <v>none</v>
      </c>
      <c r="Z14" s="3" t="e">
        <f>VLOOKUP(I14,Resources!$A$2:$AA$1503,18,FALSE)</f>
        <v>#N/A</v>
      </c>
      <c r="AA14" s="3" t="str">
        <f>IFERROR(VLOOKUP(B14,Orgs!$A$4:$G$1500,2,FALSE),"none")</f>
        <v>none</v>
      </c>
      <c r="AB14" s="3" t="str">
        <f>IFERROR(VLOOKUP(C14,UnitsDepts!$A$4:$G$1500,2,FALSE),"none")</f>
        <v>none</v>
      </c>
      <c r="AC14" s="3" t="str">
        <f>IFERROR(VLOOKUP(D14,ProjAppSvc!$A$4:$G$1500,2,FALSE),"none")</f>
        <v>none</v>
      </c>
    </row>
    <row r="15" spans="1:29" x14ac:dyDescent="0.45">
      <c r="A15" s="14" t="s">
        <v>23</v>
      </c>
      <c r="B15" s="14"/>
      <c r="C15" s="14"/>
      <c r="D15" s="14"/>
      <c r="H15" s="8"/>
      <c r="I15" s="14"/>
      <c r="J15" s="3" t="str">
        <f t="shared" si="2"/>
        <v/>
      </c>
      <c r="K15" s="3" t="str">
        <f>IF(ISNUMBER(SEARCH("-",V15)),IFERROR(IF($H$2="Lower", LOWER(ComputeResourceName(Z15,#REF!,#REF!,G15,N15,O15,P15,Q15,S15,T15,V15,A15)), UPPER(ComputeResourceName(Z15,#REF!,#REF!,G15,N15,O15,P15,Q15,S15,T15,V15,A15))),""),SUBSTITUTE(IFERROR(IF($H$2="Lower", LOWER(ComputeResourceName(#REF!,#REF!,#REF!,G15,N15,O15,P15,Q15,S15,T15,V15,A15)), UPPER(ComputeResourceName(#REF!,#REF!,#REF!,G15,N15,O15,P15,Q15,S15,T15,V15,A15))),""), "-",""))</f>
        <v/>
      </c>
      <c r="L15" s="3" t="str">
        <f xml:space="preserve"> IF(K15="","",  IFERROR(VLOOKUP(I15,Resources!$B$1:$H$1503,5,FALSE)-LEN(K15),0))</f>
        <v/>
      </c>
      <c r="M15" s="3" t="str">
        <f>IF(K15="","",IFERROR(matches(K15,VLOOKUP(I15,Resources!$A$2:$AA$1503,16,FALSE)),FALSE))</f>
        <v/>
      </c>
      <c r="N15" s="3" t="e">
        <f>VLOOKUP(E15,Enviroments!$A$3:$D$59,1,FALSE)</f>
        <v>#N/A</v>
      </c>
      <c r="O15" s="3" t="e">
        <f>VLOOKUP(E15,Enviroments!$A$3:$D$59,2,FALSE)</f>
        <v>#N/A</v>
      </c>
      <c r="P15" s="3" t="e">
        <f>VLOOKUP(E15,Enviroments!$A$3:$D$59,3,FALSE)</f>
        <v>#N/A</v>
      </c>
      <c r="Q15" s="3" t="e">
        <f>VLOOKUP(E15,Enviroments!$A$3:$D$59,4,FALSE)</f>
        <v>#N/A</v>
      </c>
      <c r="R15" s="3" t="e">
        <f>VLOOKUP(H15,AzureRegions!$A$4:$B$1493,1,FALSE)</f>
        <v>#N/A</v>
      </c>
      <c r="S15" s="3" t="e">
        <f>VLOOKUP(H15,AzureRegions!$A$4:$B$1493,2,FALSE)</f>
        <v>#N/A</v>
      </c>
      <c r="T15" s="3" t="e">
        <f>VLOOKUP(H15,AzureRegions!$A$4:$C$1493,3,FALSE)</f>
        <v>#N/A</v>
      </c>
      <c r="U15" s="3" t="e">
        <f>VLOOKUP(I15,Resources!$A$2:$AA$1503,2,FALSE)</f>
        <v>#N/A</v>
      </c>
      <c r="V15" s="3" t="e">
        <f>VLOOKUP(I15,Resources!$A$2:$H$1503,6,FALSE)</f>
        <v>#N/A</v>
      </c>
      <c r="W15" s="3" t="str">
        <f>VLOOKUP($H$2,Casing!$A$4:$A$60,1,FALSE)</f>
        <v>Lower</v>
      </c>
      <c r="X15" s="14" t="str">
        <f t="shared" si="1"/>
        <v>001</v>
      </c>
      <c r="Y15" s="3" t="str">
        <f>IFERROR(VLOOKUP(F15,Func!$A$4:$G$1500,2,FALSE),"none")</f>
        <v>none</v>
      </c>
      <c r="Z15" s="3" t="e">
        <f>VLOOKUP(I15,Resources!$A$2:$AA$1503,18,FALSE)</f>
        <v>#N/A</v>
      </c>
      <c r="AA15" s="3" t="str">
        <f>IFERROR(VLOOKUP(B15,Orgs!$A$4:$G$1500,2,FALSE),"none")</f>
        <v>none</v>
      </c>
      <c r="AB15" s="3" t="str">
        <f>IFERROR(VLOOKUP(C15,UnitsDepts!$A$4:$G$1500,2,FALSE),"none")</f>
        <v>none</v>
      </c>
      <c r="AC15" s="3" t="str">
        <f>IFERROR(VLOOKUP(D15,ProjAppSvc!$A$4:$G$1500,2,FALSE),"none")</f>
        <v>none</v>
      </c>
    </row>
    <row r="16" spans="1:29" x14ac:dyDescent="0.45">
      <c r="A16" s="14" t="s">
        <v>23</v>
      </c>
      <c r="B16" s="14"/>
      <c r="C16" s="14"/>
      <c r="D16" s="14"/>
      <c r="H16" s="8"/>
      <c r="I16" s="3"/>
      <c r="J16" s="3" t="str">
        <f t="shared" si="2"/>
        <v/>
      </c>
      <c r="K16" s="3" t="str">
        <f>IF(ISNUMBER(SEARCH("-",V16)),IFERROR(IF($H$2="Lower", LOWER(ComputeResourceName(Z16,#REF!,#REF!,G16,N16,O16,P16,Q16,S16,T16,V16,A16)), UPPER(ComputeResourceName(Z16,#REF!,#REF!,G16,N16,O16,P16,Q16,S16,T16,V16,A16))),""),SUBSTITUTE(IFERROR(IF($H$2="Lower", LOWER(ComputeResourceName(#REF!,#REF!,#REF!,G16,N16,O16,P16,Q16,S16,T16,V16,A16)), UPPER(ComputeResourceName(#REF!,#REF!,#REF!,G16,N16,O16,P16,Q16,S16,T16,V16,A16))),""), "-",""))</f>
        <v/>
      </c>
      <c r="L16" s="3" t="str">
        <f xml:space="preserve"> IF(K16="","",  IFERROR(VLOOKUP(I16,Resources!$B$1:$H$1503,5,FALSE)-LEN(K16),0))</f>
        <v/>
      </c>
      <c r="M16" s="3" t="str">
        <f>IF(K16="","",IFERROR(matches(K16,VLOOKUP(I16,Resources!$A$2:$AA$1503,16,FALSE)),FALSE))</f>
        <v/>
      </c>
      <c r="N16" s="3" t="e">
        <f>VLOOKUP(E16,Enviroments!$A$3:$D$59,1,FALSE)</f>
        <v>#N/A</v>
      </c>
      <c r="O16" s="3" t="e">
        <f>VLOOKUP(E16,Enviroments!$A$3:$D$59,2,FALSE)</f>
        <v>#N/A</v>
      </c>
      <c r="P16" s="3" t="e">
        <f>VLOOKUP(E16,Enviroments!$A$3:$D$59,3,FALSE)</f>
        <v>#N/A</v>
      </c>
      <c r="Q16" s="3" t="e">
        <f>VLOOKUP(E16,Enviroments!$A$3:$D$59,4,FALSE)</f>
        <v>#N/A</v>
      </c>
      <c r="R16" s="3" t="e">
        <f>VLOOKUP(H16,AzureRegions!$A$4:$B$1493,1,FALSE)</f>
        <v>#N/A</v>
      </c>
      <c r="S16" s="3" t="e">
        <f>VLOOKUP(H16,AzureRegions!$A$4:$B$1493,2,FALSE)</f>
        <v>#N/A</v>
      </c>
      <c r="T16" s="3" t="e">
        <f>VLOOKUP(H16,AzureRegions!$A$4:$C$1493,3,FALSE)</f>
        <v>#N/A</v>
      </c>
      <c r="U16" s="3" t="e">
        <f>VLOOKUP(I16,Resources!$A$2:$AA$1503,2,FALSE)</f>
        <v>#N/A</v>
      </c>
      <c r="V16" s="3" t="e">
        <f>VLOOKUP(I16,Resources!$A$2:$H$1503,6,FALSE)</f>
        <v>#N/A</v>
      </c>
      <c r="W16" s="3" t="str">
        <f>VLOOKUP($H$2,Casing!$A$4:$A$60,1,FALSE)</f>
        <v>Lower</v>
      </c>
      <c r="X16" s="14" t="str">
        <f t="shared" si="1"/>
        <v>001</v>
      </c>
      <c r="Y16" s="3" t="str">
        <f>IFERROR(VLOOKUP(F16,Func!$A$4:$G$1500,2,FALSE),"none")</f>
        <v>none</v>
      </c>
      <c r="Z16" s="3" t="e">
        <f>VLOOKUP(I16,Resources!$A$2:$AA$1503,18,FALSE)</f>
        <v>#N/A</v>
      </c>
      <c r="AA16" s="3" t="str">
        <f>IFERROR(VLOOKUP(B16,Orgs!$A$4:$G$1500,2,FALSE),"none")</f>
        <v>none</v>
      </c>
      <c r="AB16" s="3" t="str">
        <f>IFERROR(VLOOKUP(C16,UnitsDepts!$A$4:$G$1500,2,FALSE),"none")</f>
        <v>none</v>
      </c>
      <c r="AC16" s="3" t="str">
        <f>IFERROR(VLOOKUP(D16,ProjAppSvc!$A$4:$G$1500,2,FALSE),"none")</f>
        <v>none</v>
      </c>
    </row>
    <row r="17" spans="1:29" x14ac:dyDescent="0.45">
      <c r="A17" s="14" t="s">
        <v>23</v>
      </c>
      <c r="B17" s="14"/>
      <c r="C17" s="14"/>
      <c r="D17" s="14"/>
      <c r="H17" s="8"/>
      <c r="I17" s="3"/>
      <c r="J17" s="3" t="str">
        <f t="shared" si="2"/>
        <v/>
      </c>
      <c r="K17" s="3" t="str">
        <f>IF(ISNUMBER(SEARCH("-",V17)),IFERROR(IF($H$2="Lower", LOWER(ComputeResourceName(Z17,#REF!,#REF!,G17,N17,O17,P17,Q17,S17,T17,V17,A17)), UPPER(ComputeResourceName(Z17,#REF!,#REF!,G17,N17,O17,P17,Q17,S17,T17,V17,A17))),""),SUBSTITUTE(IFERROR(IF($H$2="Lower", LOWER(ComputeResourceName(#REF!,#REF!,#REF!,G17,N17,O17,P17,Q17,S17,T17,V17,A17)), UPPER(ComputeResourceName(#REF!,#REF!,#REF!,G17,N17,O17,P17,Q17,S17,T17,V17,A17))),""), "-",""))</f>
        <v/>
      </c>
      <c r="L17" s="3" t="str">
        <f xml:space="preserve"> IF(K17="","",  IFERROR(VLOOKUP(I17,Resources!$B$1:$H$1503,5,FALSE)-LEN(K17),0))</f>
        <v/>
      </c>
      <c r="M17" s="3" t="str">
        <f>IF(K17="","",IFERROR(matches(K17,VLOOKUP(I17,Resources!$A$2:$AA$1503,16,FALSE)),FALSE))</f>
        <v/>
      </c>
      <c r="N17" s="3" t="e">
        <f>VLOOKUP(E17,Enviroments!$A$3:$D$59,1,FALSE)</f>
        <v>#N/A</v>
      </c>
      <c r="O17" s="3" t="e">
        <f>VLOOKUP(E17,Enviroments!$A$3:$D$59,2,FALSE)</f>
        <v>#N/A</v>
      </c>
      <c r="P17" s="3" t="e">
        <f>VLOOKUP(E17,Enviroments!$A$3:$D$59,3,FALSE)</f>
        <v>#N/A</v>
      </c>
      <c r="Q17" s="3" t="e">
        <f>VLOOKUP(E17,Enviroments!$A$3:$D$59,4,FALSE)</f>
        <v>#N/A</v>
      </c>
      <c r="R17" s="3" t="e">
        <f>VLOOKUP(H17,AzureRegions!$A$4:$B$1493,1,FALSE)</f>
        <v>#N/A</v>
      </c>
      <c r="S17" s="3" t="e">
        <f>VLOOKUP(H17,AzureRegions!$A$4:$B$1493,2,FALSE)</f>
        <v>#N/A</v>
      </c>
      <c r="T17" s="3" t="e">
        <f>VLOOKUP(H17,AzureRegions!$A$4:$C$1493,3,FALSE)</f>
        <v>#N/A</v>
      </c>
      <c r="U17" s="3" t="e">
        <f>VLOOKUP(I17,Resources!$A$2:$AA$1503,2,FALSE)</f>
        <v>#N/A</v>
      </c>
      <c r="V17" s="3" t="e">
        <f>VLOOKUP(I17,Resources!$A$2:$H$1503,6,FALSE)</f>
        <v>#N/A</v>
      </c>
      <c r="W17" s="3" t="str">
        <f>VLOOKUP($H$2,Casing!$A$4:$A$60,1,FALSE)</f>
        <v>Lower</v>
      </c>
      <c r="X17" s="14" t="str">
        <f t="shared" si="1"/>
        <v>001</v>
      </c>
      <c r="Y17" s="3" t="str">
        <f>IFERROR(VLOOKUP(F17,Func!$A$4:$G$1500,2,FALSE),"none")</f>
        <v>none</v>
      </c>
      <c r="Z17" s="3" t="e">
        <f>VLOOKUP(I17,Resources!$A$2:$AA$1503,18,FALSE)</f>
        <v>#N/A</v>
      </c>
      <c r="AA17" s="3" t="str">
        <f>IFERROR(VLOOKUP(B17,Orgs!$A$4:$G$1500,2,FALSE),"none")</f>
        <v>none</v>
      </c>
      <c r="AB17" s="3" t="str">
        <f>IFERROR(VLOOKUP(C17,UnitsDepts!$A$4:$G$1500,2,FALSE),"none")</f>
        <v>none</v>
      </c>
      <c r="AC17" s="3" t="str">
        <f>IFERROR(VLOOKUP(D17,ProjAppSvc!$A$4:$G$1500,2,FALSE),"none")</f>
        <v>none</v>
      </c>
    </row>
    <row r="18" spans="1:29" x14ac:dyDescent="0.45">
      <c r="A18" s="14" t="s">
        <v>23</v>
      </c>
      <c r="B18" s="14"/>
      <c r="C18" s="14"/>
      <c r="D18" s="14"/>
      <c r="H18" s="8"/>
      <c r="I18" s="3"/>
      <c r="J18" s="3" t="str">
        <f t="shared" si="2"/>
        <v/>
      </c>
      <c r="K18" s="3" t="str">
        <f>IF(ISNUMBER(SEARCH("-",V18)),IFERROR(IF($H$2="Lower", LOWER(ComputeResourceName(Z18,#REF!,#REF!,G18,N18,O18,P18,Q18,S18,T18,V18,A18)), UPPER(ComputeResourceName(Z18,#REF!,#REF!,G18,N18,O18,P18,Q18,S18,T18,V18,A18))),""),SUBSTITUTE(IFERROR(IF($H$2="Lower", LOWER(ComputeResourceName(#REF!,#REF!,#REF!,G18,N18,O18,P18,Q18,S18,T18,V18,A18)), UPPER(ComputeResourceName(#REF!,#REF!,#REF!,G18,N18,O18,P18,Q18,S18,T18,V18,A18))),""), "-",""))</f>
        <v/>
      </c>
      <c r="L18" s="3" t="str">
        <f xml:space="preserve"> IF(K18="","",  IFERROR(VLOOKUP(I18,Resources!$B$1:$H$1503,5,FALSE)-LEN(K18),0))</f>
        <v/>
      </c>
      <c r="M18" s="3" t="str">
        <f>IF(K18="","",IFERROR(matches(K18,VLOOKUP(I18,Resources!$A$2:$AA$1503,16,FALSE)),FALSE))</f>
        <v/>
      </c>
      <c r="N18" s="3" t="e">
        <f>VLOOKUP(E18,Enviroments!$A$3:$D$59,1,FALSE)</f>
        <v>#N/A</v>
      </c>
      <c r="O18" s="3" t="e">
        <f>VLOOKUP(E18,Enviroments!$A$3:$D$59,2,FALSE)</f>
        <v>#N/A</v>
      </c>
      <c r="P18" s="3" t="e">
        <f>VLOOKUP(E18,Enviroments!$A$3:$D$59,3,FALSE)</f>
        <v>#N/A</v>
      </c>
      <c r="Q18" s="3" t="e">
        <f>VLOOKUP(E18,Enviroments!$A$3:$D$59,4,FALSE)</f>
        <v>#N/A</v>
      </c>
      <c r="R18" s="3" t="e">
        <f>VLOOKUP(H18,AzureRegions!$A$4:$B$1493,1,FALSE)</f>
        <v>#N/A</v>
      </c>
      <c r="S18" s="3" t="e">
        <f>VLOOKUP(H18,AzureRegions!$A$4:$B$1493,2,FALSE)</f>
        <v>#N/A</v>
      </c>
      <c r="T18" s="3" t="e">
        <f>VLOOKUP(H18,AzureRegions!$A$4:$C$1493,3,FALSE)</f>
        <v>#N/A</v>
      </c>
      <c r="U18" s="3" t="e">
        <f>VLOOKUP(I18,Resources!$A$2:$AA$1503,2,FALSE)</f>
        <v>#N/A</v>
      </c>
      <c r="V18" s="3" t="e">
        <f>VLOOKUP(I18,Resources!$A$2:$H$1503,6,FALSE)</f>
        <v>#N/A</v>
      </c>
      <c r="W18" s="3" t="str">
        <f>VLOOKUP($H$2,Casing!$A$4:$A$60,1,FALSE)</f>
        <v>Lower</v>
      </c>
      <c r="X18" s="14" t="str">
        <f t="shared" si="1"/>
        <v>001</v>
      </c>
      <c r="Y18" s="3" t="str">
        <f>IFERROR(VLOOKUP(F18,Func!$A$4:$G$1500,2,FALSE),"none")</f>
        <v>none</v>
      </c>
      <c r="Z18" s="3" t="e">
        <f>VLOOKUP(I18,Resources!$A$2:$AA$1503,18,FALSE)</f>
        <v>#N/A</v>
      </c>
      <c r="AA18" s="3" t="str">
        <f>IFERROR(VLOOKUP(B18,Orgs!$A$4:$G$1500,2,FALSE),"none")</f>
        <v>none</v>
      </c>
      <c r="AB18" s="3" t="str">
        <f>IFERROR(VLOOKUP(C18,UnitsDepts!$A$4:$G$1500,2,FALSE),"none")</f>
        <v>none</v>
      </c>
      <c r="AC18" s="3" t="str">
        <f>IFERROR(VLOOKUP(D18,ProjAppSvc!$A$4:$G$1500,2,FALSE),"none")</f>
        <v>none</v>
      </c>
    </row>
    <row r="19" spans="1:29" x14ac:dyDescent="0.45">
      <c r="A19" s="14" t="s">
        <v>23</v>
      </c>
      <c r="B19" s="14"/>
      <c r="C19" s="14"/>
      <c r="D19" s="14"/>
      <c r="H19" s="8"/>
      <c r="I19" s="3"/>
      <c r="J19" s="3" t="str">
        <f t="shared" si="2"/>
        <v/>
      </c>
      <c r="K19" s="3" t="str">
        <f>IF(ISNUMBER(SEARCH("-",V19)),IFERROR(IF($H$2="Lower", LOWER(ComputeResourceName(Z19,#REF!,#REF!,G19,N19,O19,P19,Q19,S19,T19,V19,A19)), UPPER(ComputeResourceName(Z19,#REF!,#REF!,G19,N19,O19,P19,Q19,S19,T19,V19,A19))),""),SUBSTITUTE(IFERROR(IF($H$2="Lower", LOWER(ComputeResourceName(#REF!,#REF!,#REF!,G19,N19,O19,P19,Q19,S19,T19,V19,A19)), UPPER(ComputeResourceName(#REF!,#REF!,#REF!,G19,N19,O19,P19,Q19,S19,T19,V19,A19))),""), "-",""))</f>
        <v/>
      </c>
      <c r="L19" s="3" t="str">
        <f xml:space="preserve"> IF(K19="","",  IFERROR(VLOOKUP(I19,Resources!$B$1:$H$1503,5,FALSE)-LEN(K19),0))</f>
        <v/>
      </c>
      <c r="M19" s="3" t="str">
        <f>IF(K19="","",IFERROR(matches(K19,VLOOKUP(I19,Resources!$A$2:$AA$1503,16,FALSE)),FALSE))</f>
        <v/>
      </c>
      <c r="N19" s="3" t="e">
        <f>VLOOKUP(E19,Enviroments!$A$3:$D$59,1,FALSE)</f>
        <v>#N/A</v>
      </c>
      <c r="O19" s="3" t="e">
        <f>VLOOKUP(E19,Enviroments!$A$3:$D$59,2,FALSE)</f>
        <v>#N/A</v>
      </c>
      <c r="P19" s="3" t="e">
        <f>VLOOKUP(E19,Enviroments!$A$3:$D$59,3,FALSE)</f>
        <v>#N/A</v>
      </c>
      <c r="Q19" s="3" t="e">
        <f>VLOOKUP(E19,Enviroments!$A$3:$D$59,4,FALSE)</f>
        <v>#N/A</v>
      </c>
      <c r="R19" s="3" t="e">
        <f>VLOOKUP(H19,AzureRegions!$A$4:$B$1493,1,FALSE)</f>
        <v>#N/A</v>
      </c>
      <c r="S19" s="3" t="e">
        <f>VLOOKUP(H19,AzureRegions!$A$4:$B$1493,2,FALSE)</f>
        <v>#N/A</v>
      </c>
      <c r="T19" s="3" t="e">
        <f>VLOOKUP(H19,AzureRegions!$A$4:$C$1493,3,FALSE)</f>
        <v>#N/A</v>
      </c>
      <c r="U19" s="3" t="e">
        <f>VLOOKUP(I19,Resources!$A$2:$AA$1503,2,FALSE)</f>
        <v>#N/A</v>
      </c>
      <c r="V19" s="3" t="e">
        <f>VLOOKUP(I19,Resources!$A$2:$H$1503,6,FALSE)</f>
        <v>#N/A</v>
      </c>
      <c r="W19" s="3" t="str">
        <f>VLOOKUP($H$2,Casing!$A$4:$A$60,1,FALSE)</f>
        <v>Lower</v>
      </c>
      <c r="X19" s="14" t="str">
        <f t="shared" si="1"/>
        <v>001</v>
      </c>
      <c r="Y19" s="3" t="str">
        <f>IFERROR(VLOOKUP(F19,Func!$A$4:$G$1500,2,FALSE),"none")</f>
        <v>none</v>
      </c>
      <c r="Z19" s="3" t="e">
        <f>VLOOKUP(I19,Resources!$A$2:$AA$1503,18,FALSE)</f>
        <v>#N/A</v>
      </c>
      <c r="AA19" s="3" t="str">
        <f>IFERROR(VLOOKUP(B19,Orgs!$A$4:$G$1500,2,FALSE),"none")</f>
        <v>none</v>
      </c>
      <c r="AB19" s="3" t="str">
        <f>IFERROR(VLOOKUP(C19,UnitsDepts!$A$4:$G$1500,2,FALSE),"none")</f>
        <v>none</v>
      </c>
      <c r="AC19" s="3" t="str">
        <f>IFERROR(VLOOKUP(D19,ProjAppSvc!$A$4:$G$1500,2,FALSE),"none")</f>
        <v>none</v>
      </c>
    </row>
    <row r="20" spans="1:29" x14ac:dyDescent="0.45">
      <c r="A20" s="14" t="s">
        <v>23</v>
      </c>
      <c r="B20" s="14"/>
      <c r="C20" s="14"/>
      <c r="D20" s="14"/>
      <c r="H20" s="8"/>
      <c r="I20" s="3"/>
      <c r="J20" s="3" t="str">
        <f t="shared" si="2"/>
        <v/>
      </c>
      <c r="K20" s="3" t="str">
        <f>IF(ISNUMBER(SEARCH("-",V20)),IFERROR(IF($H$2="Lower", LOWER(ComputeResourceName(Z20,#REF!,#REF!,G20,N20,O20,P20,Q20,S20,T20,V20,A20)), UPPER(ComputeResourceName(Z20,#REF!,#REF!,G20,N20,O20,P20,Q20,S20,T20,V20,A20))),""),SUBSTITUTE(IFERROR(IF($H$2="Lower", LOWER(ComputeResourceName(#REF!,#REF!,#REF!,G20,N20,O20,P20,Q20,S20,T20,V20,A20)), UPPER(ComputeResourceName(#REF!,#REF!,#REF!,G20,N20,O20,P20,Q20,S20,T20,V20,A20))),""), "-",""))</f>
        <v/>
      </c>
      <c r="L20" s="3" t="str">
        <f xml:space="preserve"> IF(K20="","",  IFERROR(VLOOKUP(I20,Resources!$B$1:$H$1503,5,FALSE)-LEN(K20),0))</f>
        <v/>
      </c>
      <c r="M20" s="3" t="str">
        <f>IF(K20="","",IFERROR(matches(K20,VLOOKUP(I20,Resources!$A$2:$AA$1503,16,FALSE)),FALSE))</f>
        <v/>
      </c>
      <c r="N20" s="3" t="e">
        <f>VLOOKUP(E20,Enviroments!$A$3:$D$59,1,FALSE)</f>
        <v>#N/A</v>
      </c>
      <c r="O20" s="3" t="e">
        <f>VLOOKUP(E20,Enviroments!$A$3:$D$59,2,FALSE)</f>
        <v>#N/A</v>
      </c>
      <c r="P20" s="3" t="e">
        <f>VLOOKUP(E20,Enviroments!$A$3:$D$59,3,FALSE)</f>
        <v>#N/A</v>
      </c>
      <c r="Q20" s="3" t="e">
        <f>VLOOKUP(E20,Enviroments!$A$3:$D$59,4,FALSE)</f>
        <v>#N/A</v>
      </c>
      <c r="R20" s="3" t="e">
        <f>VLOOKUP(H20,AzureRegions!$A$4:$B$1493,1,FALSE)</f>
        <v>#N/A</v>
      </c>
      <c r="S20" s="3" t="e">
        <f>VLOOKUP(H20,AzureRegions!$A$4:$B$1493,2,FALSE)</f>
        <v>#N/A</v>
      </c>
      <c r="T20" s="3" t="e">
        <f>VLOOKUP(H20,AzureRegions!$A$4:$C$1493,3,FALSE)</f>
        <v>#N/A</v>
      </c>
      <c r="U20" s="3" t="e">
        <f>VLOOKUP(I20,Resources!$A$2:$AA$1503,2,FALSE)</f>
        <v>#N/A</v>
      </c>
      <c r="V20" s="3" t="e">
        <f>VLOOKUP(I20,Resources!$A$2:$H$1503,6,FALSE)</f>
        <v>#N/A</v>
      </c>
      <c r="W20" s="3" t="str">
        <f>VLOOKUP($H$2,Casing!$A$4:$A$60,1,FALSE)</f>
        <v>Lower</v>
      </c>
      <c r="X20" s="14" t="str">
        <f t="shared" si="1"/>
        <v>001</v>
      </c>
      <c r="Y20" s="3" t="str">
        <f>IFERROR(VLOOKUP(F20,Func!$A$4:$G$1500,2,FALSE),"none")</f>
        <v>none</v>
      </c>
      <c r="Z20" s="3" t="e">
        <f>VLOOKUP(I20,Resources!$A$2:$AA$1503,18,FALSE)</f>
        <v>#N/A</v>
      </c>
      <c r="AA20" s="3" t="str">
        <f>IFERROR(VLOOKUP(B20,Orgs!$A$4:$G$1500,2,FALSE),"none")</f>
        <v>none</v>
      </c>
      <c r="AB20" s="3" t="str">
        <f>IFERROR(VLOOKUP(C20,UnitsDepts!$A$4:$G$1500,2,FALSE),"none")</f>
        <v>none</v>
      </c>
      <c r="AC20" s="3" t="str">
        <f>IFERROR(VLOOKUP(D20,ProjAppSvc!$A$4:$G$1500,2,FALSE),"none")</f>
        <v>none</v>
      </c>
    </row>
    <row r="21" spans="1:29" x14ac:dyDescent="0.45">
      <c r="A21" s="14" t="s">
        <v>23</v>
      </c>
      <c r="B21" s="14"/>
      <c r="C21" s="14"/>
      <c r="D21" s="14"/>
      <c r="H21" s="8"/>
      <c r="I21" s="3"/>
      <c r="J21" s="3" t="str">
        <f t="shared" si="2"/>
        <v/>
      </c>
      <c r="K21" s="3" t="str">
        <f>IF(ISNUMBER(SEARCH("-",V21)),IFERROR(IF($H$2="Lower", LOWER(ComputeResourceName(Z21,#REF!,#REF!,G21,N21,O21,P21,Q21,S21,T21,V21,A21)), UPPER(ComputeResourceName(Z21,#REF!,#REF!,G21,N21,O21,P21,Q21,S21,T21,V21,A21))),""),SUBSTITUTE(IFERROR(IF($H$2="Lower", LOWER(ComputeResourceName(#REF!,#REF!,#REF!,G21,N21,O21,P21,Q21,S21,T21,V21,A21)), UPPER(ComputeResourceName(#REF!,#REF!,#REF!,G21,N21,O21,P21,Q21,S21,T21,V21,A21))),""), "-",""))</f>
        <v/>
      </c>
      <c r="L21" s="3" t="str">
        <f xml:space="preserve"> IF(K21="","",  IFERROR(VLOOKUP(I21,Resources!$B$1:$H$1503,5,FALSE)-LEN(K21),0))</f>
        <v/>
      </c>
      <c r="M21" s="3" t="str">
        <f>IF(K21="","",IFERROR(matches(K21,VLOOKUP(I21,Resources!$A$2:$AA$1503,16,FALSE)),FALSE))</f>
        <v/>
      </c>
      <c r="N21" s="3" t="e">
        <f>VLOOKUP(E21,Enviroments!$A$3:$D$59,1,FALSE)</f>
        <v>#N/A</v>
      </c>
      <c r="O21" s="3" t="e">
        <f>VLOOKUP(E21,Enviroments!$A$3:$D$59,2,FALSE)</f>
        <v>#N/A</v>
      </c>
      <c r="P21" s="3" t="e">
        <f>VLOOKUP(E21,Enviroments!$A$3:$D$59,3,FALSE)</f>
        <v>#N/A</v>
      </c>
      <c r="Q21" s="3" t="e">
        <f>VLOOKUP(E21,Enviroments!$A$3:$D$59,4,FALSE)</f>
        <v>#N/A</v>
      </c>
      <c r="R21" s="3" t="e">
        <f>VLOOKUP(H21,AzureRegions!$A$4:$B$1493,1,FALSE)</f>
        <v>#N/A</v>
      </c>
      <c r="S21" s="3" t="e">
        <f>VLOOKUP(H21,AzureRegions!$A$4:$B$1493,2,FALSE)</f>
        <v>#N/A</v>
      </c>
      <c r="T21" s="3" t="e">
        <f>VLOOKUP(H21,AzureRegions!$A$4:$C$1493,3,FALSE)</f>
        <v>#N/A</v>
      </c>
      <c r="U21" s="3" t="e">
        <f>VLOOKUP(I21,Resources!$A$2:$AA$1503,2,FALSE)</f>
        <v>#N/A</v>
      </c>
      <c r="V21" s="3" t="e">
        <f>VLOOKUP(I21,Resources!$A$2:$H$1503,6,FALSE)</f>
        <v>#N/A</v>
      </c>
      <c r="W21" s="3" t="str">
        <f>VLOOKUP($H$2,Casing!$A$4:$A$60,1,FALSE)</f>
        <v>Lower</v>
      </c>
      <c r="X21" s="14" t="str">
        <f t="shared" si="1"/>
        <v>001</v>
      </c>
      <c r="Y21" s="3" t="str">
        <f>IFERROR(VLOOKUP(F21,Func!$A$4:$G$1500,2,FALSE),"none")</f>
        <v>none</v>
      </c>
      <c r="Z21" s="3" t="e">
        <f>VLOOKUP(I21,Resources!$A$2:$AA$1503,18,FALSE)</f>
        <v>#N/A</v>
      </c>
      <c r="AA21" s="3" t="str">
        <f>IFERROR(VLOOKUP(B21,Orgs!$A$4:$G$1500,2,FALSE),"none")</f>
        <v>none</v>
      </c>
      <c r="AB21" s="3" t="str">
        <f>IFERROR(VLOOKUP(C21,UnitsDepts!$A$4:$G$1500,2,FALSE),"none")</f>
        <v>none</v>
      </c>
      <c r="AC21" s="3" t="str">
        <f>IFERROR(VLOOKUP(D21,ProjAppSvc!$A$4:$G$1500,2,FALSE),"none")</f>
        <v>none</v>
      </c>
    </row>
    <row r="22" spans="1:29" x14ac:dyDescent="0.45">
      <c r="A22" s="14" t="s">
        <v>23</v>
      </c>
      <c r="B22" s="14"/>
      <c r="C22" s="14"/>
      <c r="D22" s="14"/>
      <c r="H22" s="8"/>
      <c r="I22" s="3"/>
      <c r="J22" s="3" t="str">
        <f t="shared" si="2"/>
        <v/>
      </c>
      <c r="K22" s="3" t="str">
        <f>IF(ISNUMBER(SEARCH("-",V22)),IFERROR(IF($H$2="Lower", LOWER(ComputeResourceName(Z22,#REF!,#REF!,G22,N22,O22,P22,Q22,S22,T22,V22,A22)), UPPER(ComputeResourceName(Z22,#REF!,#REF!,G22,N22,O22,P22,Q22,S22,T22,V22,A22))),""),SUBSTITUTE(IFERROR(IF($H$2="Lower", LOWER(ComputeResourceName(#REF!,#REF!,#REF!,G22,N22,O22,P22,Q22,S22,T22,V22,A22)), UPPER(ComputeResourceName(#REF!,#REF!,#REF!,G22,N22,O22,P22,Q22,S22,T22,V22,A22))),""), "-",""))</f>
        <v/>
      </c>
      <c r="L22" s="3" t="str">
        <f xml:space="preserve"> IF(K22="","",  IFERROR(VLOOKUP(I22,Resources!$B$1:$H$1503,5,FALSE)-LEN(K22),0))</f>
        <v/>
      </c>
      <c r="M22" s="3" t="str">
        <f>IF(K22="","",IFERROR(matches(K22,VLOOKUP(I22,Resources!$A$2:$AA$1503,16,FALSE)),FALSE))</f>
        <v/>
      </c>
      <c r="N22" s="3" t="e">
        <f>VLOOKUP(E22,Enviroments!$A$3:$D$59,1,FALSE)</f>
        <v>#N/A</v>
      </c>
      <c r="O22" s="3" t="e">
        <f>VLOOKUP(E22,Enviroments!$A$3:$D$59,2,FALSE)</f>
        <v>#N/A</v>
      </c>
      <c r="P22" s="3" t="e">
        <f>VLOOKUP(E22,Enviroments!$A$3:$D$59,3,FALSE)</f>
        <v>#N/A</v>
      </c>
      <c r="Q22" s="3" t="e">
        <f>VLOOKUP(E22,Enviroments!$A$3:$D$59,4,FALSE)</f>
        <v>#N/A</v>
      </c>
      <c r="R22" s="3" t="e">
        <f>VLOOKUP(H22,AzureRegions!$A$4:$B$1493,1,FALSE)</f>
        <v>#N/A</v>
      </c>
      <c r="S22" s="3" t="e">
        <f>VLOOKUP(H22,AzureRegions!$A$4:$B$1493,2,FALSE)</f>
        <v>#N/A</v>
      </c>
      <c r="T22" s="3" t="e">
        <f>VLOOKUP(H22,AzureRegions!$A$4:$C$1493,3,FALSE)</f>
        <v>#N/A</v>
      </c>
      <c r="U22" s="3" t="e">
        <f>VLOOKUP(I22,Resources!$A$2:$AA$1503,2,FALSE)</f>
        <v>#N/A</v>
      </c>
      <c r="V22" s="3" t="e">
        <f>VLOOKUP(I22,Resources!$A$2:$H$1503,6,FALSE)</f>
        <v>#N/A</v>
      </c>
      <c r="W22" s="3" t="str">
        <f>VLOOKUP($H$2,Casing!$A$4:$A$60,1,FALSE)</f>
        <v>Lower</v>
      </c>
      <c r="X22" s="14" t="str">
        <f t="shared" si="1"/>
        <v>001</v>
      </c>
      <c r="Y22" s="3" t="str">
        <f>IFERROR(VLOOKUP(F22,Func!$A$4:$G$1500,2,FALSE),"none")</f>
        <v>none</v>
      </c>
      <c r="Z22" s="3" t="e">
        <f>VLOOKUP(I22,Resources!$A$2:$AA$1503,18,FALSE)</f>
        <v>#N/A</v>
      </c>
      <c r="AA22" s="3" t="str">
        <f>IFERROR(VLOOKUP(B22,Orgs!$A$4:$G$1500,2,FALSE),"none")</f>
        <v>none</v>
      </c>
      <c r="AB22" s="3" t="str">
        <f>IFERROR(VLOOKUP(C22,UnitsDepts!$A$4:$G$1500,2,FALSE),"none")</f>
        <v>none</v>
      </c>
      <c r="AC22" s="3" t="str">
        <f>IFERROR(VLOOKUP(D22,ProjAppSvc!$A$4:$G$1500,2,FALSE),"none")</f>
        <v>none</v>
      </c>
    </row>
    <row r="23" spans="1:29" x14ac:dyDescent="0.45">
      <c r="A23" s="14" t="s">
        <v>23</v>
      </c>
      <c r="B23" s="14"/>
      <c r="C23" s="14"/>
      <c r="D23" s="14"/>
      <c r="H23" s="8"/>
      <c r="I23" s="3"/>
      <c r="J23" s="3" t="str">
        <f t="shared" si="2"/>
        <v/>
      </c>
      <c r="K23" s="3" t="str">
        <f>IF(ISNUMBER(SEARCH("-",V23)),IFERROR(IF($H$2="Lower", LOWER(ComputeResourceName(Z23,#REF!,#REF!,G23,N23,O23,P23,Q23,S23,T23,V23,A23)), UPPER(ComputeResourceName(Z23,#REF!,#REF!,G23,N23,O23,P23,Q23,S23,T23,V23,A23))),""),SUBSTITUTE(IFERROR(IF($H$2="Lower", LOWER(ComputeResourceName(#REF!,#REF!,#REF!,G23,N23,O23,P23,Q23,S23,T23,V23,A23)), UPPER(ComputeResourceName(#REF!,#REF!,#REF!,G23,N23,O23,P23,Q23,S23,T23,V23,A23))),""), "-",""))</f>
        <v/>
      </c>
      <c r="L23" s="3" t="str">
        <f xml:space="preserve"> IF(K23="","",  IFERROR(VLOOKUP(I23,Resources!$B$1:$H$1503,5,FALSE)-LEN(K23),0))</f>
        <v/>
      </c>
      <c r="M23" s="3" t="str">
        <f>IF(K23="","",IFERROR(matches(K23,VLOOKUP(I23,Resources!$A$2:$AA$1503,16,FALSE)),FALSE))</f>
        <v/>
      </c>
      <c r="N23" s="3" t="e">
        <f>VLOOKUP(E23,Enviroments!$A$3:$D$59,1,FALSE)</f>
        <v>#N/A</v>
      </c>
      <c r="O23" s="3" t="e">
        <f>VLOOKUP(E23,Enviroments!$A$3:$D$59,2,FALSE)</f>
        <v>#N/A</v>
      </c>
      <c r="P23" s="3" t="e">
        <f>VLOOKUP(E23,Enviroments!$A$3:$D$59,3,FALSE)</f>
        <v>#N/A</v>
      </c>
      <c r="Q23" s="3" t="e">
        <f>VLOOKUP(E23,Enviroments!$A$3:$D$59,4,FALSE)</f>
        <v>#N/A</v>
      </c>
      <c r="R23" s="3" t="e">
        <f>VLOOKUP(H23,AzureRegions!$A$4:$B$1493,1,FALSE)</f>
        <v>#N/A</v>
      </c>
      <c r="S23" s="3" t="e">
        <f>VLOOKUP(H23,AzureRegions!$A$4:$B$1493,2,FALSE)</f>
        <v>#N/A</v>
      </c>
      <c r="T23" s="3" t="e">
        <f>VLOOKUP(H23,AzureRegions!$A$4:$C$1493,3,FALSE)</f>
        <v>#N/A</v>
      </c>
      <c r="U23" s="3" t="e">
        <f>VLOOKUP(I23,Resources!$A$2:$AA$1503,2,FALSE)</f>
        <v>#N/A</v>
      </c>
      <c r="V23" s="3" t="e">
        <f>VLOOKUP(I23,Resources!$A$2:$H$1503,6,FALSE)</f>
        <v>#N/A</v>
      </c>
      <c r="W23" s="3" t="str">
        <f>VLOOKUP($H$2,Casing!$A$4:$A$60,1,FALSE)</f>
        <v>Lower</v>
      </c>
      <c r="X23" s="14" t="str">
        <f t="shared" si="1"/>
        <v>001</v>
      </c>
      <c r="Y23" s="3" t="str">
        <f>IFERROR(VLOOKUP(F23,Func!$A$4:$G$1500,2,FALSE),"none")</f>
        <v>none</v>
      </c>
      <c r="Z23" s="3" t="e">
        <f>VLOOKUP(I23,Resources!$A$2:$AA$1503,18,FALSE)</f>
        <v>#N/A</v>
      </c>
      <c r="AA23" s="3" t="str">
        <f>IFERROR(VLOOKUP(B23,Orgs!$A$4:$G$1500,2,FALSE),"none")</f>
        <v>none</v>
      </c>
      <c r="AB23" s="3" t="str">
        <f>IFERROR(VLOOKUP(C23,UnitsDepts!$A$4:$G$1500,2,FALSE),"none")</f>
        <v>none</v>
      </c>
      <c r="AC23" s="3" t="str">
        <f>IFERROR(VLOOKUP(D23,ProjAppSvc!$A$4:$G$1500,2,FALSE),"none")</f>
        <v>none</v>
      </c>
    </row>
    <row r="24" spans="1:29" x14ac:dyDescent="0.45">
      <c r="A24" s="14" t="s">
        <v>23</v>
      </c>
      <c r="B24" s="14"/>
      <c r="C24" s="14"/>
      <c r="D24" s="14"/>
      <c r="H24" s="8"/>
      <c r="I24" s="3"/>
      <c r="J24" s="3" t="str">
        <f t="shared" si="2"/>
        <v/>
      </c>
      <c r="K24" s="3" t="str">
        <f>IF(ISNUMBER(SEARCH("-",V24)),IFERROR(IF($H$2="Lower", LOWER(ComputeResourceName(Z24,#REF!,#REF!,G24,N24,O24,P24,Q24,S24,T24,V24,A24)), UPPER(ComputeResourceName(Z24,#REF!,#REF!,G24,N24,O24,P24,Q24,S24,T24,V24,A24))),""),SUBSTITUTE(IFERROR(IF($H$2="Lower", LOWER(ComputeResourceName(#REF!,#REF!,#REF!,G24,N24,O24,P24,Q24,S24,T24,V24,A24)), UPPER(ComputeResourceName(#REF!,#REF!,#REF!,G24,N24,O24,P24,Q24,S24,T24,V24,A24))),""), "-",""))</f>
        <v/>
      </c>
      <c r="L24" s="3" t="str">
        <f xml:space="preserve"> IF(K24="","",  IFERROR(VLOOKUP(I24,Resources!$B$1:$H$1503,5,FALSE)-LEN(K24),0))</f>
        <v/>
      </c>
      <c r="M24" s="3" t="str">
        <f>IF(K24="","",IFERROR(matches(K24,VLOOKUP(I24,Resources!$A$2:$AA$1503,16,FALSE)),FALSE))</f>
        <v/>
      </c>
      <c r="N24" s="3" t="e">
        <f>VLOOKUP(E24,Enviroments!$A$3:$D$59,1,FALSE)</f>
        <v>#N/A</v>
      </c>
      <c r="O24" s="3" t="e">
        <f>VLOOKUP(E24,Enviroments!$A$3:$D$59,2,FALSE)</f>
        <v>#N/A</v>
      </c>
      <c r="P24" s="3" t="e">
        <f>VLOOKUP(E24,Enviroments!$A$3:$D$59,3,FALSE)</f>
        <v>#N/A</v>
      </c>
      <c r="Q24" s="3" t="e">
        <f>VLOOKUP(E24,Enviroments!$A$3:$D$59,4,FALSE)</f>
        <v>#N/A</v>
      </c>
      <c r="R24" s="3" t="e">
        <f>VLOOKUP(H24,AzureRegions!$A$4:$B$1493,1,FALSE)</f>
        <v>#N/A</v>
      </c>
      <c r="S24" s="3" t="e">
        <f>VLOOKUP(H24,AzureRegions!$A$4:$B$1493,2,FALSE)</f>
        <v>#N/A</v>
      </c>
      <c r="T24" s="3" t="e">
        <f>VLOOKUP(H24,AzureRegions!$A$4:$C$1493,3,FALSE)</f>
        <v>#N/A</v>
      </c>
      <c r="U24" s="3" t="e">
        <f>VLOOKUP(I24,Resources!$A$2:$AA$1503,2,FALSE)</f>
        <v>#N/A</v>
      </c>
      <c r="V24" s="3" t="e">
        <f>VLOOKUP(I24,Resources!$A$2:$H$1503,6,FALSE)</f>
        <v>#N/A</v>
      </c>
      <c r="W24" s="3" t="str">
        <f>VLOOKUP($H$2,Casing!$A$4:$A$60,1,FALSE)</f>
        <v>Lower</v>
      </c>
      <c r="X24" s="14" t="str">
        <f t="shared" si="1"/>
        <v>001</v>
      </c>
      <c r="Y24" s="3" t="str">
        <f>IFERROR(VLOOKUP(F24,Func!$A$4:$G$1500,2,FALSE),"none")</f>
        <v>none</v>
      </c>
      <c r="Z24" s="3" t="e">
        <f>VLOOKUP(I24,Resources!$A$2:$AA$1503,18,FALSE)</f>
        <v>#N/A</v>
      </c>
      <c r="AA24" s="3" t="str">
        <f>IFERROR(VLOOKUP(B24,Orgs!$A$4:$G$1500,2,FALSE),"none")</f>
        <v>none</v>
      </c>
      <c r="AB24" s="3" t="str">
        <f>IFERROR(VLOOKUP(C24,UnitsDepts!$A$4:$G$1500,2,FALSE),"none")</f>
        <v>none</v>
      </c>
      <c r="AC24" s="3" t="str">
        <f>IFERROR(VLOOKUP(D24,ProjAppSvc!$A$4:$G$1500,2,FALSE),"none")</f>
        <v>none</v>
      </c>
    </row>
    <row r="25" spans="1:29" x14ac:dyDescent="0.45">
      <c r="A25" s="14" t="s">
        <v>23</v>
      </c>
      <c r="B25" s="14"/>
      <c r="C25" s="14"/>
      <c r="D25" s="14"/>
      <c r="H25" s="8"/>
      <c r="I25" s="3"/>
      <c r="J25" s="3" t="str">
        <f t="shared" si="2"/>
        <v/>
      </c>
      <c r="K25" s="3" t="str">
        <f>IF(ISNUMBER(SEARCH("-",V25)),IFERROR(IF($H$2="Lower", LOWER(ComputeResourceName(Z25,#REF!,#REF!,G25,N25,O25,P25,Q25,S25,T25,V25,A25)), UPPER(ComputeResourceName(Z25,#REF!,#REF!,G25,N25,O25,P25,Q25,S25,T25,V25,A25))),""),SUBSTITUTE(IFERROR(IF($H$2="Lower", LOWER(ComputeResourceName(#REF!,#REF!,#REF!,G25,N25,O25,P25,Q25,S25,T25,V25,A25)), UPPER(ComputeResourceName(#REF!,#REF!,#REF!,G25,N25,O25,P25,Q25,S25,T25,V25,A25))),""), "-",""))</f>
        <v/>
      </c>
      <c r="L25" s="3" t="str">
        <f xml:space="preserve"> IF(K25="","",  IFERROR(VLOOKUP(I25,Resources!$B$1:$H$1503,5,FALSE)-LEN(K25),0))</f>
        <v/>
      </c>
      <c r="M25" s="3" t="str">
        <f>IF(K25="","",IFERROR(matches(K25,VLOOKUP(I25,Resources!$A$2:$AA$1503,16,FALSE)),FALSE))</f>
        <v/>
      </c>
      <c r="N25" s="3" t="e">
        <f>VLOOKUP(E25,Enviroments!$A$3:$D$59,1,FALSE)</f>
        <v>#N/A</v>
      </c>
      <c r="O25" s="3" t="e">
        <f>VLOOKUP(E25,Enviroments!$A$3:$D$59,2,FALSE)</f>
        <v>#N/A</v>
      </c>
      <c r="P25" s="3" t="e">
        <f>VLOOKUP(E25,Enviroments!$A$3:$D$59,3,FALSE)</f>
        <v>#N/A</v>
      </c>
      <c r="Q25" s="3" t="e">
        <f>VLOOKUP(E25,Enviroments!$A$3:$D$59,4,FALSE)</f>
        <v>#N/A</v>
      </c>
      <c r="R25" s="3" t="e">
        <f>VLOOKUP(H25,AzureRegions!$A$4:$B$1493,1,FALSE)</f>
        <v>#N/A</v>
      </c>
      <c r="S25" s="3" t="e">
        <f>VLOOKUP(H25,AzureRegions!$A$4:$B$1493,2,FALSE)</f>
        <v>#N/A</v>
      </c>
      <c r="T25" s="3" t="e">
        <f>VLOOKUP(H25,AzureRegions!$A$4:$C$1493,3,FALSE)</f>
        <v>#N/A</v>
      </c>
      <c r="U25" s="3" t="e">
        <f>VLOOKUP(I25,Resources!$A$2:$AA$1503,2,FALSE)</f>
        <v>#N/A</v>
      </c>
      <c r="V25" s="3" t="e">
        <f>VLOOKUP(I25,Resources!$A$2:$H$1503,6,FALSE)</f>
        <v>#N/A</v>
      </c>
      <c r="W25" s="3" t="str">
        <f>VLOOKUP($H$2,Casing!$A$4:$A$60,1,FALSE)</f>
        <v>Lower</v>
      </c>
      <c r="X25" s="14" t="str">
        <f t="shared" si="1"/>
        <v>001</v>
      </c>
      <c r="Y25" s="3" t="str">
        <f>IFERROR(VLOOKUP(F25,Func!$A$4:$G$1500,2,FALSE),"none")</f>
        <v>none</v>
      </c>
      <c r="Z25" s="3" t="e">
        <f>VLOOKUP(I25,Resources!$A$2:$AA$1503,18,FALSE)</f>
        <v>#N/A</v>
      </c>
      <c r="AA25" s="3" t="str">
        <f>IFERROR(VLOOKUP(B25,Orgs!$A$4:$G$1500,2,FALSE),"none")</f>
        <v>none</v>
      </c>
      <c r="AB25" s="3" t="str">
        <f>IFERROR(VLOOKUP(C25,UnitsDepts!$A$4:$G$1500,2,FALSE),"none")</f>
        <v>none</v>
      </c>
      <c r="AC25" s="3" t="str">
        <f>IFERROR(VLOOKUP(D25,ProjAppSvc!$A$4:$G$1500,2,FALSE),"none")</f>
        <v>none</v>
      </c>
    </row>
    <row r="26" spans="1:29" x14ac:dyDescent="0.45">
      <c r="A26" s="14" t="s">
        <v>23</v>
      </c>
      <c r="B26" s="14"/>
      <c r="C26" s="14"/>
      <c r="D26" s="14"/>
      <c r="H26" s="8"/>
      <c r="I26" s="3"/>
      <c r="J26" s="3" t="str">
        <f t="shared" si="2"/>
        <v/>
      </c>
      <c r="K26" s="3" t="str">
        <f>IF(ISNUMBER(SEARCH("-",V26)),IFERROR(IF($H$2="Lower", LOWER(ComputeResourceName(Z26,#REF!,#REF!,G26,N26,O26,P26,Q26,S26,T26,V26,A26)), UPPER(ComputeResourceName(Z26,#REF!,#REF!,G26,N26,O26,P26,Q26,S26,T26,V26,A26))),""),SUBSTITUTE(IFERROR(IF($H$2="Lower", LOWER(ComputeResourceName(#REF!,#REF!,#REF!,G26,N26,O26,P26,Q26,S26,T26,V26,A26)), UPPER(ComputeResourceName(#REF!,#REF!,#REF!,G26,N26,O26,P26,Q26,S26,T26,V26,A26))),""), "-",""))</f>
        <v/>
      </c>
      <c r="L26" s="3" t="str">
        <f xml:space="preserve"> IF(K26="","",  IFERROR(VLOOKUP(I26,Resources!$B$1:$H$1503,5,FALSE)-LEN(K26),0))</f>
        <v/>
      </c>
      <c r="M26" s="3" t="str">
        <f>IF(K26="","",IFERROR(matches(K26,VLOOKUP(I26,Resources!$A$2:$AA$1503,16,FALSE)),FALSE))</f>
        <v/>
      </c>
      <c r="N26" s="3" t="e">
        <f>VLOOKUP(E26,Enviroments!$A$3:$D$59,1,FALSE)</f>
        <v>#N/A</v>
      </c>
      <c r="O26" s="3" t="e">
        <f>VLOOKUP(E26,Enviroments!$A$3:$D$59,2,FALSE)</f>
        <v>#N/A</v>
      </c>
      <c r="P26" s="3" t="e">
        <f>VLOOKUP(E26,Enviroments!$A$3:$D$59,3,FALSE)</f>
        <v>#N/A</v>
      </c>
      <c r="Q26" s="3" t="e">
        <f>VLOOKUP(E26,Enviroments!$A$3:$D$59,4,FALSE)</f>
        <v>#N/A</v>
      </c>
      <c r="R26" s="3" t="e">
        <f>VLOOKUP(H26,AzureRegions!$A$4:$B$1493,1,FALSE)</f>
        <v>#N/A</v>
      </c>
      <c r="S26" s="3" t="e">
        <f>VLOOKUP(H26,AzureRegions!$A$4:$B$1493,2,FALSE)</f>
        <v>#N/A</v>
      </c>
      <c r="T26" s="3" t="e">
        <f>VLOOKUP(H26,AzureRegions!$A$4:$C$1493,3,FALSE)</f>
        <v>#N/A</v>
      </c>
      <c r="U26" s="3" t="e">
        <f>VLOOKUP(I26,Resources!$A$2:$AA$1503,2,FALSE)</f>
        <v>#N/A</v>
      </c>
      <c r="V26" s="3" t="e">
        <f>VLOOKUP(I26,Resources!$A$2:$H$1503,6,FALSE)</f>
        <v>#N/A</v>
      </c>
      <c r="W26" s="3" t="str">
        <f>VLOOKUP($H$2,Casing!$A$4:$A$60,1,FALSE)</f>
        <v>Lower</v>
      </c>
      <c r="X26" s="14" t="str">
        <f t="shared" si="1"/>
        <v>001</v>
      </c>
      <c r="Y26" s="3" t="str">
        <f>IFERROR(VLOOKUP(F26,Func!$A$4:$G$1500,2,FALSE),"none")</f>
        <v>none</v>
      </c>
      <c r="Z26" s="3" t="e">
        <f>VLOOKUP(I26,Resources!$A$2:$AA$1503,18,FALSE)</f>
        <v>#N/A</v>
      </c>
      <c r="AA26" s="3" t="str">
        <f>IFERROR(VLOOKUP(B26,Orgs!$A$4:$G$1500,2,FALSE),"none")</f>
        <v>none</v>
      </c>
      <c r="AB26" s="3" t="str">
        <f>IFERROR(VLOOKUP(C26,UnitsDepts!$A$4:$G$1500,2,FALSE),"none")</f>
        <v>none</v>
      </c>
      <c r="AC26" s="3" t="str">
        <f>IFERROR(VLOOKUP(D26,ProjAppSvc!$A$4:$G$1500,2,FALSE),"none")</f>
        <v>none</v>
      </c>
    </row>
    <row r="27" spans="1:29" x14ac:dyDescent="0.45">
      <c r="A27" s="14" t="s">
        <v>23</v>
      </c>
      <c r="B27" s="14"/>
      <c r="C27" s="14"/>
      <c r="D27" s="14"/>
      <c r="H27" s="8"/>
      <c r="I27" s="3"/>
      <c r="J27" s="3" t="str">
        <f t="shared" si="2"/>
        <v/>
      </c>
      <c r="K27" s="3" t="str">
        <f>IF(ISNUMBER(SEARCH("-",V27)),IFERROR(IF($H$2="Lower", LOWER(ComputeResourceName(Z27,#REF!,#REF!,G27,N27,O27,P27,Q27,S27,T27,V27,A27)), UPPER(ComputeResourceName(Z27,#REF!,#REF!,G27,N27,O27,P27,Q27,S27,T27,V27,A27))),""),SUBSTITUTE(IFERROR(IF($H$2="Lower", LOWER(ComputeResourceName(#REF!,#REF!,#REF!,G27,N27,O27,P27,Q27,S27,T27,V27,A27)), UPPER(ComputeResourceName(#REF!,#REF!,#REF!,G27,N27,O27,P27,Q27,S27,T27,V27,A27))),""), "-",""))</f>
        <v/>
      </c>
      <c r="L27" s="3" t="str">
        <f xml:space="preserve"> IF(K27="","",  IFERROR(VLOOKUP(I27,Resources!$B$1:$H$1503,5,FALSE)-LEN(K27),0))</f>
        <v/>
      </c>
      <c r="M27" s="3" t="str">
        <f>IF(K27="","",IFERROR(matches(K27,VLOOKUP(I27,Resources!$A$2:$AA$1503,16,FALSE)),FALSE))</f>
        <v/>
      </c>
      <c r="N27" s="3" t="e">
        <f>VLOOKUP(E27,Enviroments!$A$3:$D$59,1,FALSE)</f>
        <v>#N/A</v>
      </c>
      <c r="O27" s="3" t="e">
        <f>VLOOKUP(E27,Enviroments!$A$3:$D$59,2,FALSE)</f>
        <v>#N/A</v>
      </c>
      <c r="P27" s="3" t="e">
        <f>VLOOKUP(E27,Enviroments!$A$3:$D$59,3,FALSE)</f>
        <v>#N/A</v>
      </c>
      <c r="Q27" s="3" t="e">
        <f>VLOOKUP(E27,Enviroments!$A$3:$D$59,4,FALSE)</f>
        <v>#N/A</v>
      </c>
      <c r="R27" s="3" t="e">
        <f>VLOOKUP(H27,AzureRegions!$A$4:$B$1493,1,FALSE)</f>
        <v>#N/A</v>
      </c>
      <c r="S27" s="3" t="e">
        <f>VLOOKUP(H27,AzureRegions!$A$4:$B$1493,2,FALSE)</f>
        <v>#N/A</v>
      </c>
      <c r="T27" s="3" t="e">
        <f>VLOOKUP(H27,AzureRegions!$A$4:$C$1493,3,FALSE)</f>
        <v>#N/A</v>
      </c>
      <c r="U27" s="3" t="e">
        <f>VLOOKUP(I27,Resources!$A$2:$AA$1503,2,FALSE)</f>
        <v>#N/A</v>
      </c>
      <c r="V27" s="3" t="e">
        <f>VLOOKUP(I27,Resources!$A$2:$H$1503,6,FALSE)</f>
        <v>#N/A</v>
      </c>
      <c r="W27" s="3" t="str">
        <f>VLOOKUP($H$2,Casing!$A$4:$A$60,1,FALSE)</f>
        <v>Lower</v>
      </c>
      <c r="X27" s="14" t="str">
        <f t="shared" si="1"/>
        <v>001</v>
      </c>
      <c r="Y27" s="3" t="str">
        <f>IFERROR(VLOOKUP(F27,Func!$A$4:$G$1500,2,FALSE),"none")</f>
        <v>none</v>
      </c>
      <c r="Z27" s="3" t="e">
        <f>VLOOKUP(I27,Resources!$A$2:$AA$1503,18,FALSE)</f>
        <v>#N/A</v>
      </c>
      <c r="AA27" s="3" t="str">
        <f>IFERROR(VLOOKUP(B27,Orgs!$A$4:$G$1500,2,FALSE),"none")</f>
        <v>none</v>
      </c>
      <c r="AB27" s="3" t="str">
        <f>IFERROR(VLOOKUP(C27,UnitsDepts!$A$4:$G$1500,2,FALSE),"none")</f>
        <v>none</v>
      </c>
      <c r="AC27" s="3" t="str">
        <f>IFERROR(VLOOKUP(D27,ProjAppSvc!$A$4:$G$1500,2,FALSE),"none")</f>
        <v>none</v>
      </c>
    </row>
    <row r="28" spans="1:29" x14ac:dyDescent="0.45">
      <c r="A28" s="14" t="s">
        <v>23</v>
      </c>
      <c r="B28" s="14"/>
      <c r="C28" s="14"/>
      <c r="D28" s="14"/>
      <c r="H28" s="8"/>
      <c r="I28" s="3"/>
      <c r="J28" s="3" t="str">
        <f t="shared" si="2"/>
        <v/>
      </c>
      <c r="K28" s="3" t="str">
        <f>IF(ISNUMBER(SEARCH("-",V28)),IFERROR(IF($H$2="Lower", LOWER(ComputeResourceName(Z28,#REF!,#REF!,G28,N28,O28,P28,Q28,S28,T28,V28,A28)), UPPER(ComputeResourceName(Z28,#REF!,#REF!,G28,N28,O28,P28,Q28,S28,T28,V28,A28))),""),SUBSTITUTE(IFERROR(IF($H$2="Lower", LOWER(ComputeResourceName(#REF!,#REF!,#REF!,G28,N28,O28,P28,Q28,S28,T28,V28,A28)), UPPER(ComputeResourceName(#REF!,#REF!,#REF!,G28,N28,O28,P28,Q28,S28,T28,V28,A28))),""), "-",""))</f>
        <v/>
      </c>
      <c r="L28" s="3" t="str">
        <f xml:space="preserve"> IF(K28="","",  IFERROR(VLOOKUP(I28,Resources!$B$1:$H$1503,5,FALSE)-LEN(K28),0))</f>
        <v/>
      </c>
      <c r="M28" s="3" t="str">
        <f>IF(K28="","",IFERROR(matches(K28,VLOOKUP(I28,Resources!$A$2:$AA$1503,16,FALSE)),FALSE))</f>
        <v/>
      </c>
      <c r="N28" s="3" t="e">
        <f>VLOOKUP(E28,Enviroments!$A$3:$D$59,1,FALSE)</f>
        <v>#N/A</v>
      </c>
      <c r="O28" s="3" t="e">
        <f>VLOOKUP(E28,Enviroments!$A$3:$D$59,2,FALSE)</f>
        <v>#N/A</v>
      </c>
      <c r="P28" s="3" t="e">
        <f>VLOOKUP(E28,Enviroments!$A$3:$D$59,3,FALSE)</f>
        <v>#N/A</v>
      </c>
      <c r="Q28" s="3" t="e">
        <f>VLOOKUP(E28,Enviroments!$A$3:$D$59,4,FALSE)</f>
        <v>#N/A</v>
      </c>
      <c r="R28" s="3" t="e">
        <f>VLOOKUP(H28,AzureRegions!$A$4:$B$1493,1,FALSE)</f>
        <v>#N/A</v>
      </c>
      <c r="S28" s="3" t="e">
        <f>VLOOKUP(H28,AzureRegions!$A$4:$B$1493,2,FALSE)</f>
        <v>#N/A</v>
      </c>
      <c r="T28" s="3" t="e">
        <f>VLOOKUP(H28,AzureRegions!$A$4:$C$1493,3,FALSE)</f>
        <v>#N/A</v>
      </c>
      <c r="U28" s="3" t="e">
        <f>VLOOKUP(I28,Resources!$A$2:$AA$1503,2,FALSE)</f>
        <v>#N/A</v>
      </c>
      <c r="V28" s="3" t="e">
        <f>VLOOKUP(I28,Resources!$A$2:$H$1503,6,FALSE)</f>
        <v>#N/A</v>
      </c>
      <c r="W28" s="3" t="str">
        <f>VLOOKUP($H$2,Casing!$A$4:$A$60,1,FALSE)</f>
        <v>Lower</v>
      </c>
      <c r="X28" s="14" t="str">
        <f t="shared" si="1"/>
        <v>001</v>
      </c>
      <c r="Y28" s="3" t="str">
        <f>IFERROR(VLOOKUP(F28,Func!$A$4:$G$1500,2,FALSE),"none")</f>
        <v>none</v>
      </c>
      <c r="Z28" s="3" t="e">
        <f>VLOOKUP(I28,Resources!$A$2:$AA$1503,18,FALSE)</f>
        <v>#N/A</v>
      </c>
      <c r="AA28" s="3" t="str">
        <f>IFERROR(VLOOKUP(B28,Orgs!$A$4:$G$1500,2,FALSE),"none")</f>
        <v>none</v>
      </c>
      <c r="AB28" s="3" t="str">
        <f>IFERROR(VLOOKUP(C28,UnitsDepts!$A$4:$G$1500,2,FALSE),"none")</f>
        <v>none</v>
      </c>
      <c r="AC28" s="3" t="str">
        <f>IFERROR(VLOOKUP(D28,ProjAppSvc!$A$4:$G$1500,2,FALSE),"none")</f>
        <v>none</v>
      </c>
    </row>
    <row r="29" spans="1:29" x14ac:dyDescent="0.45">
      <c r="A29" s="14" t="s">
        <v>23</v>
      </c>
      <c r="B29" s="14"/>
      <c r="C29" s="14"/>
      <c r="D29" s="14"/>
      <c r="H29" s="8"/>
      <c r="I29" s="3"/>
      <c r="J29" s="3" t="str">
        <f t="shared" si="2"/>
        <v/>
      </c>
      <c r="K29" s="3" t="str">
        <f>IF(ISNUMBER(SEARCH("-",V29)),IFERROR(IF($H$2="Lower", LOWER(ComputeResourceName(Z29,#REF!,#REF!,G29,N29,O29,P29,Q29,S29,T29,V29,A29)), UPPER(ComputeResourceName(Z29,#REF!,#REF!,G29,N29,O29,P29,Q29,S29,T29,V29,A29))),""),SUBSTITUTE(IFERROR(IF($H$2="Lower", LOWER(ComputeResourceName(#REF!,#REF!,#REF!,G29,N29,O29,P29,Q29,S29,T29,V29,A29)), UPPER(ComputeResourceName(#REF!,#REF!,#REF!,G29,N29,O29,P29,Q29,S29,T29,V29,A29))),""), "-",""))</f>
        <v/>
      </c>
      <c r="L29" s="3" t="str">
        <f xml:space="preserve"> IF(K29="","",  IFERROR(VLOOKUP(I29,Resources!$B$1:$H$1503,5,FALSE)-LEN(K29),0))</f>
        <v/>
      </c>
      <c r="M29" s="3" t="str">
        <f>IF(K29="","",IFERROR(matches(K29,VLOOKUP(I29,Resources!$A$2:$AA$1503,16,FALSE)),FALSE))</f>
        <v/>
      </c>
      <c r="N29" s="3" t="e">
        <f>VLOOKUP(E29,Enviroments!$A$3:$D$59,1,FALSE)</f>
        <v>#N/A</v>
      </c>
      <c r="O29" s="3" t="e">
        <f>VLOOKUP(E29,Enviroments!$A$3:$D$59,2,FALSE)</f>
        <v>#N/A</v>
      </c>
      <c r="P29" s="3" t="e">
        <f>VLOOKUP(E29,Enviroments!$A$3:$D$59,3,FALSE)</f>
        <v>#N/A</v>
      </c>
      <c r="Q29" s="3" t="e">
        <f>VLOOKUP(E29,Enviroments!$A$3:$D$59,4,FALSE)</f>
        <v>#N/A</v>
      </c>
      <c r="R29" s="3" t="e">
        <f>VLOOKUP(H29,AzureRegions!$A$4:$B$1493,1,FALSE)</f>
        <v>#N/A</v>
      </c>
      <c r="S29" s="3" t="e">
        <f>VLOOKUP(H29,AzureRegions!$A$4:$B$1493,2,FALSE)</f>
        <v>#N/A</v>
      </c>
      <c r="T29" s="3" t="e">
        <f>VLOOKUP(H29,AzureRegions!$A$4:$C$1493,3,FALSE)</f>
        <v>#N/A</v>
      </c>
      <c r="U29" s="3" t="e">
        <f>VLOOKUP(I29,Resources!$A$2:$AA$1503,2,FALSE)</f>
        <v>#N/A</v>
      </c>
      <c r="V29" s="3" t="e">
        <f>VLOOKUP(I29,Resources!$A$2:$H$1503,6,FALSE)</f>
        <v>#N/A</v>
      </c>
      <c r="W29" s="3" t="str">
        <f>VLOOKUP($H$2,Casing!$A$4:$A$60,1,FALSE)</f>
        <v>Lower</v>
      </c>
      <c r="X29" s="14" t="str">
        <f t="shared" si="1"/>
        <v>001</v>
      </c>
      <c r="Y29" s="3" t="str">
        <f>IFERROR(VLOOKUP(F29,Func!$A$4:$G$1500,2,FALSE),"none")</f>
        <v>none</v>
      </c>
      <c r="Z29" s="3" t="e">
        <f>VLOOKUP(I29,Resources!$A$2:$AA$1503,18,FALSE)</f>
        <v>#N/A</v>
      </c>
      <c r="AA29" s="3" t="str">
        <f>IFERROR(VLOOKUP(B29,Orgs!$A$4:$G$1500,2,FALSE),"none")</f>
        <v>none</v>
      </c>
      <c r="AB29" s="3" t="str">
        <f>IFERROR(VLOOKUP(C29,UnitsDepts!$A$4:$G$1500,2,FALSE),"none")</f>
        <v>none</v>
      </c>
      <c r="AC29" s="3" t="str">
        <f>IFERROR(VLOOKUP(D29,ProjAppSvc!$A$4:$G$1500,2,FALSE),"none")</f>
        <v>none</v>
      </c>
    </row>
    <row r="30" spans="1:29" x14ac:dyDescent="0.45">
      <c r="A30" s="14" t="s">
        <v>23</v>
      </c>
      <c r="B30" s="14"/>
      <c r="C30" s="14"/>
      <c r="D30" s="14"/>
      <c r="H30" s="8"/>
      <c r="I30" s="3"/>
      <c r="J30" s="3" t="str">
        <f t="shared" si="2"/>
        <v/>
      </c>
      <c r="K30" s="3" t="str">
        <f>IF(ISNUMBER(SEARCH("-",V30)),IFERROR(IF($H$2="Lower", LOWER(ComputeResourceName(Z30,#REF!,#REF!,G30,N30,O30,P30,Q30,S30,T30,V30,A30)), UPPER(ComputeResourceName(Z30,#REF!,#REF!,G30,N30,O30,P30,Q30,S30,T30,V30,A30))),""),SUBSTITUTE(IFERROR(IF($H$2="Lower", LOWER(ComputeResourceName(#REF!,#REF!,#REF!,G30,N30,O30,P30,Q30,S30,T30,V30,A30)), UPPER(ComputeResourceName(#REF!,#REF!,#REF!,G30,N30,O30,P30,Q30,S30,T30,V30,A30))),""), "-",""))</f>
        <v/>
      </c>
      <c r="L30" s="3" t="str">
        <f xml:space="preserve"> IF(K30="","",  IFERROR(VLOOKUP(I30,Resources!$B$1:$H$1503,5,FALSE)-LEN(K30),0))</f>
        <v/>
      </c>
      <c r="M30" s="3" t="str">
        <f>IF(K30="","",IFERROR(matches(K30,VLOOKUP(I30,Resources!$A$2:$AA$1503,16,FALSE)),FALSE))</f>
        <v/>
      </c>
      <c r="N30" s="3" t="e">
        <f>VLOOKUP(E30,Enviroments!$A$3:$D$59,1,FALSE)</f>
        <v>#N/A</v>
      </c>
      <c r="O30" s="3" t="e">
        <f>VLOOKUP(E30,Enviroments!$A$3:$D$59,2,FALSE)</f>
        <v>#N/A</v>
      </c>
      <c r="P30" s="3" t="e">
        <f>VLOOKUP(E30,Enviroments!$A$3:$D$59,3,FALSE)</f>
        <v>#N/A</v>
      </c>
      <c r="Q30" s="3" t="e">
        <f>VLOOKUP(E30,Enviroments!$A$3:$D$59,4,FALSE)</f>
        <v>#N/A</v>
      </c>
      <c r="R30" s="3" t="e">
        <f>VLOOKUP(H30,AzureRegions!$A$4:$B$1493,1,FALSE)</f>
        <v>#N/A</v>
      </c>
      <c r="S30" s="3" t="e">
        <f>VLOOKUP(H30,AzureRegions!$A$4:$B$1493,2,FALSE)</f>
        <v>#N/A</v>
      </c>
      <c r="T30" s="3" t="e">
        <f>VLOOKUP(H30,AzureRegions!$A$4:$C$1493,3,FALSE)</f>
        <v>#N/A</v>
      </c>
      <c r="U30" s="3" t="e">
        <f>VLOOKUP(I30,Resources!$A$2:$AA$1503,2,FALSE)</f>
        <v>#N/A</v>
      </c>
      <c r="V30" s="3" t="e">
        <f>VLOOKUP(I30,Resources!$A$2:$H$1503,6,FALSE)</f>
        <v>#N/A</v>
      </c>
      <c r="W30" s="3" t="str">
        <f>VLOOKUP($H$2,Casing!$A$4:$A$60,1,FALSE)</f>
        <v>Lower</v>
      </c>
      <c r="X30" s="14" t="str">
        <f t="shared" si="1"/>
        <v>001</v>
      </c>
      <c r="Y30" s="3" t="str">
        <f>IFERROR(VLOOKUP(F30,Func!$A$4:$G$1500,2,FALSE),"none")</f>
        <v>none</v>
      </c>
      <c r="Z30" s="3" t="e">
        <f>VLOOKUP(I30,Resources!$A$2:$AA$1503,18,FALSE)</f>
        <v>#N/A</v>
      </c>
      <c r="AA30" s="3" t="str">
        <f>IFERROR(VLOOKUP(B30,Orgs!$A$4:$G$1500,2,FALSE),"none")</f>
        <v>none</v>
      </c>
      <c r="AB30" s="3" t="str">
        <f>IFERROR(VLOOKUP(C30,UnitsDepts!$A$4:$G$1500,2,FALSE),"none")</f>
        <v>none</v>
      </c>
      <c r="AC30" s="3" t="str">
        <f>IFERROR(VLOOKUP(D30,ProjAppSvc!$A$4:$G$1500,2,FALSE),"none")</f>
        <v>none</v>
      </c>
    </row>
    <row r="31" spans="1:29" x14ac:dyDescent="0.45">
      <c r="A31" s="14" t="s">
        <v>23</v>
      </c>
      <c r="B31" s="14"/>
      <c r="C31" s="14"/>
      <c r="D31" s="14"/>
      <c r="H31" s="8"/>
      <c r="I31" s="3"/>
      <c r="J31" s="3" t="str">
        <f t="shared" si="2"/>
        <v/>
      </c>
      <c r="K31" s="3" t="str">
        <f>IF(ISNUMBER(SEARCH("-",V31)),IFERROR(IF($H$2="Lower", LOWER(ComputeResourceName(Z31,#REF!,#REF!,G31,N31,O31,P31,Q31,S31,T31,V31,A31)), UPPER(ComputeResourceName(Z31,#REF!,#REF!,G31,N31,O31,P31,Q31,S31,T31,V31,A31))),""),SUBSTITUTE(IFERROR(IF($H$2="Lower", LOWER(ComputeResourceName(#REF!,#REF!,#REF!,G31,N31,O31,P31,Q31,S31,T31,V31,A31)), UPPER(ComputeResourceName(#REF!,#REF!,#REF!,G31,N31,O31,P31,Q31,S31,T31,V31,A31))),""), "-",""))</f>
        <v/>
      </c>
      <c r="L31" s="3" t="str">
        <f xml:space="preserve"> IF(K31="","",  IFERROR(VLOOKUP(I31,Resources!$B$1:$H$1503,5,FALSE)-LEN(K31),0))</f>
        <v/>
      </c>
      <c r="M31" s="3" t="str">
        <f>IF(K31="","",IFERROR(matches(K31,VLOOKUP(I31,Resources!$A$2:$AA$1503,16,FALSE)),FALSE))</f>
        <v/>
      </c>
      <c r="N31" s="3" t="e">
        <f>VLOOKUP(E31,Enviroments!$A$3:$D$59,1,FALSE)</f>
        <v>#N/A</v>
      </c>
      <c r="O31" s="3" t="e">
        <f>VLOOKUP(E31,Enviroments!$A$3:$D$59,2,FALSE)</f>
        <v>#N/A</v>
      </c>
      <c r="P31" s="3" t="e">
        <f>VLOOKUP(E31,Enviroments!$A$3:$D$59,3,FALSE)</f>
        <v>#N/A</v>
      </c>
      <c r="Q31" s="3" t="e">
        <f>VLOOKUP(E31,Enviroments!$A$3:$D$59,4,FALSE)</f>
        <v>#N/A</v>
      </c>
      <c r="R31" s="3" t="e">
        <f>VLOOKUP(H31,AzureRegions!$A$4:$B$1493,1,FALSE)</f>
        <v>#N/A</v>
      </c>
      <c r="S31" s="3" t="e">
        <f>VLOOKUP(H31,AzureRegions!$A$4:$B$1493,2,FALSE)</f>
        <v>#N/A</v>
      </c>
      <c r="T31" s="3" t="e">
        <f>VLOOKUP(H31,AzureRegions!$A$4:$C$1493,3,FALSE)</f>
        <v>#N/A</v>
      </c>
      <c r="U31" s="3" t="e">
        <f>VLOOKUP(I31,Resources!$A$2:$AA$1503,2,FALSE)</f>
        <v>#N/A</v>
      </c>
      <c r="V31" s="3" t="e">
        <f>VLOOKUP(I31,Resources!$A$2:$H$1503,6,FALSE)</f>
        <v>#N/A</v>
      </c>
      <c r="W31" s="3" t="str">
        <f>VLOOKUP($H$2,Casing!$A$4:$A$60,1,FALSE)</f>
        <v>Lower</v>
      </c>
      <c r="X31" s="14" t="str">
        <f t="shared" si="1"/>
        <v>001</v>
      </c>
      <c r="Y31" s="3" t="str">
        <f>IFERROR(VLOOKUP(F31,Func!$A$4:$G$1500,2,FALSE),"none")</f>
        <v>none</v>
      </c>
      <c r="Z31" s="3" t="e">
        <f>VLOOKUP(I31,Resources!$A$2:$AA$1503,18,FALSE)</f>
        <v>#N/A</v>
      </c>
      <c r="AA31" s="3" t="str">
        <f>IFERROR(VLOOKUP(B31,Orgs!$A$4:$G$1500,2,FALSE),"none")</f>
        <v>none</v>
      </c>
      <c r="AB31" s="3" t="str">
        <f>IFERROR(VLOOKUP(C31,UnitsDepts!$A$4:$G$1500,2,FALSE),"none")</f>
        <v>none</v>
      </c>
      <c r="AC31" s="3" t="str">
        <f>IFERROR(VLOOKUP(D31,ProjAppSvc!$A$4:$G$1500,2,FALSE),"none")</f>
        <v>none</v>
      </c>
    </row>
    <row r="32" spans="1:29" x14ac:dyDescent="0.45">
      <c r="A32" s="14" t="s">
        <v>23</v>
      </c>
      <c r="B32" s="14"/>
      <c r="C32" s="14"/>
      <c r="D32" s="14"/>
      <c r="H32" s="8"/>
      <c r="I32" s="3"/>
      <c r="J32" s="3" t="str">
        <f t="shared" si="2"/>
        <v/>
      </c>
      <c r="K32" s="3" t="str">
        <f>IF(ISNUMBER(SEARCH("-",V32)),IFERROR(IF($H$2="Lower", LOWER(ComputeResourceName(Z32,#REF!,#REF!,G32,N32,O32,P32,Q32,S32,T32,V32,A32)), UPPER(ComputeResourceName(Z32,#REF!,#REF!,G32,N32,O32,P32,Q32,S32,T32,V32,A32))),""),SUBSTITUTE(IFERROR(IF($H$2="Lower", LOWER(ComputeResourceName(#REF!,#REF!,#REF!,G32,N32,O32,P32,Q32,S32,T32,V32,A32)), UPPER(ComputeResourceName(#REF!,#REF!,#REF!,G32,N32,O32,P32,Q32,S32,T32,V32,A32))),""), "-",""))</f>
        <v/>
      </c>
      <c r="L32" s="3" t="str">
        <f xml:space="preserve"> IF(K32="","",  IFERROR(VLOOKUP(I32,Resources!$B$1:$H$1503,5,FALSE)-LEN(K32),0))</f>
        <v/>
      </c>
      <c r="M32" s="3" t="str">
        <f>IF(K32="","",IFERROR(matches(K32,VLOOKUP(I32,Resources!$A$2:$AA$1503,16,FALSE)),FALSE))</f>
        <v/>
      </c>
      <c r="N32" s="3" t="e">
        <f>VLOOKUP(E32,Enviroments!$A$3:$D$59,1,FALSE)</f>
        <v>#N/A</v>
      </c>
      <c r="O32" s="3" t="e">
        <f>VLOOKUP(E32,Enviroments!$A$3:$D$59,2,FALSE)</f>
        <v>#N/A</v>
      </c>
      <c r="P32" s="3" t="e">
        <f>VLOOKUP(E32,Enviroments!$A$3:$D$59,3,FALSE)</f>
        <v>#N/A</v>
      </c>
      <c r="Q32" s="3" t="e">
        <f>VLOOKUP(E32,Enviroments!$A$3:$D$59,4,FALSE)</f>
        <v>#N/A</v>
      </c>
      <c r="R32" s="3" t="e">
        <f>VLOOKUP(H32,AzureRegions!$A$4:$B$1493,1,FALSE)</f>
        <v>#N/A</v>
      </c>
      <c r="S32" s="3" t="e">
        <f>VLOOKUP(H32,AzureRegions!$A$4:$B$1493,2,FALSE)</f>
        <v>#N/A</v>
      </c>
      <c r="T32" s="3" t="e">
        <f>VLOOKUP(H32,AzureRegions!$A$4:$C$1493,3,FALSE)</f>
        <v>#N/A</v>
      </c>
      <c r="U32" s="3" t="e">
        <f>VLOOKUP(I32,Resources!$A$2:$AA$1503,2,FALSE)</f>
        <v>#N/A</v>
      </c>
      <c r="V32" s="3" t="e">
        <f>VLOOKUP(I32,Resources!$A$2:$H$1503,6,FALSE)</f>
        <v>#N/A</v>
      </c>
      <c r="W32" s="3" t="str">
        <f>VLOOKUP($H$2,Casing!$A$4:$A$60,1,FALSE)</f>
        <v>Lower</v>
      </c>
      <c r="X32" s="14" t="str">
        <f t="shared" si="1"/>
        <v>001</v>
      </c>
      <c r="Y32" s="3" t="str">
        <f>IFERROR(VLOOKUP(F32,Func!$A$4:$G$1500,2,FALSE),"none")</f>
        <v>none</v>
      </c>
      <c r="Z32" s="3" t="e">
        <f>VLOOKUP(I32,Resources!$A$2:$AA$1503,18,FALSE)</f>
        <v>#N/A</v>
      </c>
      <c r="AA32" s="3" t="str">
        <f>IFERROR(VLOOKUP(B32,Orgs!$A$4:$G$1500,2,FALSE),"none")</f>
        <v>none</v>
      </c>
      <c r="AB32" s="3" t="str">
        <f>IFERROR(VLOOKUP(C32,UnitsDepts!$A$4:$G$1500,2,FALSE),"none")</f>
        <v>none</v>
      </c>
      <c r="AC32" s="3" t="str">
        <f>IFERROR(VLOOKUP(D32,ProjAppSvc!$A$4:$G$1500,2,FALSE),"none")</f>
        <v>none</v>
      </c>
    </row>
    <row r="33" spans="1:29" x14ac:dyDescent="0.45">
      <c r="A33" s="14" t="s">
        <v>23</v>
      </c>
      <c r="B33" s="14"/>
      <c r="C33" s="14"/>
      <c r="D33" s="14"/>
      <c r="H33" s="8"/>
      <c r="I33" s="3"/>
      <c r="J33" s="3" t="str">
        <f t="shared" si="2"/>
        <v/>
      </c>
      <c r="K33" s="3" t="str">
        <f>IF(ISNUMBER(SEARCH("-",V33)),IFERROR(IF($H$2="Lower", LOWER(ComputeResourceName(Z33,#REF!,#REF!,G33,N33,O33,P33,Q33,S33,T33,V33,A33)), UPPER(ComputeResourceName(Z33,#REF!,#REF!,G33,N33,O33,P33,Q33,S33,T33,V33,A33))),""),SUBSTITUTE(IFERROR(IF($H$2="Lower", LOWER(ComputeResourceName(#REF!,#REF!,#REF!,G33,N33,O33,P33,Q33,S33,T33,V33,A33)), UPPER(ComputeResourceName(#REF!,#REF!,#REF!,G33,N33,O33,P33,Q33,S33,T33,V33,A33))),""), "-",""))</f>
        <v/>
      </c>
      <c r="L33" s="3" t="str">
        <f xml:space="preserve"> IF(K33="","",  IFERROR(VLOOKUP(I33,Resources!$B$1:$H$1503,5,FALSE)-LEN(K33),0))</f>
        <v/>
      </c>
      <c r="M33" s="3" t="str">
        <f>IF(K33="","",IFERROR(matches(K33,VLOOKUP(I33,Resources!$A$2:$AA$1503,16,FALSE)),FALSE))</f>
        <v/>
      </c>
      <c r="N33" s="3" t="e">
        <f>VLOOKUP(E33,Enviroments!$A$3:$D$59,1,FALSE)</f>
        <v>#N/A</v>
      </c>
      <c r="O33" s="3" t="e">
        <f>VLOOKUP(E33,Enviroments!$A$3:$D$59,2,FALSE)</f>
        <v>#N/A</v>
      </c>
      <c r="P33" s="3" t="e">
        <f>VLOOKUP(E33,Enviroments!$A$3:$D$59,3,FALSE)</f>
        <v>#N/A</v>
      </c>
      <c r="Q33" s="3" t="e">
        <f>VLOOKUP(E33,Enviroments!$A$3:$D$59,4,FALSE)</f>
        <v>#N/A</v>
      </c>
      <c r="R33" s="3" t="e">
        <f>VLOOKUP(H33,AzureRegions!$A$4:$B$1493,1,FALSE)</f>
        <v>#N/A</v>
      </c>
      <c r="S33" s="3" t="e">
        <f>VLOOKUP(H33,AzureRegions!$A$4:$B$1493,2,FALSE)</f>
        <v>#N/A</v>
      </c>
      <c r="T33" s="3" t="e">
        <f>VLOOKUP(H33,AzureRegions!$A$4:$C$1493,3,FALSE)</f>
        <v>#N/A</v>
      </c>
      <c r="U33" s="3" t="e">
        <f>VLOOKUP(I33,Resources!$A$2:$AA$1503,2,FALSE)</f>
        <v>#N/A</v>
      </c>
      <c r="V33" s="3" t="e">
        <f>VLOOKUP(I33,Resources!$A$2:$H$1503,6,FALSE)</f>
        <v>#N/A</v>
      </c>
      <c r="W33" s="3" t="str">
        <f>VLOOKUP($H$2,Casing!$A$4:$A$60,1,FALSE)</f>
        <v>Lower</v>
      </c>
      <c r="X33" s="14" t="str">
        <f t="shared" si="1"/>
        <v>001</v>
      </c>
      <c r="Y33" s="3" t="str">
        <f>IFERROR(VLOOKUP(F33,Func!$A$4:$G$1500,2,FALSE),"none")</f>
        <v>none</v>
      </c>
      <c r="Z33" s="3" t="e">
        <f>VLOOKUP(I33,Resources!$A$2:$AA$1503,18,FALSE)</f>
        <v>#N/A</v>
      </c>
      <c r="AA33" s="3" t="str">
        <f>IFERROR(VLOOKUP(B33,Orgs!$A$4:$G$1500,2,FALSE),"none")</f>
        <v>none</v>
      </c>
      <c r="AB33" s="3" t="str">
        <f>IFERROR(VLOOKUP(C33,UnitsDepts!$A$4:$G$1500,2,FALSE),"none")</f>
        <v>none</v>
      </c>
      <c r="AC33" s="3" t="str">
        <f>IFERROR(VLOOKUP(D33,ProjAppSvc!$A$4:$G$1500,2,FALSE),"none")</f>
        <v>none</v>
      </c>
    </row>
    <row r="34" spans="1:29" x14ac:dyDescent="0.45">
      <c r="A34" s="14" t="s">
        <v>23</v>
      </c>
      <c r="B34" s="14"/>
      <c r="C34" s="14"/>
      <c r="D34" s="14"/>
      <c r="H34" s="8"/>
      <c r="I34" s="3"/>
      <c r="J34" s="3" t="str">
        <f t="shared" si="2"/>
        <v/>
      </c>
      <c r="K34" s="3" t="str">
        <f>IF(ISNUMBER(SEARCH("-",V34)),IFERROR(IF($H$2="Lower", LOWER(ComputeResourceName(Z34,#REF!,#REF!,G34,N34,O34,P34,Q34,S34,T34,V34,A34)), UPPER(ComputeResourceName(Z34,#REF!,#REF!,G34,N34,O34,P34,Q34,S34,T34,V34,A34))),""),SUBSTITUTE(IFERROR(IF($H$2="Lower", LOWER(ComputeResourceName(#REF!,#REF!,#REF!,G34,N34,O34,P34,Q34,S34,T34,V34,A34)), UPPER(ComputeResourceName(#REF!,#REF!,#REF!,G34,N34,O34,P34,Q34,S34,T34,V34,A34))),""), "-",""))</f>
        <v/>
      </c>
      <c r="L34" s="3" t="str">
        <f xml:space="preserve"> IF(K34="","",  IFERROR(VLOOKUP(I34,Resources!$B$1:$H$1503,5,FALSE)-LEN(K34),0))</f>
        <v/>
      </c>
      <c r="M34" s="3" t="str">
        <f>IF(K34="","",IFERROR(matches(K34,VLOOKUP(I34,Resources!$A$2:$AA$1503,16,FALSE)),FALSE))</f>
        <v/>
      </c>
      <c r="N34" s="3" t="e">
        <f>VLOOKUP(E34,Enviroments!$A$3:$D$59,1,FALSE)</f>
        <v>#N/A</v>
      </c>
      <c r="O34" s="3" t="e">
        <f>VLOOKUP(E34,Enviroments!$A$3:$D$59,2,FALSE)</f>
        <v>#N/A</v>
      </c>
      <c r="P34" s="3" t="e">
        <f>VLOOKUP(E34,Enviroments!$A$3:$D$59,3,FALSE)</f>
        <v>#N/A</v>
      </c>
      <c r="Q34" s="3" t="e">
        <f>VLOOKUP(E34,Enviroments!$A$3:$D$59,4,FALSE)</f>
        <v>#N/A</v>
      </c>
      <c r="R34" s="3" t="e">
        <f>VLOOKUP(H34,AzureRegions!$A$4:$B$1493,1,FALSE)</f>
        <v>#N/A</v>
      </c>
      <c r="S34" s="3" t="e">
        <f>VLOOKUP(H34,AzureRegions!$A$4:$B$1493,2,FALSE)</f>
        <v>#N/A</v>
      </c>
      <c r="T34" s="3" t="e">
        <f>VLOOKUP(H34,AzureRegions!$A$4:$C$1493,3,FALSE)</f>
        <v>#N/A</v>
      </c>
      <c r="U34" s="3" t="e">
        <f>VLOOKUP(I34,Resources!$A$2:$AA$1503,2,FALSE)</f>
        <v>#N/A</v>
      </c>
      <c r="V34" s="3" t="e">
        <f>VLOOKUP(I34,Resources!$A$2:$H$1503,6,FALSE)</f>
        <v>#N/A</v>
      </c>
      <c r="W34" s="3" t="str">
        <f>VLOOKUP($H$2,Casing!$A$4:$A$60,1,FALSE)</f>
        <v>Lower</v>
      </c>
      <c r="X34" s="14" t="str">
        <f t="shared" si="1"/>
        <v>001</v>
      </c>
      <c r="Y34" s="3" t="str">
        <f>IFERROR(VLOOKUP(F34,Func!$A$4:$G$1500,2,FALSE),"none")</f>
        <v>none</v>
      </c>
      <c r="Z34" s="3" t="e">
        <f>VLOOKUP(I34,Resources!$A$2:$AA$1503,18,FALSE)</f>
        <v>#N/A</v>
      </c>
      <c r="AA34" s="3" t="str">
        <f>IFERROR(VLOOKUP(B34,Orgs!$A$4:$G$1500,2,FALSE),"none")</f>
        <v>none</v>
      </c>
      <c r="AB34" s="3" t="str">
        <f>IFERROR(VLOOKUP(C34,UnitsDepts!$A$4:$G$1500,2,FALSE),"none")</f>
        <v>none</v>
      </c>
      <c r="AC34" s="3" t="str">
        <f>IFERROR(VLOOKUP(D34,ProjAppSvc!$A$4:$G$1500,2,FALSE),"none")</f>
        <v>none</v>
      </c>
    </row>
    <row r="35" spans="1:29" x14ac:dyDescent="0.45">
      <c r="A35" s="14" t="s">
        <v>23</v>
      </c>
      <c r="B35" s="14"/>
      <c r="C35" s="14"/>
      <c r="D35" s="14"/>
      <c r="H35" s="8"/>
      <c r="I35" s="3"/>
      <c r="J35" s="3" t="str">
        <f t="shared" si="2"/>
        <v/>
      </c>
      <c r="K35" s="3" t="str">
        <f>IF(ISNUMBER(SEARCH("-",V35)),IFERROR(IF($H$2="Lower", LOWER(ComputeResourceName(Z35,#REF!,#REF!,G35,N35,O35,P35,Q35,S35,T35,V35,A35)), UPPER(ComputeResourceName(Z35,#REF!,#REF!,G35,N35,O35,P35,Q35,S35,T35,V35,A35))),""),SUBSTITUTE(IFERROR(IF($H$2="Lower", LOWER(ComputeResourceName(#REF!,#REF!,#REF!,G35,N35,O35,P35,Q35,S35,T35,V35,A35)), UPPER(ComputeResourceName(#REF!,#REF!,#REF!,G35,N35,O35,P35,Q35,S35,T35,V35,A35))),""), "-",""))</f>
        <v/>
      </c>
      <c r="L35" s="3" t="str">
        <f xml:space="preserve"> IF(K35="","",  IFERROR(VLOOKUP(I35,Resources!$B$1:$H$1503,5,FALSE)-LEN(K35),0))</f>
        <v/>
      </c>
      <c r="M35" s="3" t="str">
        <f>IF(K35="","",IFERROR(matches(K35,VLOOKUP(I35,Resources!$A$2:$AA$1503,16,FALSE)),FALSE))</f>
        <v/>
      </c>
      <c r="N35" s="3" t="e">
        <f>VLOOKUP(E35,Enviroments!$A$3:$D$59,1,FALSE)</f>
        <v>#N/A</v>
      </c>
      <c r="O35" s="3" t="e">
        <f>VLOOKUP(E35,Enviroments!$A$3:$D$59,2,FALSE)</f>
        <v>#N/A</v>
      </c>
      <c r="P35" s="3" t="e">
        <f>VLOOKUP(E35,Enviroments!$A$3:$D$59,3,FALSE)</f>
        <v>#N/A</v>
      </c>
      <c r="Q35" s="3" t="e">
        <f>VLOOKUP(E35,Enviroments!$A$3:$D$59,4,FALSE)</f>
        <v>#N/A</v>
      </c>
      <c r="R35" s="3" t="e">
        <f>VLOOKUP(H35,AzureRegions!$A$4:$B$1493,1,FALSE)</f>
        <v>#N/A</v>
      </c>
      <c r="S35" s="3" t="e">
        <f>VLOOKUP(H35,AzureRegions!$A$4:$B$1493,2,FALSE)</f>
        <v>#N/A</v>
      </c>
      <c r="T35" s="3" t="e">
        <f>VLOOKUP(H35,AzureRegions!$A$4:$C$1493,3,FALSE)</f>
        <v>#N/A</v>
      </c>
      <c r="U35" s="3" t="e">
        <f>VLOOKUP(I35,Resources!$A$2:$AA$1503,2,FALSE)</f>
        <v>#N/A</v>
      </c>
      <c r="V35" s="3" t="e">
        <f>VLOOKUP(I35,Resources!$A$2:$H$1503,6,FALSE)</f>
        <v>#N/A</v>
      </c>
      <c r="W35" s="3" t="str">
        <f>VLOOKUP($H$2,Casing!$A$4:$A$60,1,FALSE)</f>
        <v>Lower</v>
      </c>
      <c r="X35" s="14" t="str">
        <f t="shared" si="1"/>
        <v>001</v>
      </c>
      <c r="Y35" s="3" t="str">
        <f>IFERROR(VLOOKUP(F35,Func!$A$4:$G$1500,2,FALSE),"none")</f>
        <v>none</v>
      </c>
      <c r="Z35" s="3" t="e">
        <f>VLOOKUP(I35,Resources!$A$2:$AA$1503,18,FALSE)</f>
        <v>#N/A</v>
      </c>
      <c r="AA35" s="3" t="str">
        <f>IFERROR(VLOOKUP(B35,Orgs!$A$4:$G$1500,2,FALSE),"none")</f>
        <v>none</v>
      </c>
      <c r="AB35" s="3" t="str">
        <f>IFERROR(VLOOKUP(C35,UnitsDepts!$A$4:$G$1500,2,FALSE),"none")</f>
        <v>none</v>
      </c>
      <c r="AC35" s="3" t="str">
        <f>IFERROR(VLOOKUP(D35,ProjAppSvc!$A$4:$G$1500,2,FALSE),"none")</f>
        <v>none</v>
      </c>
    </row>
    <row r="36" spans="1:29" x14ac:dyDescent="0.45">
      <c r="A36" s="14" t="s">
        <v>23</v>
      </c>
      <c r="B36" s="14"/>
      <c r="C36" s="14"/>
      <c r="D36" s="14"/>
      <c r="H36" s="8"/>
      <c r="I36" s="3"/>
      <c r="J36" s="3" t="str">
        <f t="shared" si="2"/>
        <v/>
      </c>
      <c r="K36" s="3" t="str">
        <f>IF(ISNUMBER(SEARCH("-",V36)),IFERROR(IF($H$2="Lower", LOWER(ComputeResourceName(Z36,#REF!,#REF!,G36,N36,O36,P36,Q36,S36,T36,V36,A36)), UPPER(ComputeResourceName(Z36,#REF!,#REF!,G36,N36,O36,P36,Q36,S36,T36,V36,A36))),""),SUBSTITUTE(IFERROR(IF($H$2="Lower", LOWER(ComputeResourceName(#REF!,#REF!,#REF!,G36,N36,O36,P36,Q36,S36,T36,V36,A36)), UPPER(ComputeResourceName(#REF!,#REF!,#REF!,G36,N36,O36,P36,Q36,S36,T36,V36,A36))),""), "-",""))</f>
        <v/>
      </c>
      <c r="L36" s="3" t="str">
        <f xml:space="preserve"> IF(K36="","",  IFERROR(VLOOKUP(I36,Resources!$B$1:$H$1503,5,FALSE)-LEN(K36),0))</f>
        <v/>
      </c>
      <c r="M36" s="3" t="str">
        <f>IF(K36="","",IFERROR(matches(K36,VLOOKUP(I36,Resources!$A$2:$AA$1503,16,FALSE)),FALSE))</f>
        <v/>
      </c>
      <c r="N36" s="3" t="e">
        <f>VLOOKUP(E36,Enviroments!$A$3:$D$59,1,FALSE)</f>
        <v>#N/A</v>
      </c>
      <c r="O36" s="3" t="e">
        <f>VLOOKUP(E36,Enviroments!$A$3:$D$59,2,FALSE)</f>
        <v>#N/A</v>
      </c>
      <c r="P36" s="3" t="e">
        <f>VLOOKUP(E36,Enviroments!$A$3:$D$59,3,FALSE)</f>
        <v>#N/A</v>
      </c>
      <c r="Q36" s="3" t="e">
        <f>VLOOKUP(E36,Enviroments!$A$3:$D$59,4,FALSE)</f>
        <v>#N/A</v>
      </c>
      <c r="R36" s="3" t="e">
        <f>VLOOKUP(H36,AzureRegions!$A$4:$B$1493,1,FALSE)</f>
        <v>#N/A</v>
      </c>
      <c r="S36" s="3" t="e">
        <f>VLOOKUP(H36,AzureRegions!$A$4:$B$1493,2,FALSE)</f>
        <v>#N/A</v>
      </c>
      <c r="T36" s="3" t="e">
        <f>VLOOKUP(H36,AzureRegions!$A$4:$C$1493,3,FALSE)</f>
        <v>#N/A</v>
      </c>
      <c r="U36" s="3" t="e">
        <f>VLOOKUP(I36,Resources!$A$2:$AA$1503,2,FALSE)</f>
        <v>#N/A</v>
      </c>
      <c r="V36" s="3" t="e">
        <f>VLOOKUP(I36,Resources!$A$2:$H$1503,6,FALSE)</f>
        <v>#N/A</v>
      </c>
      <c r="W36" s="3" t="str">
        <f>VLOOKUP($H$2,Casing!$A$4:$A$60,1,FALSE)</f>
        <v>Lower</v>
      </c>
      <c r="X36" s="14" t="str">
        <f t="shared" si="1"/>
        <v>001</v>
      </c>
      <c r="Y36" s="3" t="str">
        <f>IFERROR(VLOOKUP(F36,Func!$A$4:$G$1500,2,FALSE),"none")</f>
        <v>none</v>
      </c>
      <c r="Z36" s="3" t="e">
        <f>VLOOKUP(I36,Resources!$A$2:$AA$1503,18,FALSE)</f>
        <v>#N/A</v>
      </c>
      <c r="AA36" s="3" t="str">
        <f>IFERROR(VLOOKUP(B36,Orgs!$A$4:$G$1500,2,FALSE),"none")</f>
        <v>none</v>
      </c>
      <c r="AB36" s="3" t="str">
        <f>IFERROR(VLOOKUP(C36,UnitsDepts!$A$4:$G$1500,2,FALSE),"none")</f>
        <v>none</v>
      </c>
      <c r="AC36" s="3" t="str">
        <f>IFERROR(VLOOKUP(D36,ProjAppSvc!$A$4:$G$1500,2,FALSE),"none")</f>
        <v>none</v>
      </c>
    </row>
    <row r="37" spans="1:29" x14ac:dyDescent="0.45">
      <c r="A37" s="14" t="s">
        <v>23</v>
      </c>
      <c r="B37" s="14"/>
      <c r="C37" s="14"/>
      <c r="D37" s="14"/>
      <c r="H37" s="8"/>
      <c r="I37" s="3"/>
      <c r="J37" s="3" t="str">
        <f t="shared" si="2"/>
        <v/>
      </c>
      <c r="K37" s="3" t="str">
        <f>IF(ISNUMBER(SEARCH("-",V37)),IFERROR(IF($H$2="Lower", LOWER(ComputeResourceName(Z37,#REF!,#REF!,G37,N37,O37,P37,Q37,S37,T37,V37,A37)), UPPER(ComputeResourceName(Z37,#REF!,#REF!,G37,N37,O37,P37,Q37,S37,T37,V37,A37))),""),SUBSTITUTE(IFERROR(IF($H$2="Lower", LOWER(ComputeResourceName(#REF!,#REF!,#REF!,G37,N37,O37,P37,Q37,S37,T37,V37,A37)), UPPER(ComputeResourceName(#REF!,#REF!,#REF!,G37,N37,O37,P37,Q37,S37,T37,V37,A37))),""), "-",""))</f>
        <v/>
      </c>
      <c r="L37" s="3" t="str">
        <f xml:space="preserve"> IF(K37="","",  IFERROR(VLOOKUP(I37,Resources!$B$1:$H$1503,5,FALSE)-LEN(K37),0))</f>
        <v/>
      </c>
      <c r="M37" s="3" t="str">
        <f>IF(K37="","",IFERROR(matches(K37,VLOOKUP(I37,Resources!$A$2:$AA$1503,16,FALSE)),FALSE))</f>
        <v/>
      </c>
      <c r="N37" s="3" t="e">
        <f>VLOOKUP(E37,Enviroments!$A$3:$D$59,1,FALSE)</f>
        <v>#N/A</v>
      </c>
      <c r="O37" s="3" t="e">
        <f>VLOOKUP(E37,Enviroments!$A$3:$D$59,2,FALSE)</f>
        <v>#N/A</v>
      </c>
      <c r="P37" s="3" t="e">
        <f>VLOOKUP(E37,Enviroments!$A$3:$D$59,3,FALSE)</f>
        <v>#N/A</v>
      </c>
      <c r="Q37" s="3" t="e">
        <f>VLOOKUP(E37,Enviroments!$A$3:$D$59,4,FALSE)</f>
        <v>#N/A</v>
      </c>
      <c r="R37" s="3" t="e">
        <f>VLOOKUP(H37,AzureRegions!$A$4:$B$1493,1,FALSE)</f>
        <v>#N/A</v>
      </c>
      <c r="S37" s="3" t="e">
        <f>VLOOKUP(H37,AzureRegions!$A$4:$B$1493,2,FALSE)</f>
        <v>#N/A</v>
      </c>
      <c r="T37" s="3" t="e">
        <f>VLOOKUP(H37,AzureRegions!$A$4:$C$1493,3,FALSE)</f>
        <v>#N/A</v>
      </c>
      <c r="U37" s="3" t="e">
        <f>VLOOKUP(I37,Resources!$A$2:$AA$1503,2,FALSE)</f>
        <v>#N/A</v>
      </c>
      <c r="V37" s="3" t="e">
        <f>VLOOKUP(I37,Resources!$A$2:$H$1503,6,FALSE)</f>
        <v>#N/A</v>
      </c>
      <c r="W37" s="3" t="str">
        <f>VLOOKUP($H$2,Casing!$A$4:$A$60,1,FALSE)</f>
        <v>Lower</v>
      </c>
      <c r="X37" s="14" t="str">
        <f t="shared" si="1"/>
        <v>001</v>
      </c>
      <c r="Y37" s="3" t="str">
        <f>IFERROR(VLOOKUP(F37,Func!$A$4:$G$1500,2,FALSE),"none")</f>
        <v>none</v>
      </c>
      <c r="Z37" s="3" t="e">
        <f>VLOOKUP(I37,Resources!$A$2:$AA$1503,18,FALSE)</f>
        <v>#N/A</v>
      </c>
      <c r="AA37" s="3" t="str">
        <f>IFERROR(VLOOKUP(B37,Orgs!$A$4:$G$1500,2,FALSE),"none")</f>
        <v>none</v>
      </c>
      <c r="AB37" s="3" t="str">
        <f>IFERROR(VLOOKUP(C37,UnitsDepts!$A$4:$G$1500,2,FALSE),"none")</f>
        <v>none</v>
      </c>
      <c r="AC37" s="3" t="str">
        <f>IFERROR(VLOOKUP(D37,ProjAppSvc!$A$4:$G$1500,2,FALSE),"none")</f>
        <v>none</v>
      </c>
    </row>
    <row r="38" spans="1:29" x14ac:dyDescent="0.45">
      <c r="A38" s="14" t="s">
        <v>23</v>
      </c>
      <c r="B38" s="14"/>
      <c r="C38" s="14"/>
      <c r="D38" s="14"/>
      <c r="H38" s="8"/>
      <c r="I38" s="3"/>
      <c r="J38" s="3" t="str">
        <f t="shared" si="2"/>
        <v/>
      </c>
      <c r="K38" s="3" t="str">
        <f>IF(ISNUMBER(SEARCH("-",V38)),IFERROR(IF($H$2="Lower", LOWER(ComputeResourceName(Z38,#REF!,#REF!,G38,N38,O38,P38,Q38,S38,T38,V38,A38)), UPPER(ComputeResourceName(Z38,#REF!,#REF!,G38,N38,O38,P38,Q38,S38,T38,V38,A38))),""),SUBSTITUTE(IFERROR(IF($H$2="Lower", LOWER(ComputeResourceName(#REF!,#REF!,#REF!,G38,N38,O38,P38,Q38,S38,T38,V38,A38)), UPPER(ComputeResourceName(#REF!,#REF!,#REF!,G38,N38,O38,P38,Q38,S38,T38,V38,A38))),""), "-",""))</f>
        <v/>
      </c>
      <c r="L38" s="3" t="str">
        <f xml:space="preserve"> IF(K38="","",  IFERROR(VLOOKUP(I38,Resources!$B$1:$H$1503,5,FALSE)-LEN(K38),0))</f>
        <v/>
      </c>
      <c r="M38" s="3" t="str">
        <f>IF(K38="","",IFERROR(matches(K38,VLOOKUP(I38,Resources!$A$2:$AA$1503,16,FALSE)),FALSE))</f>
        <v/>
      </c>
      <c r="N38" s="3" t="e">
        <f>VLOOKUP(E38,Enviroments!$A$3:$D$59,1,FALSE)</f>
        <v>#N/A</v>
      </c>
      <c r="O38" s="3" t="e">
        <f>VLOOKUP(E38,Enviroments!$A$3:$D$59,2,FALSE)</f>
        <v>#N/A</v>
      </c>
      <c r="P38" s="3" t="e">
        <f>VLOOKUP(E38,Enviroments!$A$3:$D$59,3,FALSE)</f>
        <v>#N/A</v>
      </c>
      <c r="Q38" s="3" t="e">
        <f>VLOOKUP(E38,Enviroments!$A$3:$D$59,4,FALSE)</f>
        <v>#N/A</v>
      </c>
      <c r="R38" s="3" t="e">
        <f>VLOOKUP(H38,AzureRegions!$A$4:$B$1493,1,FALSE)</f>
        <v>#N/A</v>
      </c>
      <c r="S38" s="3" t="e">
        <f>VLOOKUP(H38,AzureRegions!$A$4:$B$1493,2,FALSE)</f>
        <v>#N/A</v>
      </c>
      <c r="T38" s="3" t="e">
        <f>VLOOKUP(H38,AzureRegions!$A$4:$C$1493,3,FALSE)</f>
        <v>#N/A</v>
      </c>
      <c r="U38" s="3" t="e">
        <f>VLOOKUP(I38,Resources!$A$2:$AA$1503,2,FALSE)</f>
        <v>#N/A</v>
      </c>
      <c r="V38" s="3" t="e">
        <f>VLOOKUP(I38,Resources!$A$2:$H$1503,6,FALSE)</f>
        <v>#N/A</v>
      </c>
      <c r="W38" s="3" t="str">
        <f>VLOOKUP($H$2,Casing!$A$4:$A$60,1,FALSE)</f>
        <v>Lower</v>
      </c>
      <c r="X38" s="14" t="str">
        <f t="shared" si="1"/>
        <v>001</v>
      </c>
      <c r="Y38" s="3" t="str">
        <f>IFERROR(VLOOKUP(F38,Func!$A$4:$G$1500,2,FALSE),"none")</f>
        <v>none</v>
      </c>
      <c r="Z38" s="3" t="e">
        <f>VLOOKUP(I38,Resources!$A$2:$AA$1503,18,FALSE)</f>
        <v>#N/A</v>
      </c>
      <c r="AA38" s="3" t="str">
        <f>IFERROR(VLOOKUP(B38,Orgs!$A$4:$G$1500,2,FALSE),"none")</f>
        <v>none</v>
      </c>
      <c r="AB38" s="3" t="str">
        <f>IFERROR(VLOOKUP(C38,UnitsDepts!$A$4:$G$1500,2,FALSE),"none")</f>
        <v>none</v>
      </c>
      <c r="AC38" s="3" t="str">
        <f>IFERROR(VLOOKUP(D38,ProjAppSvc!$A$4:$G$1500,2,FALSE),"none")</f>
        <v>none</v>
      </c>
    </row>
    <row r="39" spans="1:29" x14ac:dyDescent="0.45">
      <c r="A39" s="14" t="s">
        <v>23</v>
      </c>
      <c r="B39" s="14"/>
      <c r="C39" s="14"/>
      <c r="D39" s="14"/>
      <c r="H39" s="8"/>
      <c r="I39" s="3"/>
      <c r="J39" s="3" t="str">
        <f t="shared" si="2"/>
        <v/>
      </c>
      <c r="K39" s="3" t="str">
        <f>IF(ISNUMBER(SEARCH("-",V39)),IFERROR(IF($H$2="Lower", LOWER(ComputeResourceName(Z39,#REF!,#REF!,G39,N39,O39,P39,Q39,S39,T39,V39,A39)), UPPER(ComputeResourceName(Z39,#REF!,#REF!,G39,N39,O39,P39,Q39,S39,T39,V39,A39))),""),SUBSTITUTE(IFERROR(IF($H$2="Lower", LOWER(ComputeResourceName(#REF!,#REF!,#REF!,G39,N39,O39,P39,Q39,S39,T39,V39,A39)), UPPER(ComputeResourceName(#REF!,#REF!,#REF!,G39,N39,O39,P39,Q39,S39,T39,V39,A39))),""), "-",""))</f>
        <v/>
      </c>
      <c r="L39" s="3" t="str">
        <f xml:space="preserve"> IF(K39="","",  IFERROR(VLOOKUP(I39,Resources!$B$1:$H$1503,5,FALSE)-LEN(K39),0))</f>
        <v/>
      </c>
      <c r="M39" s="3" t="str">
        <f>IF(K39="","",IFERROR(matches(K39,VLOOKUP(I39,Resources!$A$2:$AA$1503,16,FALSE)),FALSE))</f>
        <v/>
      </c>
      <c r="N39" s="3" t="e">
        <f>VLOOKUP(E39,Enviroments!$A$3:$D$59,1,FALSE)</f>
        <v>#N/A</v>
      </c>
      <c r="O39" s="3" t="e">
        <f>VLOOKUP(E39,Enviroments!$A$3:$D$59,2,FALSE)</f>
        <v>#N/A</v>
      </c>
      <c r="P39" s="3" t="e">
        <f>VLOOKUP(E39,Enviroments!$A$3:$D$59,3,FALSE)</f>
        <v>#N/A</v>
      </c>
      <c r="Q39" s="3" t="e">
        <f>VLOOKUP(E39,Enviroments!$A$3:$D$59,4,FALSE)</f>
        <v>#N/A</v>
      </c>
      <c r="R39" s="3" t="e">
        <f>VLOOKUP(H39,AzureRegions!$A$4:$B$1493,1,FALSE)</f>
        <v>#N/A</v>
      </c>
      <c r="S39" s="3" t="e">
        <f>VLOOKUP(H39,AzureRegions!$A$4:$B$1493,2,FALSE)</f>
        <v>#N/A</v>
      </c>
      <c r="T39" s="3" t="e">
        <f>VLOOKUP(H39,AzureRegions!$A$4:$C$1493,3,FALSE)</f>
        <v>#N/A</v>
      </c>
      <c r="U39" s="3" t="e">
        <f>VLOOKUP(I39,Resources!$A$2:$AA$1503,2,FALSE)</f>
        <v>#N/A</v>
      </c>
      <c r="V39" s="3" t="e">
        <f>VLOOKUP(I39,Resources!$A$2:$H$1503,6,FALSE)</f>
        <v>#N/A</v>
      </c>
      <c r="W39" s="3" t="str">
        <f>VLOOKUP($H$2,Casing!$A$4:$A$60,1,FALSE)</f>
        <v>Lower</v>
      </c>
      <c r="X39" s="14" t="str">
        <f t="shared" si="1"/>
        <v>001</v>
      </c>
      <c r="Y39" s="3" t="str">
        <f>IFERROR(VLOOKUP(F39,Func!$A$4:$G$1500,2,FALSE),"none")</f>
        <v>none</v>
      </c>
      <c r="Z39" s="3" t="e">
        <f>VLOOKUP(I39,Resources!$A$2:$AA$1503,18,FALSE)</f>
        <v>#N/A</v>
      </c>
      <c r="AA39" s="3" t="str">
        <f>IFERROR(VLOOKUP(B39,Orgs!$A$4:$G$1500,2,FALSE),"none")</f>
        <v>none</v>
      </c>
      <c r="AB39" s="3" t="str">
        <f>IFERROR(VLOOKUP(C39,UnitsDepts!$A$4:$G$1500,2,FALSE),"none")</f>
        <v>none</v>
      </c>
      <c r="AC39" s="3" t="str">
        <f>IFERROR(VLOOKUP(D39,ProjAppSvc!$A$4:$G$1500,2,FALSE),"none")</f>
        <v>none</v>
      </c>
    </row>
    <row r="40" spans="1:29" x14ac:dyDescent="0.45">
      <c r="A40" s="14" t="s">
        <v>23</v>
      </c>
      <c r="B40" s="14"/>
      <c r="C40" s="14"/>
      <c r="D40" s="14"/>
      <c r="H40" s="8"/>
      <c r="I40" s="3"/>
      <c r="J40" s="3" t="str">
        <f t="shared" si="2"/>
        <v/>
      </c>
      <c r="K40" s="3" t="str">
        <f>IF(ISNUMBER(SEARCH("-",V40)),IFERROR(IF($H$2="Lower", LOWER(ComputeResourceName(Z40,#REF!,#REF!,G40,N40,O40,P40,Q40,S40,T40,V40,A40)), UPPER(ComputeResourceName(Z40,#REF!,#REF!,G40,N40,O40,P40,Q40,S40,T40,V40,A40))),""),SUBSTITUTE(IFERROR(IF($H$2="Lower", LOWER(ComputeResourceName(#REF!,#REF!,#REF!,G40,N40,O40,P40,Q40,S40,T40,V40,A40)), UPPER(ComputeResourceName(#REF!,#REF!,#REF!,G40,N40,O40,P40,Q40,S40,T40,V40,A40))),""), "-",""))</f>
        <v/>
      </c>
      <c r="L40" s="3" t="str">
        <f xml:space="preserve"> IF(K40="","",  IFERROR(VLOOKUP(I40,Resources!$B$1:$H$1503,5,FALSE)-LEN(K40),0))</f>
        <v/>
      </c>
      <c r="M40" s="3" t="str">
        <f>IF(K40="","",IFERROR(matches(K40,VLOOKUP(I40,Resources!$A$2:$AA$1503,16,FALSE)),FALSE))</f>
        <v/>
      </c>
      <c r="N40" s="3" t="e">
        <f>VLOOKUP(E40,Enviroments!$A$3:$D$59,1,FALSE)</f>
        <v>#N/A</v>
      </c>
      <c r="O40" s="3" t="e">
        <f>VLOOKUP(E40,Enviroments!$A$3:$D$59,2,FALSE)</f>
        <v>#N/A</v>
      </c>
      <c r="P40" s="3" t="e">
        <f>VLOOKUP(E40,Enviroments!$A$3:$D$59,3,FALSE)</f>
        <v>#N/A</v>
      </c>
      <c r="Q40" s="3" t="e">
        <f>VLOOKUP(E40,Enviroments!$A$3:$D$59,4,FALSE)</f>
        <v>#N/A</v>
      </c>
      <c r="R40" s="3" t="e">
        <f>VLOOKUP(H40,AzureRegions!$A$4:$B$1493,1,FALSE)</f>
        <v>#N/A</v>
      </c>
      <c r="S40" s="3" t="e">
        <f>VLOOKUP(H40,AzureRegions!$A$4:$B$1493,2,FALSE)</f>
        <v>#N/A</v>
      </c>
      <c r="T40" s="3" t="e">
        <f>VLOOKUP(H40,AzureRegions!$A$4:$C$1493,3,FALSE)</f>
        <v>#N/A</v>
      </c>
      <c r="U40" s="3" t="e">
        <f>VLOOKUP(I40,Resources!$A$2:$AA$1503,2,FALSE)</f>
        <v>#N/A</v>
      </c>
      <c r="V40" s="3" t="e">
        <f>VLOOKUP(I40,Resources!$A$2:$H$1503,6,FALSE)</f>
        <v>#N/A</v>
      </c>
      <c r="W40" s="3" t="str">
        <f>VLOOKUP($H$2,Casing!$A$4:$A$60,1,FALSE)</f>
        <v>Lower</v>
      </c>
      <c r="X40" s="14" t="str">
        <f t="shared" si="1"/>
        <v>001</v>
      </c>
      <c r="Y40" s="3" t="str">
        <f>IFERROR(VLOOKUP(F40,Func!$A$4:$G$1500,2,FALSE),"none")</f>
        <v>none</v>
      </c>
      <c r="Z40" s="3" t="e">
        <f>VLOOKUP(I40,Resources!$A$2:$AA$1503,18,FALSE)</f>
        <v>#N/A</v>
      </c>
      <c r="AA40" s="3" t="str">
        <f>IFERROR(VLOOKUP(B40,Orgs!$A$4:$G$1500,2,FALSE),"none")</f>
        <v>none</v>
      </c>
      <c r="AB40" s="3" t="str">
        <f>IFERROR(VLOOKUP(C40,UnitsDepts!$A$4:$G$1500,2,FALSE),"none")</f>
        <v>none</v>
      </c>
      <c r="AC40" s="3" t="str">
        <f>IFERROR(VLOOKUP(D40,ProjAppSvc!$A$4:$G$1500,2,FALSE),"none")</f>
        <v>none</v>
      </c>
    </row>
    <row r="41" spans="1:29" x14ac:dyDescent="0.45">
      <c r="A41" s="14" t="s">
        <v>23</v>
      </c>
      <c r="B41" s="14"/>
      <c r="C41" s="14"/>
      <c r="D41" s="14"/>
      <c r="H41" s="8"/>
      <c r="I41" s="3"/>
      <c r="J41" s="3" t="str">
        <f t="shared" si="2"/>
        <v/>
      </c>
      <c r="K41" s="3" t="str">
        <f>IF(ISNUMBER(SEARCH("-",V41)),IFERROR(IF($H$2="Lower", LOWER(ComputeResourceName(Z41,#REF!,#REF!,G41,N41,O41,P41,Q41,S41,T41,V41,A41)), UPPER(ComputeResourceName(Z41,#REF!,#REF!,G41,N41,O41,P41,Q41,S41,T41,V41,A41))),""),SUBSTITUTE(IFERROR(IF($H$2="Lower", LOWER(ComputeResourceName(#REF!,#REF!,#REF!,G41,N41,O41,P41,Q41,S41,T41,V41,A41)), UPPER(ComputeResourceName(#REF!,#REF!,#REF!,G41,N41,O41,P41,Q41,S41,T41,V41,A41))),""), "-",""))</f>
        <v/>
      </c>
      <c r="L41" s="3" t="str">
        <f xml:space="preserve"> IF(K41="","",  IFERROR(VLOOKUP(I41,Resources!$B$1:$H$1503,5,FALSE)-LEN(K41),0))</f>
        <v/>
      </c>
      <c r="M41" s="3" t="str">
        <f>IF(K41="","",IFERROR(matches(K41,VLOOKUP(I41,Resources!$A$2:$AA$1503,16,FALSE)),FALSE))</f>
        <v/>
      </c>
      <c r="N41" s="3" t="e">
        <f>VLOOKUP(E41,Enviroments!$A$3:$D$59,1,FALSE)</f>
        <v>#N/A</v>
      </c>
      <c r="O41" s="3" t="e">
        <f>VLOOKUP(E41,Enviroments!$A$3:$D$59,2,FALSE)</f>
        <v>#N/A</v>
      </c>
      <c r="P41" s="3" t="e">
        <f>VLOOKUP(E41,Enviroments!$A$3:$D$59,3,FALSE)</f>
        <v>#N/A</v>
      </c>
      <c r="Q41" s="3" t="e">
        <f>VLOOKUP(E41,Enviroments!$A$3:$D$59,4,FALSE)</f>
        <v>#N/A</v>
      </c>
      <c r="R41" s="3" t="e">
        <f>VLOOKUP(H41,AzureRegions!$A$4:$B$1493,1,FALSE)</f>
        <v>#N/A</v>
      </c>
      <c r="S41" s="3" t="e">
        <f>VLOOKUP(H41,AzureRegions!$A$4:$B$1493,2,FALSE)</f>
        <v>#N/A</v>
      </c>
      <c r="T41" s="3" t="e">
        <f>VLOOKUP(H41,AzureRegions!$A$4:$C$1493,3,FALSE)</f>
        <v>#N/A</v>
      </c>
      <c r="U41" s="3" t="e">
        <f>VLOOKUP(I41,Resources!$A$2:$AA$1503,2,FALSE)</f>
        <v>#N/A</v>
      </c>
      <c r="V41" s="3" t="e">
        <f>VLOOKUP(I41,Resources!$A$2:$H$1503,6,FALSE)</f>
        <v>#N/A</v>
      </c>
      <c r="W41" s="3" t="str">
        <f>VLOOKUP($H$2,Casing!$A$4:$A$60,1,FALSE)</f>
        <v>Lower</v>
      </c>
      <c r="X41" s="14" t="str">
        <f t="shared" si="1"/>
        <v>001</v>
      </c>
      <c r="Y41" s="3" t="str">
        <f>IFERROR(VLOOKUP(F41,Func!$A$4:$G$1500,2,FALSE),"none")</f>
        <v>none</v>
      </c>
      <c r="Z41" s="3" t="e">
        <f>VLOOKUP(I41,Resources!$A$2:$AA$1503,18,FALSE)</f>
        <v>#N/A</v>
      </c>
      <c r="AA41" s="3" t="str">
        <f>IFERROR(VLOOKUP(B41,Orgs!$A$4:$G$1500,2,FALSE),"none")</f>
        <v>none</v>
      </c>
      <c r="AB41" s="3" t="str">
        <f>IFERROR(VLOOKUP(C41,UnitsDepts!$A$4:$G$1500,2,FALSE),"none")</f>
        <v>none</v>
      </c>
      <c r="AC41" s="3" t="str">
        <f>IFERROR(VLOOKUP(D41,ProjAppSvc!$A$4:$G$1500,2,FALSE),"none")</f>
        <v>none</v>
      </c>
    </row>
    <row r="42" spans="1:29" x14ac:dyDescent="0.45">
      <c r="A42" s="14" t="s">
        <v>23</v>
      </c>
      <c r="B42" s="14"/>
      <c r="C42" s="14"/>
      <c r="D42" s="14"/>
      <c r="H42" s="8"/>
      <c r="I42" s="3"/>
      <c r="J42" s="3" t="str">
        <f t="shared" si="2"/>
        <v/>
      </c>
      <c r="K42" s="3" t="str">
        <f>IF(ISNUMBER(SEARCH("-",V42)),IFERROR(IF($H$2="Lower", LOWER(ComputeResourceName(Z42,#REF!,#REF!,G42,N42,O42,P42,Q42,S42,T42,V42,A42)), UPPER(ComputeResourceName(Z42,#REF!,#REF!,G42,N42,O42,P42,Q42,S42,T42,V42,A42))),""),SUBSTITUTE(IFERROR(IF($H$2="Lower", LOWER(ComputeResourceName(#REF!,#REF!,#REF!,G42,N42,O42,P42,Q42,S42,T42,V42,A42)), UPPER(ComputeResourceName(#REF!,#REF!,#REF!,G42,N42,O42,P42,Q42,S42,T42,V42,A42))),""), "-",""))</f>
        <v/>
      </c>
      <c r="L42" s="3" t="str">
        <f xml:space="preserve"> IF(K42="","",  IFERROR(VLOOKUP(I42,Resources!$B$1:$H$1503,5,FALSE)-LEN(K42),0))</f>
        <v/>
      </c>
      <c r="M42" s="3" t="str">
        <f>IF(K42="","",IFERROR(matches(K42,VLOOKUP(I42,Resources!$A$2:$AA$1503,16,FALSE)),FALSE))</f>
        <v/>
      </c>
      <c r="N42" s="3" t="e">
        <f>VLOOKUP(E42,Enviroments!$A$3:$D$59,1,FALSE)</f>
        <v>#N/A</v>
      </c>
      <c r="O42" s="3" t="e">
        <f>VLOOKUP(E42,Enviroments!$A$3:$D$59,2,FALSE)</f>
        <v>#N/A</v>
      </c>
      <c r="P42" s="3" t="e">
        <f>VLOOKUP(E42,Enviroments!$A$3:$D$59,3,FALSE)</f>
        <v>#N/A</v>
      </c>
      <c r="Q42" s="3" t="e">
        <f>VLOOKUP(E42,Enviroments!$A$3:$D$59,4,FALSE)</f>
        <v>#N/A</v>
      </c>
      <c r="R42" s="3" t="e">
        <f>VLOOKUP(H42,AzureRegions!$A$4:$B$1493,1,FALSE)</f>
        <v>#N/A</v>
      </c>
      <c r="S42" s="3" t="e">
        <f>VLOOKUP(H42,AzureRegions!$A$4:$B$1493,2,FALSE)</f>
        <v>#N/A</v>
      </c>
      <c r="T42" s="3" t="e">
        <f>VLOOKUP(H42,AzureRegions!$A$4:$C$1493,3,FALSE)</f>
        <v>#N/A</v>
      </c>
      <c r="U42" s="3" t="e">
        <f>VLOOKUP(I42,Resources!$A$2:$AA$1503,2,FALSE)</f>
        <v>#N/A</v>
      </c>
      <c r="V42" s="3" t="e">
        <f>VLOOKUP(I42,Resources!$A$2:$H$1503,6,FALSE)</f>
        <v>#N/A</v>
      </c>
      <c r="W42" s="3" t="str">
        <f>VLOOKUP($H$2,Casing!$A$4:$A$60,1,FALSE)</f>
        <v>Lower</v>
      </c>
      <c r="X42" s="14" t="str">
        <f t="shared" si="1"/>
        <v>001</v>
      </c>
      <c r="Y42" s="3" t="str">
        <f>IFERROR(VLOOKUP(F42,Func!$A$4:$G$1500,2,FALSE),"none")</f>
        <v>none</v>
      </c>
      <c r="Z42" s="3" t="e">
        <f>VLOOKUP(I42,Resources!$A$2:$AA$1503,18,FALSE)</f>
        <v>#N/A</v>
      </c>
      <c r="AA42" s="3" t="str">
        <f>IFERROR(VLOOKUP(B42,Orgs!$A$4:$G$1500,2,FALSE),"none")</f>
        <v>none</v>
      </c>
      <c r="AB42" s="3" t="str">
        <f>IFERROR(VLOOKUP(C42,UnitsDepts!$A$4:$G$1500,2,FALSE),"none")</f>
        <v>none</v>
      </c>
      <c r="AC42" s="3" t="str">
        <f>IFERROR(VLOOKUP(D42,ProjAppSvc!$A$4:$G$1500,2,FALSE),"none")</f>
        <v>none</v>
      </c>
    </row>
    <row r="43" spans="1:29" x14ac:dyDescent="0.45">
      <c r="A43" s="14" t="s">
        <v>23</v>
      </c>
      <c r="B43" s="14"/>
      <c r="C43" s="14"/>
      <c r="D43" s="14"/>
      <c r="H43" s="8"/>
      <c r="I43" s="3"/>
      <c r="J43" s="3" t="str">
        <f t="shared" si="2"/>
        <v/>
      </c>
      <c r="K43" s="3" t="str">
        <f>IF(ISNUMBER(SEARCH("-",V43)),IFERROR(IF($H$2="Lower", LOWER(ComputeResourceName(Z43,#REF!,#REF!,G43,N43,O43,P43,Q43,S43,T43,V43,A43)), UPPER(ComputeResourceName(Z43,#REF!,#REF!,G43,N43,O43,P43,Q43,S43,T43,V43,A43))),""),SUBSTITUTE(IFERROR(IF($H$2="Lower", LOWER(ComputeResourceName(#REF!,#REF!,#REF!,G43,N43,O43,P43,Q43,S43,T43,V43,A43)), UPPER(ComputeResourceName(#REF!,#REF!,#REF!,G43,N43,O43,P43,Q43,S43,T43,V43,A43))),""), "-",""))</f>
        <v/>
      </c>
      <c r="L43" s="3" t="str">
        <f xml:space="preserve"> IF(K43="","",  IFERROR(VLOOKUP(I43,Resources!$B$1:$H$1503,5,FALSE)-LEN(K43),0))</f>
        <v/>
      </c>
      <c r="M43" s="3" t="str">
        <f>IF(K43="","",IFERROR(matches(K43,VLOOKUP(I43,Resources!$A$2:$AA$1503,16,FALSE)),FALSE))</f>
        <v/>
      </c>
      <c r="N43" s="3" t="e">
        <f>VLOOKUP(E43,Enviroments!$A$3:$D$59,1,FALSE)</f>
        <v>#N/A</v>
      </c>
      <c r="O43" s="3" t="e">
        <f>VLOOKUP(E43,Enviroments!$A$3:$D$59,2,FALSE)</f>
        <v>#N/A</v>
      </c>
      <c r="P43" s="3" t="e">
        <f>VLOOKUP(E43,Enviroments!$A$3:$D$59,3,FALSE)</f>
        <v>#N/A</v>
      </c>
      <c r="Q43" s="3" t="e">
        <f>VLOOKUP(E43,Enviroments!$A$3:$D$59,4,FALSE)</f>
        <v>#N/A</v>
      </c>
      <c r="R43" s="3" t="e">
        <f>VLOOKUP(H43,AzureRegions!$A$4:$B$1493,1,FALSE)</f>
        <v>#N/A</v>
      </c>
      <c r="S43" s="3" t="e">
        <f>VLOOKUP(H43,AzureRegions!$A$4:$B$1493,2,FALSE)</f>
        <v>#N/A</v>
      </c>
      <c r="T43" s="3" t="e">
        <f>VLOOKUP(H43,AzureRegions!$A$4:$C$1493,3,FALSE)</f>
        <v>#N/A</v>
      </c>
      <c r="U43" s="3" t="e">
        <f>VLOOKUP(I43,Resources!$A$2:$AA$1503,2,FALSE)</f>
        <v>#N/A</v>
      </c>
      <c r="V43" s="3" t="e">
        <f>VLOOKUP(I43,Resources!$A$2:$H$1503,6,FALSE)</f>
        <v>#N/A</v>
      </c>
      <c r="W43" s="3" t="str">
        <f>VLOOKUP($H$2,Casing!$A$4:$A$60,1,FALSE)</f>
        <v>Lower</v>
      </c>
      <c r="X43" s="14" t="str">
        <f t="shared" si="1"/>
        <v>001</v>
      </c>
      <c r="Y43" s="3" t="str">
        <f>IFERROR(VLOOKUP(F43,Func!$A$4:$G$1500,2,FALSE),"none")</f>
        <v>none</v>
      </c>
      <c r="Z43" s="3" t="e">
        <f>VLOOKUP(I43,Resources!$A$2:$AA$1503,18,FALSE)</f>
        <v>#N/A</v>
      </c>
      <c r="AA43" s="3" t="str">
        <f>IFERROR(VLOOKUP(B43,Orgs!$A$4:$G$1500,2,FALSE),"none")</f>
        <v>none</v>
      </c>
      <c r="AB43" s="3" t="str">
        <f>IFERROR(VLOOKUP(C43,UnitsDepts!$A$4:$G$1500,2,FALSE),"none")</f>
        <v>none</v>
      </c>
      <c r="AC43" s="3" t="str">
        <f>IFERROR(VLOOKUP(D43,ProjAppSvc!$A$4:$G$1500,2,FALSE),"none")</f>
        <v>none</v>
      </c>
    </row>
    <row r="44" spans="1:29" x14ac:dyDescent="0.45">
      <c r="A44" s="14" t="s">
        <v>23</v>
      </c>
      <c r="B44" s="14"/>
      <c r="C44" s="14"/>
      <c r="D44" s="14"/>
      <c r="H44" s="8"/>
      <c r="I44" s="3"/>
      <c r="J44" s="3" t="str">
        <f t="shared" si="2"/>
        <v/>
      </c>
      <c r="K44" s="3" t="str">
        <f>IF(ISNUMBER(SEARCH("-",V44)),IFERROR(IF($H$2="Lower", LOWER(ComputeResourceName(Z44,#REF!,#REF!,G44,N44,O44,P44,Q44,S44,T44,V44,A44)), UPPER(ComputeResourceName(Z44,#REF!,#REF!,G44,N44,O44,P44,Q44,S44,T44,V44,A44))),""),SUBSTITUTE(IFERROR(IF($H$2="Lower", LOWER(ComputeResourceName(#REF!,#REF!,#REF!,G44,N44,O44,P44,Q44,S44,T44,V44,A44)), UPPER(ComputeResourceName(#REF!,#REF!,#REF!,G44,N44,O44,P44,Q44,S44,T44,V44,A44))),""), "-",""))</f>
        <v/>
      </c>
      <c r="L44" s="3" t="str">
        <f xml:space="preserve"> IF(K44="","",  IFERROR(VLOOKUP(I44,Resources!$B$1:$H$1503,5,FALSE)-LEN(K44),0))</f>
        <v/>
      </c>
      <c r="M44" s="3" t="str">
        <f>IF(K44="","",IFERROR(matches(K44,VLOOKUP(I44,Resources!$A$2:$AA$1503,16,FALSE)),FALSE))</f>
        <v/>
      </c>
      <c r="N44" s="3" t="e">
        <f>VLOOKUP(E44,Enviroments!$A$3:$D$59,1,FALSE)</f>
        <v>#N/A</v>
      </c>
      <c r="O44" s="3" t="e">
        <f>VLOOKUP(E44,Enviroments!$A$3:$D$59,2,FALSE)</f>
        <v>#N/A</v>
      </c>
      <c r="P44" s="3" t="e">
        <f>VLOOKUP(E44,Enviroments!$A$3:$D$59,3,FALSE)</f>
        <v>#N/A</v>
      </c>
      <c r="Q44" s="3" t="e">
        <f>VLOOKUP(E44,Enviroments!$A$3:$D$59,4,FALSE)</f>
        <v>#N/A</v>
      </c>
      <c r="R44" s="3" t="e">
        <f>VLOOKUP(H44,AzureRegions!$A$4:$B$1493,1,FALSE)</f>
        <v>#N/A</v>
      </c>
      <c r="S44" s="3" t="e">
        <f>VLOOKUP(H44,AzureRegions!$A$4:$B$1493,2,FALSE)</f>
        <v>#N/A</v>
      </c>
      <c r="T44" s="3" t="e">
        <f>VLOOKUP(H44,AzureRegions!$A$4:$C$1493,3,FALSE)</f>
        <v>#N/A</v>
      </c>
      <c r="U44" s="3" t="e">
        <f>VLOOKUP(I44,Resources!$A$2:$AA$1503,2,FALSE)</f>
        <v>#N/A</v>
      </c>
      <c r="V44" s="3" t="e">
        <f>VLOOKUP(I44,Resources!$A$2:$H$1503,6,FALSE)</f>
        <v>#N/A</v>
      </c>
      <c r="W44" s="3" t="str">
        <f>VLOOKUP($H$2,Casing!$A$4:$A$60,1,FALSE)</f>
        <v>Lower</v>
      </c>
      <c r="X44" s="14" t="str">
        <f t="shared" si="1"/>
        <v>001</v>
      </c>
      <c r="Y44" s="3" t="str">
        <f>IFERROR(VLOOKUP(F44,Func!$A$4:$G$1500,2,FALSE),"none")</f>
        <v>none</v>
      </c>
      <c r="Z44" s="3" t="e">
        <f>VLOOKUP(I44,Resources!$A$2:$AA$1503,18,FALSE)</f>
        <v>#N/A</v>
      </c>
      <c r="AA44" s="3" t="str">
        <f>IFERROR(VLOOKUP(B44,Orgs!$A$4:$G$1500,2,FALSE),"none")</f>
        <v>none</v>
      </c>
      <c r="AB44" s="3" t="str">
        <f>IFERROR(VLOOKUP(C44,UnitsDepts!$A$4:$G$1500,2,FALSE),"none")</f>
        <v>none</v>
      </c>
      <c r="AC44" s="3" t="str">
        <f>IFERROR(VLOOKUP(D44,ProjAppSvc!$A$4:$G$1500,2,FALSE),"none")</f>
        <v>none</v>
      </c>
    </row>
    <row r="45" spans="1:29" x14ac:dyDescent="0.45">
      <c r="A45" s="14" t="s">
        <v>23</v>
      </c>
      <c r="B45" s="14"/>
      <c r="C45" s="14"/>
      <c r="D45" s="14"/>
      <c r="H45" s="8"/>
      <c r="I45" s="3"/>
      <c r="J45" s="3" t="str">
        <f t="shared" si="2"/>
        <v/>
      </c>
      <c r="K45" s="3" t="str">
        <f>IF(ISNUMBER(SEARCH("-",V45)),IFERROR(IF($H$2="Lower", LOWER(ComputeResourceName(Z45,#REF!,#REF!,G45,N45,O45,P45,Q45,S45,T45,V45,A45)), UPPER(ComputeResourceName(Z45,#REF!,#REF!,G45,N45,O45,P45,Q45,S45,T45,V45,A45))),""),SUBSTITUTE(IFERROR(IF($H$2="Lower", LOWER(ComputeResourceName(#REF!,#REF!,#REF!,G45,N45,O45,P45,Q45,S45,T45,V45,A45)), UPPER(ComputeResourceName(#REF!,#REF!,#REF!,G45,N45,O45,P45,Q45,S45,T45,V45,A45))),""), "-",""))</f>
        <v/>
      </c>
      <c r="L45" s="3" t="str">
        <f xml:space="preserve"> IF(K45="","",  IFERROR(VLOOKUP(I45,Resources!$B$1:$H$1503,5,FALSE)-LEN(K45),0))</f>
        <v/>
      </c>
      <c r="M45" s="3" t="str">
        <f>IF(K45="","",IFERROR(matches(K45,VLOOKUP(I45,Resources!$A$2:$AA$1503,16,FALSE)),FALSE))</f>
        <v/>
      </c>
      <c r="N45" s="3" t="e">
        <f>VLOOKUP(E45,Enviroments!$A$3:$D$59,1,FALSE)</f>
        <v>#N/A</v>
      </c>
      <c r="O45" s="3" t="e">
        <f>VLOOKUP(E45,Enviroments!$A$3:$D$59,2,FALSE)</f>
        <v>#N/A</v>
      </c>
      <c r="P45" s="3" t="e">
        <f>VLOOKUP(E45,Enviroments!$A$3:$D$59,3,FALSE)</f>
        <v>#N/A</v>
      </c>
      <c r="Q45" s="3" t="e">
        <f>VLOOKUP(E45,Enviroments!$A$3:$D$59,4,FALSE)</f>
        <v>#N/A</v>
      </c>
      <c r="R45" s="3" t="e">
        <f>VLOOKUP(H45,AzureRegions!$A$4:$B$1493,1,FALSE)</f>
        <v>#N/A</v>
      </c>
      <c r="S45" s="3" t="e">
        <f>VLOOKUP(H45,AzureRegions!$A$4:$B$1493,2,FALSE)</f>
        <v>#N/A</v>
      </c>
      <c r="T45" s="3" t="e">
        <f>VLOOKUP(H45,AzureRegions!$A$4:$C$1493,3,FALSE)</f>
        <v>#N/A</v>
      </c>
      <c r="U45" s="3" t="e">
        <f>VLOOKUP(I45,Resources!$A$2:$AA$1503,2,FALSE)</f>
        <v>#N/A</v>
      </c>
      <c r="V45" s="3" t="e">
        <f>VLOOKUP(I45,Resources!$A$2:$H$1503,6,FALSE)</f>
        <v>#N/A</v>
      </c>
      <c r="W45" s="3" t="str">
        <f>VLOOKUP($H$2,Casing!$A$4:$A$60,1,FALSE)</f>
        <v>Lower</v>
      </c>
      <c r="X45" s="14" t="s">
        <v>1262</v>
      </c>
      <c r="Y45" s="3" t="str">
        <f>IFERROR(VLOOKUP(F45,Func!$A$4:$G$1500,2,FALSE),"none")</f>
        <v>none</v>
      </c>
      <c r="Z45" s="3" t="e">
        <f>VLOOKUP(I45,Resources!$A$2:$AA$1503,18,FALSE)</f>
        <v>#N/A</v>
      </c>
      <c r="AA45" s="3" t="str">
        <f>IFERROR(VLOOKUP(B45,Orgs!$A$4:$G$1500,2,FALSE),"none")</f>
        <v>none</v>
      </c>
      <c r="AB45" s="3" t="str">
        <f>IFERROR(VLOOKUP(C45,UnitsDepts!$A$4:$G$1500,2,FALSE),"none")</f>
        <v>none</v>
      </c>
      <c r="AC45" s="3" t="str">
        <f>IFERROR(VLOOKUP(D45,ProjAppSvc!$A$4:$G$1500,2,FALSE),"none")</f>
        <v>none</v>
      </c>
    </row>
    <row r="46" spans="1:29" x14ac:dyDescent="0.45">
      <c r="A46" s="14" t="s">
        <v>23</v>
      </c>
      <c r="B46" s="14"/>
      <c r="C46" s="14"/>
      <c r="D46" s="14"/>
      <c r="H46" s="8"/>
      <c r="I46" s="3"/>
      <c r="J46" s="3" t="str">
        <f t="shared" si="2"/>
        <v/>
      </c>
      <c r="K46" s="3" t="str">
        <f>IF(ISNUMBER(SEARCH("-",V46)),IFERROR(IF($H$2="Lower", LOWER(ComputeResourceName(Z46,#REF!,#REF!,G46,N46,O46,P46,Q46,S46,T46,V46,A46)), UPPER(ComputeResourceName(Z46,#REF!,#REF!,G46,N46,O46,P46,Q46,S46,T46,V46,A46))),""),SUBSTITUTE(IFERROR(IF($H$2="Lower", LOWER(ComputeResourceName(#REF!,#REF!,#REF!,G46,N46,O46,P46,Q46,S46,T46,V46,A46)), UPPER(ComputeResourceName(#REF!,#REF!,#REF!,G46,N46,O46,P46,Q46,S46,T46,V46,A46))),""), "-",""))</f>
        <v/>
      </c>
      <c r="L46" s="3" t="str">
        <f xml:space="preserve"> IF(K46="","",  IFERROR(VLOOKUP(I46,Resources!$B$1:$H$1503,5,FALSE)-LEN(K46),0))</f>
        <v/>
      </c>
      <c r="M46" s="3" t="str">
        <f>IF(K46="","",IFERROR(matches(K46,VLOOKUP(I46,Resources!$A$2:$AA$1503,16,FALSE)),FALSE))</f>
        <v/>
      </c>
      <c r="N46" s="3" t="e">
        <f>VLOOKUP(E46,Enviroments!$A$3:$D$59,1,FALSE)</f>
        <v>#N/A</v>
      </c>
      <c r="O46" s="3" t="e">
        <f>VLOOKUP(E46,Enviroments!$A$3:$D$59,2,FALSE)</f>
        <v>#N/A</v>
      </c>
      <c r="P46" s="3" t="e">
        <f>VLOOKUP(E46,Enviroments!$A$3:$D$59,3,FALSE)</f>
        <v>#N/A</v>
      </c>
      <c r="Q46" s="3" t="e">
        <f>VLOOKUP(E46,Enviroments!$A$3:$D$59,4,FALSE)</f>
        <v>#N/A</v>
      </c>
      <c r="R46" s="3" t="e">
        <f>VLOOKUP(H46,AzureRegions!$A$4:$B$1493,1,FALSE)</f>
        <v>#N/A</v>
      </c>
      <c r="S46" s="3" t="e">
        <f>VLOOKUP(H46,AzureRegions!$A$4:$B$1493,2,FALSE)</f>
        <v>#N/A</v>
      </c>
      <c r="T46" s="3" t="e">
        <f>VLOOKUP(H46,AzureRegions!$A$4:$C$1493,3,FALSE)</f>
        <v>#N/A</v>
      </c>
      <c r="U46" s="3" t="e">
        <f>VLOOKUP(I46,Resources!$A$2:$AA$1503,2,FALSE)</f>
        <v>#N/A</v>
      </c>
      <c r="V46" s="3" t="e">
        <f>VLOOKUP(I46,Resources!$A$2:$H$1503,6,FALSE)</f>
        <v>#N/A</v>
      </c>
      <c r="W46" s="3" t="str">
        <f>VLOOKUP($H$2,Casing!$A$4:$A$60,1,FALSE)</f>
        <v>Lower</v>
      </c>
      <c r="X46" s="14" t="str">
        <f t="shared" si="1"/>
        <v>001</v>
      </c>
      <c r="Y46" s="3" t="str">
        <f>IFERROR(VLOOKUP(F46,Func!$A$4:$G$1500,2,FALSE),"none")</f>
        <v>none</v>
      </c>
      <c r="Z46" s="3" t="e">
        <f>VLOOKUP(I46,Resources!$A$2:$AA$1503,18,FALSE)</f>
        <v>#N/A</v>
      </c>
      <c r="AA46" s="3" t="str">
        <f>IFERROR(VLOOKUP(B46,Orgs!$A$4:$G$1500,2,FALSE),"none")</f>
        <v>none</v>
      </c>
      <c r="AB46" s="3" t="str">
        <f>IFERROR(VLOOKUP(C46,UnitsDepts!$A$4:$G$1500,2,FALSE),"none")</f>
        <v>none</v>
      </c>
      <c r="AC46" s="3" t="str">
        <f>IFERROR(VLOOKUP(D46,ProjAppSvc!$A$4:$G$1500,2,FALSE),"none")</f>
        <v>none</v>
      </c>
    </row>
    <row r="47" spans="1:29" x14ac:dyDescent="0.45">
      <c r="A47" s="14" t="s">
        <v>23</v>
      </c>
      <c r="B47" s="14"/>
      <c r="C47" s="14"/>
      <c r="D47" s="14"/>
      <c r="H47" s="8"/>
      <c r="I47" s="3"/>
      <c r="J47" s="3" t="str">
        <f t="shared" si="2"/>
        <v/>
      </c>
      <c r="K47" s="3" t="str">
        <f>IF(ISNUMBER(SEARCH("-",V47)),IFERROR(IF($H$2="Lower", LOWER(ComputeResourceName(Z47,#REF!,#REF!,G47,N47,O47,P47,Q47,S47,T47,V47,A47)), UPPER(ComputeResourceName(Z47,#REF!,#REF!,G47,N47,O47,P47,Q47,S47,T47,V47,A47))),""),SUBSTITUTE(IFERROR(IF($H$2="Lower", LOWER(ComputeResourceName(#REF!,#REF!,#REF!,G47,N47,O47,P47,Q47,S47,T47,V47,A47)), UPPER(ComputeResourceName(#REF!,#REF!,#REF!,G47,N47,O47,P47,Q47,S47,T47,V47,A47))),""), "-",""))</f>
        <v/>
      </c>
      <c r="L47" s="3" t="str">
        <f xml:space="preserve"> IF(K47="","",  IFERROR(VLOOKUP(I47,Resources!$B$1:$H$1503,5,FALSE)-LEN(K47),0))</f>
        <v/>
      </c>
      <c r="M47" s="3" t="str">
        <f>IF(K47="","",IFERROR(matches(K47,VLOOKUP(I47,Resources!$A$2:$AA$1503,16,FALSE)),FALSE))</f>
        <v/>
      </c>
      <c r="N47" s="3" t="e">
        <f>VLOOKUP(E47,Enviroments!$A$3:$D$59,1,FALSE)</f>
        <v>#N/A</v>
      </c>
      <c r="O47" s="3" t="e">
        <f>VLOOKUP(E47,Enviroments!$A$3:$D$59,2,FALSE)</f>
        <v>#N/A</v>
      </c>
      <c r="P47" s="3" t="e">
        <f>VLOOKUP(E47,Enviroments!$A$3:$D$59,3,FALSE)</f>
        <v>#N/A</v>
      </c>
      <c r="Q47" s="3" t="e">
        <f>VLOOKUP(E47,Enviroments!$A$3:$D$59,4,FALSE)</f>
        <v>#N/A</v>
      </c>
      <c r="R47" s="3" t="e">
        <f>VLOOKUP(H47,AzureRegions!$A$4:$B$1493,1,FALSE)</f>
        <v>#N/A</v>
      </c>
      <c r="S47" s="3" t="e">
        <f>VLOOKUP(H47,AzureRegions!$A$4:$B$1493,2,FALSE)</f>
        <v>#N/A</v>
      </c>
      <c r="T47" s="3" t="e">
        <f>VLOOKUP(H47,AzureRegions!$A$4:$C$1493,3,FALSE)</f>
        <v>#N/A</v>
      </c>
      <c r="U47" s="3" t="e">
        <f>VLOOKUP(I47,Resources!$A$2:$AA$1503,2,FALSE)</f>
        <v>#N/A</v>
      </c>
      <c r="V47" s="3" t="e">
        <f>VLOOKUP(I47,Resources!$A$2:$H$1503,6,FALSE)</f>
        <v>#N/A</v>
      </c>
      <c r="W47" s="3" t="str">
        <f>VLOOKUP($H$2,Casing!$A$4:$A$60,1,FALSE)</f>
        <v>Lower</v>
      </c>
      <c r="X47" s="14" t="str">
        <f t="shared" si="1"/>
        <v>001</v>
      </c>
      <c r="Y47" s="3" t="str">
        <f>IFERROR(VLOOKUP(F47,Func!$A$4:$G$1500,2,FALSE),"none")</f>
        <v>none</v>
      </c>
      <c r="Z47" s="3" t="e">
        <f>VLOOKUP(I47,Resources!$A$2:$AA$1503,18,FALSE)</f>
        <v>#N/A</v>
      </c>
      <c r="AA47" s="3" t="str">
        <f>IFERROR(VLOOKUP(B47,Orgs!$A$4:$G$1500,2,FALSE),"none")</f>
        <v>none</v>
      </c>
      <c r="AB47" s="3" t="str">
        <f>IFERROR(VLOOKUP(C47,UnitsDepts!$A$4:$G$1500,2,FALSE),"none")</f>
        <v>none</v>
      </c>
      <c r="AC47" s="3" t="str">
        <f>IFERROR(VLOOKUP(D47,ProjAppSvc!$A$4:$G$1500,2,FALSE),"none")</f>
        <v>none</v>
      </c>
    </row>
    <row r="48" spans="1:29" x14ac:dyDescent="0.45">
      <c r="A48" s="14" t="s">
        <v>23</v>
      </c>
      <c r="B48" s="14"/>
      <c r="C48" s="14"/>
      <c r="D48" s="14"/>
      <c r="H48" s="8"/>
      <c r="I48" s="3"/>
      <c r="J48" s="3" t="str">
        <f t="shared" si="2"/>
        <v/>
      </c>
      <c r="K48" s="3" t="str">
        <f>IF(ISNUMBER(SEARCH("-",V48)),IFERROR(IF($H$2="Lower", LOWER(ComputeResourceName(Z48,#REF!,#REF!,G48,N48,O48,P48,Q48,S48,T48,V48,A48)), UPPER(ComputeResourceName(Z48,#REF!,#REF!,G48,N48,O48,P48,Q48,S48,T48,V48,A48))),""),SUBSTITUTE(IFERROR(IF($H$2="Lower", LOWER(ComputeResourceName(#REF!,#REF!,#REF!,G48,N48,O48,P48,Q48,S48,T48,V48,A48)), UPPER(ComputeResourceName(#REF!,#REF!,#REF!,G48,N48,O48,P48,Q48,S48,T48,V48,A48))),""), "-",""))</f>
        <v/>
      </c>
      <c r="L48" s="3" t="str">
        <f xml:space="preserve"> IF(K48="","",  IFERROR(VLOOKUP(I48,Resources!$B$1:$H$1503,5,FALSE)-LEN(K48),0))</f>
        <v/>
      </c>
      <c r="M48" s="3" t="str">
        <f>IF(K48="","",IFERROR(matches(K48,VLOOKUP(I48,Resources!$A$2:$AA$1503,16,FALSE)),FALSE))</f>
        <v/>
      </c>
      <c r="N48" s="3" t="e">
        <f>VLOOKUP(E48,Enviroments!$A$3:$D$59,1,FALSE)</f>
        <v>#N/A</v>
      </c>
      <c r="O48" s="3" t="e">
        <f>VLOOKUP(E48,Enviroments!$A$3:$D$59,2,FALSE)</f>
        <v>#N/A</v>
      </c>
      <c r="P48" s="3" t="e">
        <f>VLOOKUP(E48,Enviroments!$A$3:$D$59,3,FALSE)</f>
        <v>#N/A</v>
      </c>
      <c r="Q48" s="3" t="e">
        <f>VLOOKUP(E48,Enviroments!$A$3:$D$59,4,FALSE)</f>
        <v>#N/A</v>
      </c>
      <c r="R48" s="3" t="e">
        <f>VLOOKUP(H48,AzureRegions!$A$4:$B$1493,1,FALSE)</f>
        <v>#N/A</v>
      </c>
      <c r="S48" s="3" t="e">
        <f>VLOOKUP(H48,AzureRegions!$A$4:$B$1493,2,FALSE)</f>
        <v>#N/A</v>
      </c>
      <c r="T48" s="3" t="e">
        <f>VLOOKUP(H48,AzureRegions!$A$4:$C$1493,3,FALSE)</f>
        <v>#N/A</v>
      </c>
      <c r="U48" s="3" t="e">
        <f>VLOOKUP(I48,Resources!$A$2:$AA$1503,2,FALSE)</f>
        <v>#N/A</v>
      </c>
      <c r="V48" s="3" t="e">
        <f>VLOOKUP(I48,Resources!$A$2:$H$1503,6,FALSE)</f>
        <v>#N/A</v>
      </c>
      <c r="W48" s="3" t="str">
        <f>VLOOKUP($H$2,Casing!$A$4:$A$60,1,FALSE)</f>
        <v>Lower</v>
      </c>
      <c r="X48" s="14" t="str">
        <f t="shared" si="1"/>
        <v>001</v>
      </c>
      <c r="Y48" s="3" t="str">
        <f>IFERROR(VLOOKUP(F48,Func!$A$4:$G$1500,2,FALSE),"none")</f>
        <v>none</v>
      </c>
      <c r="Z48" s="3" t="e">
        <f>VLOOKUP(I48,Resources!$A$2:$AA$1503,18,FALSE)</f>
        <v>#N/A</v>
      </c>
      <c r="AA48" s="3" t="str">
        <f>IFERROR(VLOOKUP(B48,Orgs!$A$4:$G$1500,2,FALSE),"none")</f>
        <v>none</v>
      </c>
      <c r="AB48" s="3" t="str">
        <f>IFERROR(VLOOKUP(C48,UnitsDepts!$A$4:$G$1500,2,FALSE),"none")</f>
        <v>none</v>
      </c>
      <c r="AC48" s="3" t="str">
        <f>IFERROR(VLOOKUP(D48,ProjAppSvc!$A$4:$G$1500,2,FALSE),"none")</f>
        <v>none</v>
      </c>
    </row>
    <row r="49" spans="1:29" x14ac:dyDescent="0.45">
      <c r="A49" s="14" t="s">
        <v>23</v>
      </c>
      <c r="B49" s="14"/>
      <c r="C49" s="14"/>
      <c r="D49" s="14"/>
      <c r="H49" s="8"/>
      <c r="I49" s="3"/>
      <c r="J49" s="3" t="str">
        <f t="shared" si="2"/>
        <v/>
      </c>
      <c r="K49" s="3" t="str">
        <f>IF(ISNUMBER(SEARCH("-",V49)),IFERROR(IF($H$2="Lower", LOWER(ComputeResourceName(Z49,#REF!,#REF!,G49,N49,O49,P49,Q49,S49,T49,V49,A49)), UPPER(ComputeResourceName(Z49,#REF!,#REF!,G49,N49,O49,P49,Q49,S49,T49,V49,A49))),""),SUBSTITUTE(IFERROR(IF($H$2="Lower", LOWER(ComputeResourceName(#REF!,#REF!,#REF!,G49,N49,O49,P49,Q49,S49,T49,V49,A49)), UPPER(ComputeResourceName(#REF!,#REF!,#REF!,G49,N49,O49,P49,Q49,S49,T49,V49,A49))),""), "-",""))</f>
        <v/>
      </c>
      <c r="L49" s="3" t="str">
        <f xml:space="preserve"> IF(K49="","",  IFERROR(VLOOKUP(I49,Resources!$B$1:$H$1503,5,FALSE)-LEN(K49),0))</f>
        <v/>
      </c>
      <c r="M49" s="3" t="str">
        <f>IF(K49="","",IFERROR(matches(K49,VLOOKUP(I49,Resources!$A$2:$AA$1503,16,FALSE)),FALSE))</f>
        <v/>
      </c>
      <c r="N49" s="3" t="e">
        <f>VLOOKUP(E49,Enviroments!$A$3:$D$59,1,FALSE)</f>
        <v>#N/A</v>
      </c>
      <c r="O49" s="3" t="e">
        <f>VLOOKUP(E49,Enviroments!$A$3:$D$59,2,FALSE)</f>
        <v>#N/A</v>
      </c>
      <c r="P49" s="3" t="e">
        <f>VLOOKUP(E49,Enviroments!$A$3:$D$59,3,FALSE)</f>
        <v>#N/A</v>
      </c>
      <c r="Q49" s="3" t="e">
        <f>VLOOKUP(E49,Enviroments!$A$3:$D$59,4,FALSE)</f>
        <v>#N/A</v>
      </c>
      <c r="R49" s="3" t="e">
        <f>VLOOKUP(H49,AzureRegions!$A$4:$B$1493,1,FALSE)</f>
        <v>#N/A</v>
      </c>
      <c r="S49" s="3" t="e">
        <f>VLOOKUP(H49,AzureRegions!$A$4:$B$1493,2,FALSE)</f>
        <v>#N/A</v>
      </c>
      <c r="T49" s="3" t="e">
        <f>VLOOKUP(H49,AzureRegions!$A$4:$C$1493,3,FALSE)</f>
        <v>#N/A</v>
      </c>
      <c r="U49" s="3" t="e">
        <f>VLOOKUP(I49,Resources!$A$2:$AA$1503,2,FALSE)</f>
        <v>#N/A</v>
      </c>
      <c r="V49" s="3" t="e">
        <f>VLOOKUP(I49,Resources!$A$2:$H$1503,6,FALSE)</f>
        <v>#N/A</v>
      </c>
      <c r="W49" s="3" t="str">
        <f>VLOOKUP($H$2,Casing!$A$4:$A$60,1,FALSE)</f>
        <v>Lower</v>
      </c>
      <c r="X49" s="14" t="str">
        <f t="shared" si="1"/>
        <v>001</v>
      </c>
      <c r="Y49" s="3" t="str">
        <f>IFERROR(VLOOKUP(F49,Func!$A$4:$G$1500,2,FALSE),"none")</f>
        <v>none</v>
      </c>
      <c r="Z49" s="3" t="e">
        <f>VLOOKUP(I49,Resources!$A$2:$AA$1503,18,FALSE)</f>
        <v>#N/A</v>
      </c>
      <c r="AA49" s="3" t="str">
        <f>IFERROR(VLOOKUP(B49,Orgs!$A$4:$G$1500,2,FALSE),"none")</f>
        <v>none</v>
      </c>
      <c r="AB49" s="3" t="str">
        <f>IFERROR(VLOOKUP(C49,UnitsDepts!$A$4:$G$1500,2,FALSE),"none")</f>
        <v>none</v>
      </c>
      <c r="AC49" s="3" t="str">
        <f>IFERROR(VLOOKUP(D49,ProjAppSvc!$A$4:$G$1500,2,FALSE),"none")</f>
        <v>none</v>
      </c>
    </row>
    <row r="50" spans="1:29" x14ac:dyDescent="0.45">
      <c r="A50" s="14" t="s">
        <v>23</v>
      </c>
      <c r="B50" s="14"/>
      <c r="C50" s="14"/>
      <c r="D50" s="14"/>
      <c r="H50" s="8"/>
      <c r="I50" s="3"/>
      <c r="J50" s="3" t="str">
        <f t="shared" si="2"/>
        <v/>
      </c>
      <c r="K50" s="3" t="str">
        <f>IF(ISNUMBER(SEARCH("-",V50)),IFERROR(IF($H$2="Lower", LOWER(ComputeResourceName(Z50,#REF!,#REF!,G50,N50,O50,P50,Q50,S50,T50,V50,A50)), UPPER(ComputeResourceName(Z50,#REF!,#REF!,G50,N50,O50,P50,Q50,S50,T50,V50,A50))),""),SUBSTITUTE(IFERROR(IF($H$2="Lower", LOWER(ComputeResourceName(#REF!,#REF!,#REF!,G50,N50,O50,P50,Q50,S50,T50,V50,A50)), UPPER(ComputeResourceName(#REF!,#REF!,#REF!,G50,N50,O50,P50,Q50,S50,T50,V50,A50))),""), "-",""))</f>
        <v/>
      </c>
      <c r="L50" s="3" t="str">
        <f xml:space="preserve"> IF(K50="","",  IFERROR(VLOOKUP(I50,Resources!$B$1:$H$1503,5,FALSE)-LEN(K50),0))</f>
        <v/>
      </c>
      <c r="M50" s="3" t="str">
        <f>IF(K50="","",IFERROR(matches(K50,VLOOKUP(I50,Resources!$A$2:$AA$1503,16,FALSE)),FALSE))</f>
        <v/>
      </c>
      <c r="N50" s="3" t="e">
        <f>VLOOKUP(E50,Enviroments!$A$3:$D$59,1,FALSE)</f>
        <v>#N/A</v>
      </c>
      <c r="O50" s="3" t="e">
        <f>VLOOKUP(E50,Enviroments!$A$3:$D$59,2,FALSE)</f>
        <v>#N/A</v>
      </c>
      <c r="P50" s="3" t="e">
        <f>VLOOKUP(E50,Enviroments!$A$3:$D$59,3,FALSE)</f>
        <v>#N/A</v>
      </c>
      <c r="Q50" s="3" t="e">
        <f>VLOOKUP(E50,Enviroments!$A$3:$D$59,4,FALSE)</f>
        <v>#N/A</v>
      </c>
      <c r="R50" s="3" t="e">
        <f>VLOOKUP(H50,AzureRegions!$A$4:$B$1493,1,FALSE)</f>
        <v>#N/A</v>
      </c>
      <c r="S50" s="3" t="e">
        <f>VLOOKUP(H50,AzureRegions!$A$4:$B$1493,2,FALSE)</f>
        <v>#N/A</v>
      </c>
      <c r="T50" s="3" t="e">
        <f>VLOOKUP(H50,AzureRegions!$A$4:$C$1493,3,FALSE)</f>
        <v>#N/A</v>
      </c>
      <c r="U50" s="3" t="e">
        <f>VLOOKUP(I50,Resources!$A$2:$AA$1503,2,FALSE)</f>
        <v>#N/A</v>
      </c>
      <c r="V50" s="3" t="e">
        <f>VLOOKUP(I50,Resources!$A$2:$H$1503,6,FALSE)</f>
        <v>#N/A</v>
      </c>
      <c r="W50" s="3" t="str">
        <f>VLOOKUP($H$2,Casing!$A$4:$A$60,1,FALSE)</f>
        <v>Lower</v>
      </c>
      <c r="X50" s="14" t="str">
        <f t="shared" si="1"/>
        <v>001</v>
      </c>
      <c r="Y50" s="3" t="str">
        <f>IFERROR(VLOOKUP(F50,Func!$A$4:$G$1500,2,FALSE),"none")</f>
        <v>none</v>
      </c>
      <c r="Z50" s="3" t="e">
        <f>VLOOKUP(I50,Resources!$A$2:$AA$1503,18,FALSE)</f>
        <v>#N/A</v>
      </c>
      <c r="AA50" s="3" t="str">
        <f>IFERROR(VLOOKUP(B50,Orgs!$A$4:$G$1500,2,FALSE),"none")</f>
        <v>none</v>
      </c>
      <c r="AB50" s="3" t="str">
        <f>IFERROR(VLOOKUP(C50,UnitsDepts!$A$4:$G$1500,2,FALSE),"none")</f>
        <v>none</v>
      </c>
      <c r="AC50" s="3" t="str">
        <f>IFERROR(VLOOKUP(D50,ProjAppSvc!$A$4:$G$1500,2,FALSE),"none")</f>
        <v>none</v>
      </c>
    </row>
    <row r="51" spans="1:29" x14ac:dyDescent="0.45">
      <c r="A51" s="14" t="s">
        <v>23</v>
      </c>
      <c r="B51" s="14"/>
      <c r="C51" s="14"/>
      <c r="D51" s="14"/>
      <c r="H51" s="8"/>
      <c r="I51" s="3"/>
      <c r="J51" s="3" t="str">
        <f t="shared" si="2"/>
        <v/>
      </c>
      <c r="K51" s="3" t="str">
        <f>IF(ISNUMBER(SEARCH("-",V51)),IFERROR(IF($H$2="Lower", LOWER(ComputeResourceName(Z51,#REF!,#REF!,G51,N51,O51,P51,Q51,S51,T51,V51,A51)), UPPER(ComputeResourceName(Z51,#REF!,#REF!,G51,N51,O51,P51,Q51,S51,T51,V51,A51))),""),SUBSTITUTE(IFERROR(IF($H$2="Lower", LOWER(ComputeResourceName(#REF!,#REF!,#REF!,G51,N51,O51,P51,Q51,S51,T51,V51,A51)), UPPER(ComputeResourceName(#REF!,#REF!,#REF!,G51,N51,O51,P51,Q51,S51,T51,V51,A51))),""), "-",""))</f>
        <v/>
      </c>
      <c r="L51" s="3" t="str">
        <f xml:space="preserve"> IF(K51="","",  IFERROR(VLOOKUP(I51,Resources!$B$1:$H$1503,5,FALSE)-LEN(K51),0))</f>
        <v/>
      </c>
      <c r="M51" s="3" t="str">
        <f>IF(K51="","",IFERROR(matches(K51,VLOOKUP(I51,Resources!$A$2:$AA$1503,16,FALSE)),FALSE))</f>
        <v/>
      </c>
      <c r="N51" s="3" t="e">
        <f>VLOOKUP(E51,Enviroments!$A$3:$D$59,1,FALSE)</f>
        <v>#N/A</v>
      </c>
      <c r="O51" s="3" t="e">
        <f>VLOOKUP(E51,Enviroments!$A$3:$D$59,2,FALSE)</f>
        <v>#N/A</v>
      </c>
      <c r="P51" s="3" t="e">
        <f>VLOOKUP(E51,Enviroments!$A$3:$D$59,3,FALSE)</f>
        <v>#N/A</v>
      </c>
      <c r="Q51" s="3" t="e">
        <f>VLOOKUP(E51,Enviroments!$A$3:$D$59,4,FALSE)</f>
        <v>#N/A</v>
      </c>
      <c r="R51" s="3" t="e">
        <f>VLOOKUP(H51,AzureRegions!$A$4:$B$1493,1,FALSE)</f>
        <v>#N/A</v>
      </c>
      <c r="S51" s="3" t="e">
        <f>VLOOKUP(H51,AzureRegions!$A$4:$B$1493,2,FALSE)</f>
        <v>#N/A</v>
      </c>
      <c r="T51" s="3" t="e">
        <f>VLOOKUP(H51,AzureRegions!$A$4:$C$1493,3,FALSE)</f>
        <v>#N/A</v>
      </c>
      <c r="U51" s="3" t="e">
        <f>VLOOKUP(I51,Resources!$A$2:$AA$1503,2,FALSE)</f>
        <v>#N/A</v>
      </c>
      <c r="V51" s="3" t="e">
        <f>VLOOKUP(I51,Resources!$A$2:$H$1503,6,FALSE)</f>
        <v>#N/A</v>
      </c>
      <c r="W51" s="3" t="str">
        <f>VLOOKUP($H$2,Casing!$A$4:$A$60,1,FALSE)</f>
        <v>Lower</v>
      </c>
      <c r="X51" s="14" t="str">
        <f t="shared" si="1"/>
        <v>001</v>
      </c>
      <c r="Y51" s="3" t="str">
        <f>IFERROR(VLOOKUP(F51,Func!$A$4:$G$1500,2,FALSE),"none")</f>
        <v>none</v>
      </c>
      <c r="Z51" s="3" t="e">
        <f>VLOOKUP(I51,Resources!$A$2:$AA$1503,18,FALSE)</f>
        <v>#N/A</v>
      </c>
      <c r="AA51" s="3" t="str">
        <f>IFERROR(VLOOKUP(B51,Orgs!$A$4:$G$1500,2,FALSE),"none")</f>
        <v>none</v>
      </c>
      <c r="AB51" s="3" t="str">
        <f>IFERROR(VLOOKUP(C51,UnitsDepts!$A$4:$G$1500,2,FALSE),"none")</f>
        <v>none</v>
      </c>
      <c r="AC51" s="3" t="str">
        <f>IFERROR(VLOOKUP(D51,ProjAppSvc!$A$4:$G$1500,2,FALSE),"none")</f>
        <v>none</v>
      </c>
    </row>
    <row r="52" spans="1:29" x14ac:dyDescent="0.45">
      <c r="A52" s="14" t="s">
        <v>23</v>
      </c>
      <c r="B52" s="14"/>
      <c r="C52" s="14"/>
      <c r="D52" s="14"/>
      <c r="H52" s="8"/>
      <c r="I52" s="3"/>
      <c r="J52" s="3" t="str">
        <f t="shared" si="2"/>
        <v/>
      </c>
      <c r="K52" s="3" t="str">
        <f>IF(ISNUMBER(SEARCH("-",V52)),IFERROR(IF($H$2="Lower", LOWER(ComputeResourceName(Z52,#REF!,#REF!,G52,N52,O52,P52,Q52,S52,T52,V52,A52)), UPPER(ComputeResourceName(Z52,#REF!,#REF!,G52,N52,O52,P52,Q52,S52,T52,V52,A52))),""),SUBSTITUTE(IFERROR(IF($H$2="Lower", LOWER(ComputeResourceName(#REF!,#REF!,#REF!,G52,N52,O52,P52,Q52,S52,T52,V52,A52)), UPPER(ComputeResourceName(#REF!,#REF!,#REF!,G52,N52,O52,P52,Q52,S52,T52,V52,A52))),""), "-",""))</f>
        <v/>
      </c>
      <c r="L52" s="3" t="str">
        <f xml:space="preserve"> IF(K52="","",  IFERROR(VLOOKUP(I52,Resources!$B$1:$H$1503,5,FALSE)-LEN(K52),0))</f>
        <v/>
      </c>
      <c r="M52" s="3" t="str">
        <f>IF(K52="","",IFERROR(matches(K52,VLOOKUP(I52,Resources!$A$2:$AA$1503,16,FALSE)),FALSE))</f>
        <v/>
      </c>
      <c r="N52" s="3" t="e">
        <f>VLOOKUP(E52,Enviroments!$A$3:$D$59,1,FALSE)</f>
        <v>#N/A</v>
      </c>
      <c r="O52" s="3" t="e">
        <f>VLOOKUP(E52,Enviroments!$A$3:$D$59,2,FALSE)</f>
        <v>#N/A</v>
      </c>
      <c r="P52" s="3" t="e">
        <f>VLOOKUP(E52,Enviroments!$A$3:$D$59,3,FALSE)</f>
        <v>#N/A</v>
      </c>
      <c r="Q52" s="3" t="e">
        <f>VLOOKUP(E52,Enviroments!$A$3:$D$59,4,FALSE)</f>
        <v>#N/A</v>
      </c>
      <c r="R52" s="3" t="e">
        <f>VLOOKUP(H52,AzureRegions!$A$4:$B$1493,1,FALSE)</f>
        <v>#N/A</v>
      </c>
      <c r="S52" s="3" t="e">
        <f>VLOOKUP(H52,AzureRegions!$A$4:$B$1493,2,FALSE)</f>
        <v>#N/A</v>
      </c>
      <c r="T52" s="3" t="e">
        <f>VLOOKUP(H52,AzureRegions!$A$4:$C$1493,3,FALSE)</f>
        <v>#N/A</v>
      </c>
      <c r="U52" s="3" t="e">
        <f>VLOOKUP(I52,Resources!$A$2:$AA$1503,2,FALSE)</f>
        <v>#N/A</v>
      </c>
      <c r="V52" s="3" t="e">
        <f>VLOOKUP(I52,Resources!$A$2:$H$1503,6,FALSE)</f>
        <v>#N/A</v>
      </c>
      <c r="W52" s="3" t="str">
        <f>VLOOKUP($H$2,Casing!$A$4:$A$60,1,FALSE)</f>
        <v>Lower</v>
      </c>
      <c r="X52" s="14" t="str">
        <f t="shared" si="1"/>
        <v>001</v>
      </c>
      <c r="Y52" s="3" t="str">
        <f>IFERROR(VLOOKUP(F52,Func!$A$4:$G$1500,2,FALSE),"none")</f>
        <v>none</v>
      </c>
      <c r="Z52" s="3" t="e">
        <f>VLOOKUP(I52,Resources!$A$2:$AA$1503,18,FALSE)</f>
        <v>#N/A</v>
      </c>
      <c r="AA52" s="3" t="str">
        <f>IFERROR(VLOOKUP(B52,Orgs!$A$4:$G$1500,2,FALSE),"none")</f>
        <v>none</v>
      </c>
      <c r="AB52" s="3" t="str">
        <f>IFERROR(VLOOKUP(C52,UnitsDepts!$A$4:$G$1500,2,FALSE),"none")</f>
        <v>none</v>
      </c>
      <c r="AC52" s="3" t="str">
        <f>IFERROR(VLOOKUP(D52,ProjAppSvc!$A$4:$G$1500,2,FALSE),"none")</f>
        <v>none</v>
      </c>
    </row>
    <row r="53" spans="1:29" x14ac:dyDescent="0.45">
      <c r="A53" s="14" t="s">
        <v>23</v>
      </c>
      <c r="B53" s="14"/>
      <c r="C53" s="14"/>
      <c r="D53" s="14"/>
      <c r="H53" s="8"/>
      <c r="I53" s="3"/>
      <c r="J53" s="3" t="str">
        <f t="shared" si="2"/>
        <v/>
      </c>
      <c r="K53" s="3" t="str">
        <f>IF(ISNUMBER(SEARCH("-",V53)),IFERROR(IF($H$2="Lower", LOWER(ComputeResourceName(Z53,#REF!,#REF!,G53,N53,O53,P53,Q53,S53,T53,V53,A53)), UPPER(ComputeResourceName(Z53,#REF!,#REF!,G53,N53,O53,P53,Q53,S53,T53,V53,A53))),""),SUBSTITUTE(IFERROR(IF($H$2="Lower", LOWER(ComputeResourceName(#REF!,#REF!,#REF!,G53,N53,O53,P53,Q53,S53,T53,V53,A53)), UPPER(ComputeResourceName(#REF!,#REF!,#REF!,G53,N53,O53,P53,Q53,S53,T53,V53,A53))),""), "-",""))</f>
        <v/>
      </c>
      <c r="L53" s="3" t="str">
        <f xml:space="preserve"> IF(K53="","",  IFERROR(VLOOKUP(I53,Resources!$B$1:$H$1503,5,FALSE)-LEN(K53),0))</f>
        <v/>
      </c>
      <c r="M53" s="3" t="str">
        <f>IF(K53="","",IFERROR(matches(K53,VLOOKUP(I53,Resources!$A$2:$AA$1503,16,FALSE)),FALSE))</f>
        <v/>
      </c>
      <c r="N53" s="3" t="e">
        <f>VLOOKUP(E53,Enviroments!$A$3:$D$59,1,FALSE)</f>
        <v>#N/A</v>
      </c>
      <c r="O53" s="3" t="e">
        <f>VLOOKUP(E53,Enviroments!$A$3:$D$59,2,FALSE)</f>
        <v>#N/A</v>
      </c>
      <c r="P53" s="3" t="e">
        <f>VLOOKUP(E53,Enviroments!$A$3:$D$59,3,FALSE)</f>
        <v>#N/A</v>
      </c>
      <c r="Q53" s="3" t="e">
        <f>VLOOKUP(E53,Enviroments!$A$3:$D$59,4,FALSE)</f>
        <v>#N/A</v>
      </c>
      <c r="R53" s="3" t="e">
        <f>VLOOKUP(H53,AzureRegions!$A$4:$B$1493,1,FALSE)</f>
        <v>#N/A</v>
      </c>
      <c r="S53" s="3" t="e">
        <f>VLOOKUP(H53,AzureRegions!$A$4:$B$1493,2,FALSE)</f>
        <v>#N/A</v>
      </c>
      <c r="T53" s="3" t="e">
        <f>VLOOKUP(H53,AzureRegions!$A$4:$C$1493,3,FALSE)</f>
        <v>#N/A</v>
      </c>
      <c r="U53" s="3" t="e">
        <f>VLOOKUP(I53,Resources!$A$2:$AA$1503,2,FALSE)</f>
        <v>#N/A</v>
      </c>
      <c r="V53" s="3" t="e">
        <f>VLOOKUP(I53,Resources!$A$2:$H$1503,6,FALSE)</f>
        <v>#N/A</v>
      </c>
      <c r="W53" s="3" t="str">
        <f>VLOOKUP($H$2,Casing!$A$4:$A$60,1,FALSE)</f>
        <v>Lower</v>
      </c>
      <c r="X53" s="14" t="str">
        <f t="shared" si="1"/>
        <v>001</v>
      </c>
      <c r="Y53" s="3" t="str">
        <f>IFERROR(VLOOKUP(F53,Func!$A$4:$G$1500,2,FALSE),"none")</f>
        <v>none</v>
      </c>
      <c r="Z53" s="3" t="e">
        <f>VLOOKUP(I53,Resources!$A$2:$AA$1503,18,FALSE)</f>
        <v>#N/A</v>
      </c>
      <c r="AA53" s="3" t="str">
        <f>IFERROR(VLOOKUP(B53,Orgs!$A$4:$G$1500,2,FALSE),"none")</f>
        <v>none</v>
      </c>
      <c r="AB53" s="3" t="str">
        <f>IFERROR(VLOOKUP(C53,UnitsDepts!$A$4:$G$1500,2,FALSE),"none")</f>
        <v>none</v>
      </c>
      <c r="AC53" s="3" t="str">
        <f>IFERROR(VLOOKUP(D53,ProjAppSvc!$A$4:$G$1500,2,FALSE),"none")</f>
        <v>none</v>
      </c>
    </row>
    <row r="54" spans="1:29" x14ac:dyDescent="0.45">
      <c r="A54" s="14" t="s">
        <v>23</v>
      </c>
      <c r="B54" s="14"/>
      <c r="C54" s="14"/>
      <c r="D54" s="14"/>
      <c r="H54" s="8"/>
      <c r="I54" s="3"/>
      <c r="J54" s="3" t="str">
        <f t="shared" si="2"/>
        <v/>
      </c>
      <c r="K54" s="3" t="str">
        <f>IF(ISNUMBER(SEARCH("-",V54)),IFERROR(IF($H$2="Lower", LOWER(ComputeResourceName(Z54,#REF!,#REF!,G54,N54,O54,P54,Q54,S54,T54,V54,A54)), UPPER(ComputeResourceName(Z54,#REF!,#REF!,G54,N54,O54,P54,Q54,S54,T54,V54,A54))),""),SUBSTITUTE(IFERROR(IF($H$2="Lower", LOWER(ComputeResourceName(#REF!,#REF!,#REF!,G54,N54,O54,P54,Q54,S54,T54,V54,A54)), UPPER(ComputeResourceName(#REF!,#REF!,#REF!,G54,N54,O54,P54,Q54,S54,T54,V54,A54))),""), "-",""))</f>
        <v/>
      </c>
      <c r="L54" s="3" t="str">
        <f xml:space="preserve"> IF(K54="","",  IFERROR(VLOOKUP(I54,Resources!$B$1:$H$1503,5,FALSE)-LEN(K54),0))</f>
        <v/>
      </c>
      <c r="M54" s="3" t="str">
        <f>IF(K54="","",IFERROR(matches(K54,VLOOKUP(I54,Resources!$A$2:$AA$1503,16,FALSE)),FALSE))</f>
        <v/>
      </c>
      <c r="N54" s="3" t="e">
        <f>VLOOKUP(E54,Enviroments!$A$3:$D$59,1,FALSE)</f>
        <v>#N/A</v>
      </c>
      <c r="O54" s="3" t="e">
        <f>VLOOKUP(E54,Enviroments!$A$3:$D$59,2,FALSE)</f>
        <v>#N/A</v>
      </c>
      <c r="P54" s="3" t="e">
        <f>VLOOKUP(E54,Enviroments!$A$3:$D$59,3,FALSE)</f>
        <v>#N/A</v>
      </c>
      <c r="Q54" s="3" t="e">
        <f>VLOOKUP(E54,Enviroments!$A$3:$D$59,4,FALSE)</f>
        <v>#N/A</v>
      </c>
      <c r="R54" s="3" t="e">
        <f>VLOOKUP(H54,AzureRegions!$A$4:$B$1493,1,FALSE)</f>
        <v>#N/A</v>
      </c>
      <c r="S54" s="3" t="e">
        <f>VLOOKUP(H54,AzureRegions!$A$4:$B$1493,2,FALSE)</f>
        <v>#N/A</v>
      </c>
      <c r="T54" s="3" t="e">
        <f>VLOOKUP(H54,AzureRegions!$A$4:$C$1493,3,FALSE)</f>
        <v>#N/A</v>
      </c>
      <c r="U54" s="3" t="e">
        <f>VLOOKUP(I54,Resources!$A$2:$AA$1503,2,FALSE)</f>
        <v>#N/A</v>
      </c>
      <c r="V54" s="3" t="e">
        <f>VLOOKUP(I54,Resources!$A$2:$H$1503,6,FALSE)</f>
        <v>#N/A</v>
      </c>
      <c r="W54" s="3" t="str">
        <f>VLOOKUP($H$2,Casing!$A$4:$A$60,1,FALSE)</f>
        <v>Lower</v>
      </c>
      <c r="X54" s="14" t="str">
        <f t="shared" si="1"/>
        <v>001</v>
      </c>
      <c r="Y54" s="3" t="str">
        <f>IFERROR(VLOOKUP(F54,Func!$A$4:$G$1500,2,FALSE),"none")</f>
        <v>none</v>
      </c>
      <c r="Z54" s="3" t="e">
        <f>VLOOKUP(I54,Resources!$A$2:$AA$1503,18,FALSE)</f>
        <v>#N/A</v>
      </c>
      <c r="AA54" s="3" t="str">
        <f>IFERROR(VLOOKUP(B54,Orgs!$A$4:$G$1500,2,FALSE),"none")</f>
        <v>none</v>
      </c>
      <c r="AB54" s="3" t="str">
        <f>IFERROR(VLOOKUP(C54,UnitsDepts!$A$4:$G$1500,2,FALSE),"none")</f>
        <v>none</v>
      </c>
      <c r="AC54" s="3" t="str">
        <f>IFERROR(VLOOKUP(D54,ProjAppSvc!$A$4:$G$1500,2,FALSE),"none")</f>
        <v>none</v>
      </c>
    </row>
    <row r="55" spans="1:29" x14ac:dyDescent="0.45">
      <c r="A55" s="14" t="s">
        <v>23</v>
      </c>
      <c r="B55" s="14"/>
      <c r="C55" s="14"/>
      <c r="D55" s="14"/>
      <c r="H55" s="8"/>
      <c r="I55" s="3"/>
      <c r="J55" s="3" t="str">
        <f t="shared" si="2"/>
        <v/>
      </c>
      <c r="K55" s="3" t="str">
        <f>IF(ISNUMBER(SEARCH("-",V55)),IFERROR(IF($H$2="Lower", LOWER(ComputeResourceName(Z55,#REF!,#REF!,G55,N55,O55,P55,Q55,S55,T55,V55,A55)), UPPER(ComputeResourceName(Z55,#REF!,#REF!,G55,N55,O55,P55,Q55,S55,T55,V55,A55))),""),SUBSTITUTE(IFERROR(IF($H$2="Lower", LOWER(ComputeResourceName(#REF!,#REF!,#REF!,G55,N55,O55,P55,Q55,S55,T55,V55,A55)), UPPER(ComputeResourceName(#REF!,#REF!,#REF!,G55,N55,O55,P55,Q55,S55,T55,V55,A55))),""), "-",""))</f>
        <v/>
      </c>
      <c r="L55" s="3" t="str">
        <f xml:space="preserve"> IF(K55="","",  IFERROR(VLOOKUP(I55,Resources!$B$1:$H$1503,5,FALSE)-LEN(K55),0))</f>
        <v/>
      </c>
      <c r="M55" s="3" t="str">
        <f>IF(K55="","",IFERROR(matches(K55,VLOOKUP(I55,Resources!$A$2:$AA$1503,16,FALSE)),FALSE))</f>
        <v/>
      </c>
      <c r="N55" s="3" t="e">
        <f>VLOOKUP(E55,Enviroments!$A$3:$D$59,1,FALSE)</f>
        <v>#N/A</v>
      </c>
      <c r="O55" s="3" t="e">
        <f>VLOOKUP(E55,Enviroments!$A$3:$D$59,2,FALSE)</f>
        <v>#N/A</v>
      </c>
      <c r="P55" s="3" t="e">
        <f>VLOOKUP(E55,Enviroments!$A$3:$D$59,3,FALSE)</f>
        <v>#N/A</v>
      </c>
      <c r="Q55" s="3" t="e">
        <f>VLOOKUP(E55,Enviroments!$A$3:$D$59,4,FALSE)</f>
        <v>#N/A</v>
      </c>
      <c r="R55" s="3" t="e">
        <f>VLOOKUP(H55,AzureRegions!$A$4:$B$1493,1,FALSE)</f>
        <v>#N/A</v>
      </c>
      <c r="S55" s="3" t="e">
        <f>VLOOKUP(H55,AzureRegions!$A$4:$B$1493,2,FALSE)</f>
        <v>#N/A</v>
      </c>
      <c r="T55" s="3" t="e">
        <f>VLOOKUP(H55,AzureRegions!$A$4:$C$1493,3,FALSE)</f>
        <v>#N/A</v>
      </c>
      <c r="U55" s="3" t="e">
        <f>VLOOKUP(I55,Resources!$A$2:$AA$1503,2,FALSE)</f>
        <v>#N/A</v>
      </c>
      <c r="V55" s="3" t="e">
        <f>VLOOKUP(I55,Resources!$A$2:$H$1503,6,FALSE)</f>
        <v>#N/A</v>
      </c>
      <c r="W55" s="3" t="str">
        <f>VLOOKUP($H$2,Casing!$A$4:$A$60,1,FALSE)</f>
        <v>Lower</v>
      </c>
      <c r="X55" s="14" t="str">
        <f t="shared" si="1"/>
        <v>001</v>
      </c>
      <c r="Y55" s="3" t="str">
        <f>IFERROR(VLOOKUP(F55,Func!$A$4:$G$1500,2,FALSE),"none")</f>
        <v>none</v>
      </c>
      <c r="Z55" s="3" t="e">
        <f>VLOOKUP(I55,Resources!$A$2:$AA$1503,18,FALSE)</f>
        <v>#N/A</v>
      </c>
      <c r="AA55" s="3" t="str">
        <f>IFERROR(VLOOKUP(B55,Orgs!$A$4:$G$1500,2,FALSE),"none")</f>
        <v>none</v>
      </c>
      <c r="AB55" s="3" t="str">
        <f>IFERROR(VLOOKUP(C55,UnitsDepts!$A$4:$G$1500,2,FALSE),"none")</f>
        <v>none</v>
      </c>
      <c r="AC55" s="3" t="str">
        <f>IFERROR(VLOOKUP(D55,ProjAppSvc!$A$4:$G$1500,2,FALSE),"none")</f>
        <v>none</v>
      </c>
    </row>
    <row r="56" spans="1:29" x14ac:dyDescent="0.45">
      <c r="A56" s="14" t="s">
        <v>23</v>
      </c>
      <c r="B56" s="14"/>
      <c r="C56" s="14"/>
      <c r="D56" s="14"/>
      <c r="H56" s="8"/>
      <c r="I56" s="3"/>
      <c r="J56" s="3" t="str">
        <f t="shared" si="2"/>
        <v/>
      </c>
      <c r="K56" s="3" t="str">
        <f>IF(ISNUMBER(SEARCH("-",V56)),IFERROR(IF($H$2="Lower", LOWER(ComputeResourceName(Z56,#REF!,#REF!,G56,N56,O56,P56,Q56,S56,T56,V56,A56)), UPPER(ComputeResourceName(Z56,#REF!,#REF!,G56,N56,O56,P56,Q56,S56,T56,V56,A56))),""),SUBSTITUTE(IFERROR(IF($H$2="Lower", LOWER(ComputeResourceName(#REF!,#REF!,#REF!,G56,N56,O56,P56,Q56,S56,T56,V56,A56)), UPPER(ComputeResourceName(#REF!,#REF!,#REF!,G56,N56,O56,P56,Q56,S56,T56,V56,A56))),""), "-",""))</f>
        <v/>
      </c>
      <c r="L56" s="3" t="str">
        <f xml:space="preserve"> IF(K56="","",  IFERROR(VLOOKUP(I56,Resources!$B$1:$H$1503,5,FALSE)-LEN(K56),0))</f>
        <v/>
      </c>
      <c r="M56" s="3" t="str">
        <f>IF(K56="","",IFERROR(matches(K56,VLOOKUP(I56,Resources!$A$2:$AA$1503,16,FALSE)),FALSE))</f>
        <v/>
      </c>
      <c r="N56" s="3" t="e">
        <f>VLOOKUP(E56,Enviroments!$A$3:$D$59,1,FALSE)</f>
        <v>#N/A</v>
      </c>
      <c r="O56" s="3" t="e">
        <f>VLOOKUP(E56,Enviroments!$A$3:$D$59,2,FALSE)</f>
        <v>#N/A</v>
      </c>
      <c r="P56" s="3" t="e">
        <f>VLOOKUP(E56,Enviroments!$A$3:$D$59,3,FALSE)</f>
        <v>#N/A</v>
      </c>
      <c r="Q56" s="3" t="e">
        <f>VLOOKUP(E56,Enviroments!$A$3:$D$59,4,FALSE)</f>
        <v>#N/A</v>
      </c>
      <c r="R56" s="3" t="e">
        <f>VLOOKUP(H56,AzureRegions!$A$4:$B$1493,1,FALSE)</f>
        <v>#N/A</v>
      </c>
      <c r="S56" s="3" t="e">
        <f>VLOOKUP(H56,AzureRegions!$A$4:$B$1493,2,FALSE)</f>
        <v>#N/A</v>
      </c>
      <c r="T56" s="3" t="e">
        <f>VLOOKUP(H56,AzureRegions!$A$4:$C$1493,3,FALSE)</f>
        <v>#N/A</v>
      </c>
      <c r="U56" s="3" t="e">
        <f>VLOOKUP(I56,Resources!$A$2:$AA$1503,2,FALSE)</f>
        <v>#N/A</v>
      </c>
      <c r="V56" s="3" t="e">
        <f>VLOOKUP(I56,Resources!$A$2:$H$1503,6,FALSE)</f>
        <v>#N/A</v>
      </c>
      <c r="W56" s="3" t="str">
        <f>VLOOKUP($H$2,Casing!$A$4:$A$60,1,FALSE)</f>
        <v>Lower</v>
      </c>
      <c r="X56" s="14" t="str">
        <f t="shared" si="1"/>
        <v>001</v>
      </c>
      <c r="Y56" s="3" t="str">
        <f>IFERROR(VLOOKUP(F56,Func!$A$4:$G$1500,2,FALSE),"none")</f>
        <v>none</v>
      </c>
      <c r="Z56" s="3" t="e">
        <f>VLOOKUP(I56,Resources!$A$2:$AA$1503,18,FALSE)</f>
        <v>#N/A</v>
      </c>
      <c r="AA56" s="3" t="str">
        <f>IFERROR(VLOOKUP(B56,Orgs!$A$4:$G$1500,2,FALSE),"none")</f>
        <v>none</v>
      </c>
      <c r="AB56" s="3" t="str">
        <f>IFERROR(VLOOKUP(C56,UnitsDepts!$A$4:$G$1500,2,FALSE),"none")</f>
        <v>none</v>
      </c>
      <c r="AC56" s="3" t="str">
        <f>IFERROR(VLOOKUP(D56,ProjAppSvc!$A$4:$G$1500,2,FALSE),"none")</f>
        <v>none</v>
      </c>
    </row>
    <row r="57" spans="1:29" x14ac:dyDescent="0.45">
      <c r="A57" s="14" t="s">
        <v>23</v>
      </c>
      <c r="B57" s="14"/>
      <c r="C57" s="14"/>
      <c r="D57" s="14"/>
      <c r="H57" s="8"/>
      <c r="I57" s="3"/>
      <c r="J57" s="3" t="str">
        <f t="shared" si="2"/>
        <v/>
      </c>
      <c r="K57" s="3" t="str">
        <f>IF(ISNUMBER(SEARCH("-",V57)),IFERROR(IF($H$2="Lower", LOWER(ComputeResourceName(Z57,#REF!,#REF!,G57,N57,O57,P57,Q57,S57,T57,V57,A57)), UPPER(ComputeResourceName(Z57,#REF!,#REF!,G57,N57,O57,P57,Q57,S57,T57,V57,A57))),""),SUBSTITUTE(IFERROR(IF($H$2="Lower", LOWER(ComputeResourceName(#REF!,#REF!,#REF!,G57,N57,O57,P57,Q57,S57,T57,V57,A57)), UPPER(ComputeResourceName(#REF!,#REF!,#REF!,G57,N57,O57,P57,Q57,S57,T57,V57,A57))),""), "-",""))</f>
        <v/>
      </c>
      <c r="L57" s="3" t="str">
        <f xml:space="preserve"> IF(K57="","",  IFERROR(VLOOKUP(I57,Resources!$B$1:$H$1503,5,FALSE)-LEN(K57),0))</f>
        <v/>
      </c>
      <c r="M57" s="3" t="str">
        <f>IF(K57="","",IFERROR(matches(K57,VLOOKUP(I57,Resources!$A$2:$AA$1503,16,FALSE)),FALSE))</f>
        <v/>
      </c>
      <c r="N57" s="3" t="e">
        <f>VLOOKUP(E57,Enviroments!$A$3:$D$59,1,FALSE)</f>
        <v>#N/A</v>
      </c>
      <c r="O57" s="3" t="e">
        <f>VLOOKUP(E57,Enviroments!$A$3:$D$59,2,FALSE)</f>
        <v>#N/A</v>
      </c>
      <c r="P57" s="3" t="e">
        <f>VLOOKUP(E57,Enviroments!$A$3:$D$59,3,FALSE)</f>
        <v>#N/A</v>
      </c>
      <c r="Q57" s="3" t="e">
        <f>VLOOKUP(E57,Enviroments!$A$3:$D$59,4,FALSE)</f>
        <v>#N/A</v>
      </c>
      <c r="R57" s="3" t="e">
        <f>VLOOKUP(H57,AzureRegions!$A$4:$B$1493,1,FALSE)</f>
        <v>#N/A</v>
      </c>
      <c r="S57" s="3" t="e">
        <f>VLOOKUP(H57,AzureRegions!$A$4:$B$1493,2,FALSE)</f>
        <v>#N/A</v>
      </c>
      <c r="T57" s="3" t="e">
        <f>VLOOKUP(H57,AzureRegions!$A$4:$C$1493,3,FALSE)</f>
        <v>#N/A</v>
      </c>
      <c r="U57" s="3" t="e">
        <f>VLOOKUP(I57,Resources!$A$2:$AA$1503,2,FALSE)</f>
        <v>#N/A</v>
      </c>
      <c r="V57" s="3" t="e">
        <f>VLOOKUP(I57,Resources!$A$2:$H$1503,6,FALSE)</f>
        <v>#N/A</v>
      </c>
      <c r="W57" s="3" t="str">
        <f>VLOOKUP($H$2,Casing!$A$4:$A$60,1,FALSE)</f>
        <v>Lower</v>
      </c>
      <c r="X57" s="14" t="str">
        <f t="shared" si="1"/>
        <v>001</v>
      </c>
      <c r="Y57" s="3" t="str">
        <f>IFERROR(VLOOKUP(F57,Func!$A$4:$G$1500,2,FALSE),"none")</f>
        <v>none</v>
      </c>
      <c r="Z57" s="3" t="e">
        <f>VLOOKUP(I57,Resources!$A$2:$AA$1503,18,FALSE)</f>
        <v>#N/A</v>
      </c>
      <c r="AA57" s="3" t="str">
        <f>IFERROR(VLOOKUP(B57,Orgs!$A$4:$G$1500,2,FALSE),"none")</f>
        <v>none</v>
      </c>
      <c r="AB57" s="3" t="str">
        <f>IFERROR(VLOOKUP(C57,UnitsDepts!$A$4:$G$1500,2,FALSE),"none")</f>
        <v>none</v>
      </c>
      <c r="AC57" s="3" t="str">
        <f>IFERROR(VLOOKUP(D57,ProjAppSvc!$A$4:$G$1500,2,FALSE),"none")</f>
        <v>none</v>
      </c>
    </row>
    <row r="58" spans="1:29" x14ac:dyDescent="0.45">
      <c r="A58" s="14" t="s">
        <v>23</v>
      </c>
      <c r="B58" s="14"/>
      <c r="C58" s="14"/>
      <c r="D58" s="14"/>
      <c r="H58" s="8"/>
      <c r="I58" s="3"/>
      <c r="J58" s="3" t="str">
        <f t="shared" si="2"/>
        <v/>
      </c>
      <c r="K58" s="3" t="str">
        <f>IF(ISNUMBER(SEARCH("-",V58)),IFERROR(IF($H$2="Lower", LOWER(ComputeResourceName(Z58,#REF!,#REF!,G58,N58,O58,P58,Q58,S58,T58,V58,A58)), UPPER(ComputeResourceName(Z58,#REF!,#REF!,G58,N58,O58,P58,Q58,S58,T58,V58,A58))),""),SUBSTITUTE(IFERROR(IF($H$2="Lower", LOWER(ComputeResourceName(#REF!,#REF!,#REF!,G58,N58,O58,P58,Q58,S58,T58,V58,A58)), UPPER(ComputeResourceName(#REF!,#REF!,#REF!,G58,N58,O58,P58,Q58,S58,T58,V58,A58))),""), "-",""))</f>
        <v/>
      </c>
      <c r="L58" s="3" t="str">
        <f xml:space="preserve"> IF(K58="","",  IFERROR(VLOOKUP(I58,Resources!$B$1:$H$1503,5,FALSE)-LEN(K58),0))</f>
        <v/>
      </c>
      <c r="M58" s="3" t="str">
        <f>IF(K58="","",IFERROR(matches(K58,VLOOKUP(I58,Resources!$A$2:$AA$1503,16,FALSE)),FALSE))</f>
        <v/>
      </c>
      <c r="N58" s="3" t="e">
        <f>VLOOKUP(E58,Enviroments!$A$3:$D$59,1,FALSE)</f>
        <v>#N/A</v>
      </c>
      <c r="O58" s="3" t="e">
        <f>VLOOKUP(E58,Enviroments!$A$3:$D$59,2,FALSE)</f>
        <v>#N/A</v>
      </c>
      <c r="P58" s="3" t="e">
        <f>VLOOKUP(E58,Enviroments!$A$3:$D$59,3,FALSE)</f>
        <v>#N/A</v>
      </c>
      <c r="Q58" s="3" t="e">
        <f>VLOOKUP(E58,Enviroments!$A$3:$D$59,4,FALSE)</f>
        <v>#N/A</v>
      </c>
      <c r="R58" s="3" t="e">
        <f>VLOOKUP(H58,AzureRegions!$A$4:$B$1493,1,FALSE)</f>
        <v>#N/A</v>
      </c>
      <c r="S58" s="3" t="e">
        <f>VLOOKUP(H58,AzureRegions!$A$4:$B$1493,2,FALSE)</f>
        <v>#N/A</v>
      </c>
      <c r="T58" s="3" t="e">
        <f>VLOOKUP(H58,AzureRegions!$A$4:$C$1493,3,FALSE)</f>
        <v>#N/A</v>
      </c>
      <c r="U58" s="3" t="e">
        <f>VLOOKUP(I58,Resources!$A$2:$AA$1503,2,FALSE)</f>
        <v>#N/A</v>
      </c>
      <c r="V58" s="3" t="e">
        <f>VLOOKUP(I58,Resources!$A$2:$H$1503,6,FALSE)</f>
        <v>#N/A</v>
      </c>
      <c r="W58" s="3" t="str">
        <f>VLOOKUP($H$2,Casing!$A$4:$A$60,1,FALSE)</f>
        <v>Lower</v>
      </c>
      <c r="X58" s="14" t="str">
        <f t="shared" si="1"/>
        <v>001</v>
      </c>
      <c r="Y58" s="3" t="str">
        <f>IFERROR(VLOOKUP(F58,Func!$A$4:$G$1500,2,FALSE),"none")</f>
        <v>none</v>
      </c>
      <c r="Z58" s="3" t="e">
        <f>VLOOKUP(I58,Resources!$A$2:$AA$1503,18,FALSE)</f>
        <v>#N/A</v>
      </c>
      <c r="AA58" s="3" t="str">
        <f>IFERROR(VLOOKUP(B58,Orgs!$A$4:$G$1500,2,FALSE),"none")</f>
        <v>none</v>
      </c>
      <c r="AB58" s="3" t="str">
        <f>IFERROR(VLOOKUP(C58,UnitsDepts!$A$4:$G$1500,2,FALSE),"none")</f>
        <v>none</v>
      </c>
      <c r="AC58" s="3" t="str">
        <f>IFERROR(VLOOKUP(D58,ProjAppSvc!$A$4:$G$1500,2,FALSE),"none")</f>
        <v>none</v>
      </c>
    </row>
    <row r="59" spans="1:29" x14ac:dyDescent="0.45">
      <c r="A59" s="14" t="s">
        <v>23</v>
      </c>
      <c r="B59" s="14"/>
      <c r="C59" s="14"/>
      <c r="D59" s="14"/>
      <c r="H59" s="8"/>
      <c r="I59" s="3"/>
      <c r="J59" s="3" t="str">
        <f t="shared" si="2"/>
        <v/>
      </c>
      <c r="K59" s="3" t="str">
        <f>IF(ISNUMBER(SEARCH("-",V59)),IFERROR(IF($H$2="Lower", LOWER(ComputeResourceName(Z59,#REF!,#REF!,G59,N59,O59,P59,Q59,S59,T59,V59,A59)), UPPER(ComputeResourceName(Z59,#REF!,#REF!,G59,N59,O59,P59,Q59,S59,T59,V59,A59))),""),SUBSTITUTE(IFERROR(IF($H$2="Lower", LOWER(ComputeResourceName(#REF!,#REF!,#REF!,G59,N59,O59,P59,Q59,S59,T59,V59,A59)), UPPER(ComputeResourceName(#REF!,#REF!,#REF!,G59,N59,O59,P59,Q59,S59,T59,V59,A59))),""), "-",""))</f>
        <v/>
      </c>
      <c r="L59" s="3" t="str">
        <f xml:space="preserve"> IF(K59="","",  IFERROR(VLOOKUP(I59,Resources!$B$1:$H$1503,5,FALSE)-LEN(K59),0))</f>
        <v/>
      </c>
      <c r="M59" s="3" t="str">
        <f>IF(K59="","",IFERROR(matches(K59,VLOOKUP(I59,Resources!$A$2:$AA$1503,16,FALSE)),FALSE))</f>
        <v/>
      </c>
      <c r="N59" s="3" t="e">
        <f>VLOOKUP(E59,Enviroments!$A$3:$D$59,1,FALSE)</f>
        <v>#N/A</v>
      </c>
      <c r="O59" s="3" t="e">
        <f>VLOOKUP(E59,Enviroments!$A$3:$D$59,2,FALSE)</f>
        <v>#N/A</v>
      </c>
      <c r="P59" s="3" t="e">
        <f>VLOOKUP(E59,Enviroments!$A$3:$D$59,3,FALSE)</f>
        <v>#N/A</v>
      </c>
      <c r="Q59" s="3" t="e">
        <f>VLOOKUP(E59,Enviroments!$A$3:$D$59,4,FALSE)</f>
        <v>#N/A</v>
      </c>
      <c r="R59" s="3" t="e">
        <f>VLOOKUP(H59,AzureRegions!$A$4:$B$1493,1,FALSE)</f>
        <v>#N/A</v>
      </c>
      <c r="S59" s="3" t="e">
        <f>VLOOKUP(H59,AzureRegions!$A$4:$B$1493,2,FALSE)</f>
        <v>#N/A</v>
      </c>
      <c r="T59" s="3" t="e">
        <f>VLOOKUP(H59,AzureRegions!$A$4:$C$1493,3,FALSE)</f>
        <v>#N/A</v>
      </c>
      <c r="U59" s="3" t="e">
        <f>VLOOKUP(I59,Resources!$A$2:$AA$1503,2,FALSE)</f>
        <v>#N/A</v>
      </c>
      <c r="V59" s="3" t="e">
        <f>VLOOKUP(I59,Resources!$A$2:$H$1503,6,FALSE)</f>
        <v>#N/A</v>
      </c>
      <c r="W59" s="3" t="str">
        <f>VLOOKUP($H$2,Casing!$A$4:$A$60,1,FALSE)</f>
        <v>Lower</v>
      </c>
      <c r="X59" s="14" t="str">
        <f t="shared" si="1"/>
        <v>001</v>
      </c>
      <c r="Y59" s="3" t="str">
        <f>IFERROR(VLOOKUP(F59,Func!$A$4:$G$1500,2,FALSE),"none")</f>
        <v>none</v>
      </c>
      <c r="Z59" s="3" t="e">
        <f>VLOOKUP(I59,Resources!$A$2:$AA$1503,18,FALSE)</f>
        <v>#N/A</v>
      </c>
      <c r="AA59" s="3" t="str">
        <f>IFERROR(VLOOKUP(B59,Orgs!$A$4:$G$1500,2,FALSE),"none")</f>
        <v>none</v>
      </c>
      <c r="AB59" s="3" t="str">
        <f>IFERROR(VLOOKUP(C59,UnitsDepts!$A$4:$G$1500,2,FALSE),"none")</f>
        <v>none</v>
      </c>
      <c r="AC59" s="3" t="str">
        <f>IFERROR(VLOOKUP(D59,ProjAppSvc!$A$4:$G$1500,2,FALSE),"none")</f>
        <v>none</v>
      </c>
    </row>
    <row r="60" spans="1:29" x14ac:dyDescent="0.45">
      <c r="A60" s="14" t="s">
        <v>23</v>
      </c>
      <c r="B60" s="14"/>
      <c r="C60" s="14"/>
      <c r="D60" s="14"/>
      <c r="H60" s="8"/>
      <c r="I60" s="3"/>
      <c r="J60" s="3" t="str">
        <f t="shared" si="2"/>
        <v/>
      </c>
      <c r="K60" s="3" t="str">
        <f>IF(ISNUMBER(SEARCH("-",V60)),IFERROR(IF($H$2="Lower", LOWER(ComputeResourceName(Z60,#REF!,#REF!,G60,N60,O60,P60,Q60,S60,T60,V60,A60)), UPPER(ComputeResourceName(Z60,#REF!,#REF!,G60,N60,O60,P60,Q60,S60,T60,V60,A60))),""),SUBSTITUTE(IFERROR(IF($H$2="Lower", LOWER(ComputeResourceName(#REF!,#REF!,#REF!,G60,N60,O60,P60,Q60,S60,T60,V60,A60)), UPPER(ComputeResourceName(#REF!,#REF!,#REF!,G60,N60,O60,P60,Q60,S60,T60,V60,A60))),""), "-",""))</f>
        <v/>
      </c>
      <c r="L60" s="3" t="str">
        <f xml:space="preserve"> IF(K60="","",  IFERROR(VLOOKUP(I60,Resources!$B$1:$H$1503,5,FALSE)-LEN(K60),0))</f>
        <v/>
      </c>
      <c r="M60" s="3" t="str">
        <f>IF(K60="","",IFERROR(matches(K60,VLOOKUP(I60,Resources!$A$2:$AA$1503,16,FALSE)),FALSE))</f>
        <v/>
      </c>
      <c r="N60" s="3" t="e">
        <f>VLOOKUP(E60,Enviroments!$A$3:$D$59,1,FALSE)</f>
        <v>#N/A</v>
      </c>
      <c r="O60" s="3" t="e">
        <f>VLOOKUP(E60,Enviroments!$A$3:$D$59,2,FALSE)</f>
        <v>#N/A</v>
      </c>
      <c r="P60" s="3" t="e">
        <f>VLOOKUP(E60,Enviroments!$A$3:$D$59,3,FALSE)</f>
        <v>#N/A</v>
      </c>
      <c r="Q60" s="3" t="e">
        <f>VLOOKUP(E60,Enviroments!$A$3:$D$59,4,FALSE)</f>
        <v>#N/A</v>
      </c>
      <c r="R60" s="3" t="e">
        <f>VLOOKUP(H60,AzureRegions!$A$4:$B$1493,1,FALSE)</f>
        <v>#N/A</v>
      </c>
      <c r="S60" s="3" t="e">
        <f>VLOOKUP(H60,AzureRegions!$A$4:$B$1493,2,FALSE)</f>
        <v>#N/A</v>
      </c>
      <c r="T60" s="3" t="e">
        <f>VLOOKUP(H60,AzureRegions!$A$4:$C$1493,3,FALSE)</f>
        <v>#N/A</v>
      </c>
      <c r="U60" s="3" t="e">
        <f>VLOOKUP(I60,Resources!$A$2:$AA$1503,2,FALSE)</f>
        <v>#N/A</v>
      </c>
      <c r="V60" s="3" t="e">
        <f>VLOOKUP(I60,Resources!$A$2:$H$1503,6,FALSE)</f>
        <v>#N/A</v>
      </c>
      <c r="W60" s="3" t="str">
        <f>VLOOKUP($H$2,Casing!$A$4:$A$60,1,FALSE)</f>
        <v>Lower</v>
      </c>
      <c r="X60" s="14" t="str">
        <f t="shared" si="1"/>
        <v>001</v>
      </c>
      <c r="Y60" s="3" t="str">
        <f>IFERROR(VLOOKUP(F60,Func!$A$4:$G$1500,2,FALSE),"none")</f>
        <v>none</v>
      </c>
      <c r="Z60" s="3" t="e">
        <f>VLOOKUP(I60,Resources!$A$2:$AA$1503,18,FALSE)</f>
        <v>#N/A</v>
      </c>
      <c r="AA60" s="3" t="str">
        <f>IFERROR(VLOOKUP(B60,Orgs!$A$4:$G$1500,2,FALSE),"none")</f>
        <v>none</v>
      </c>
      <c r="AB60" s="3" t="str">
        <f>IFERROR(VLOOKUP(C60,UnitsDepts!$A$4:$G$1500,2,FALSE),"none")</f>
        <v>none</v>
      </c>
      <c r="AC60" s="3" t="str">
        <f>IFERROR(VLOOKUP(D60,ProjAppSvc!$A$4:$G$1500,2,FALSE),"none")</f>
        <v>none</v>
      </c>
    </row>
    <row r="61" spans="1:29" x14ac:dyDescent="0.45">
      <c r="A61" s="14" t="s">
        <v>23</v>
      </c>
      <c r="B61" s="14"/>
      <c r="C61" s="14"/>
      <c r="D61" s="14"/>
      <c r="H61" s="8"/>
      <c r="I61" s="3"/>
      <c r="J61" s="3" t="str">
        <f t="shared" si="2"/>
        <v/>
      </c>
      <c r="K61" s="3" t="str">
        <f>IF(ISNUMBER(SEARCH("-",V61)),IFERROR(IF($H$2="Lower", LOWER(ComputeResourceName(Z61,#REF!,#REF!,G61,N61,O61,P61,Q61,S61,T61,V61,A61)), UPPER(ComputeResourceName(Z61,#REF!,#REF!,G61,N61,O61,P61,Q61,S61,T61,V61,A61))),""),SUBSTITUTE(IFERROR(IF($H$2="Lower", LOWER(ComputeResourceName(#REF!,#REF!,#REF!,G61,N61,O61,P61,Q61,S61,T61,V61,A61)), UPPER(ComputeResourceName(#REF!,#REF!,#REF!,G61,N61,O61,P61,Q61,S61,T61,V61,A61))),""), "-",""))</f>
        <v/>
      </c>
      <c r="L61" s="3" t="str">
        <f xml:space="preserve"> IF(K61="","",  IFERROR(VLOOKUP(I61,Resources!$B$1:$H$1503,5,FALSE)-LEN(K61),0))</f>
        <v/>
      </c>
      <c r="M61" s="3" t="str">
        <f>IF(K61="","",IFERROR(matches(K61,VLOOKUP(I61,Resources!$A$2:$AA$1503,16,FALSE)),FALSE))</f>
        <v/>
      </c>
      <c r="N61" s="3" t="e">
        <f>VLOOKUP(E61,Enviroments!$A$3:$D$59,1,FALSE)</f>
        <v>#N/A</v>
      </c>
      <c r="O61" s="3" t="e">
        <f>VLOOKUP(E61,Enviroments!$A$3:$D$59,2,FALSE)</f>
        <v>#N/A</v>
      </c>
      <c r="P61" s="3" t="e">
        <f>VLOOKUP(E61,Enviroments!$A$3:$D$59,3,FALSE)</f>
        <v>#N/A</v>
      </c>
      <c r="Q61" s="3" t="e">
        <f>VLOOKUP(E61,Enviroments!$A$3:$D$59,4,FALSE)</f>
        <v>#N/A</v>
      </c>
      <c r="R61" s="3" t="e">
        <f>VLOOKUP(H61,AzureRegions!$A$4:$B$1493,1,FALSE)</f>
        <v>#N/A</v>
      </c>
      <c r="S61" s="3" t="e">
        <f>VLOOKUP(H61,AzureRegions!$A$4:$B$1493,2,FALSE)</f>
        <v>#N/A</v>
      </c>
      <c r="T61" s="3" t="e">
        <f>VLOOKUP(H61,AzureRegions!$A$4:$C$1493,3,FALSE)</f>
        <v>#N/A</v>
      </c>
      <c r="U61" s="3" t="e">
        <f>VLOOKUP(I61,Resources!$A$2:$AA$1503,2,FALSE)</f>
        <v>#N/A</v>
      </c>
      <c r="V61" s="3" t="e">
        <f>VLOOKUP(I61,Resources!$A$2:$H$1503,6,FALSE)</f>
        <v>#N/A</v>
      </c>
      <c r="W61" s="3" t="str">
        <f>VLOOKUP($H$2,Casing!$A$4:$A$60,1,FALSE)</f>
        <v>Lower</v>
      </c>
      <c r="X61" s="14" t="str">
        <f t="shared" si="1"/>
        <v>001</v>
      </c>
      <c r="Y61" s="3" t="str">
        <f>IFERROR(VLOOKUP(F61,Func!$A$4:$G$1500,2,FALSE),"none")</f>
        <v>none</v>
      </c>
      <c r="Z61" s="3" t="e">
        <f>VLOOKUP(I61,Resources!$A$2:$AA$1503,18,FALSE)</f>
        <v>#N/A</v>
      </c>
      <c r="AA61" s="3" t="str">
        <f>IFERROR(VLOOKUP(B61,Orgs!$A$4:$G$1500,2,FALSE),"none")</f>
        <v>none</v>
      </c>
      <c r="AB61" s="3" t="str">
        <f>IFERROR(VLOOKUP(C61,UnitsDepts!$A$4:$G$1500,2,FALSE),"none")</f>
        <v>none</v>
      </c>
      <c r="AC61" s="3" t="str">
        <f>IFERROR(VLOOKUP(D61,ProjAppSvc!$A$4:$G$1500,2,FALSE),"none")</f>
        <v>none</v>
      </c>
    </row>
    <row r="62" spans="1:29" x14ac:dyDescent="0.45">
      <c r="A62" s="14" t="s">
        <v>23</v>
      </c>
      <c r="B62" s="14"/>
      <c r="C62" s="14"/>
      <c r="D62" s="14"/>
      <c r="H62" s="8"/>
      <c r="I62" s="3"/>
      <c r="J62" s="3" t="str">
        <f t="shared" si="2"/>
        <v/>
      </c>
      <c r="K62" s="3" t="str">
        <f>IF(ISNUMBER(SEARCH("-",V62)),IFERROR(IF($H$2="Lower", LOWER(ComputeResourceName(Z62,#REF!,#REF!,G62,N62,O62,P62,Q62,S62,T62,V62,A62)), UPPER(ComputeResourceName(Z62,#REF!,#REF!,G62,N62,O62,P62,Q62,S62,T62,V62,A62))),""),SUBSTITUTE(IFERROR(IF($H$2="Lower", LOWER(ComputeResourceName(#REF!,#REF!,#REF!,G62,N62,O62,P62,Q62,S62,T62,V62,A62)), UPPER(ComputeResourceName(#REF!,#REF!,#REF!,G62,N62,O62,P62,Q62,S62,T62,V62,A62))),""), "-",""))</f>
        <v/>
      </c>
      <c r="L62" s="3" t="str">
        <f xml:space="preserve"> IF(K62="","",  IFERROR(VLOOKUP(I62,Resources!$B$1:$H$1503,5,FALSE)-LEN(K62),0))</f>
        <v/>
      </c>
      <c r="M62" s="3" t="str">
        <f>IF(K62="","",IFERROR(matches(K62,VLOOKUP(I62,Resources!$A$2:$AA$1503,16,FALSE)),FALSE))</f>
        <v/>
      </c>
      <c r="N62" s="3" t="e">
        <f>VLOOKUP(E62,Enviroments!$A$3:$D$59,1,FALSE)</f>
        <v>#N/A</v>
      </c>
      <c r="O62" s="3" t="e">
        <f>VLOOKUP(E62,Enviroments!$A$3:$D$59,2,FALSE)</f>
        <v>#N/A</v>
      </c>
      <c r="P62" s="3" t="e">
        <f>VLOOKUP(E62,Enviroments!$A$3:$D$59,3,FALSE)</f>
        <v>#N/A</v>
      </c>
      <c r="Q62" s="3" t="e">
        <f>VLOOKUP(E62,Enviroments!$A$3:$D$59,4,FALSE)</f>
        <v>#N/A</v>
      </c>
      <c r="R62" s="3" t="e">
        <f>VLOOKUP(H62,AzureRegions!$A$4:$B$1493,1,FALSE)</f>
        <v>#N/A</v>
      </c>
      <c r="S62" s="3" t="e">
        <f>VLOOKUP(H62,AzureRegions!$A$4:$B$1493,2,FALSE)</f>
        <v>#N/A</v>
      </c>
      <c r="T62" s="3" t="e">
        <f>VLOOKUP(H62,AzureRegions!$A$4:$C$1493,3,FALSE)</f>
        <v>#N/A</v>
      </c>
      <c r="U62" s="3" t="e">
        <f>VLOOKUP(I62,Resources!$A$2:$AA$1503,2,FALSE)</f>
        <v>#N/A</v>
      </c>
      <c r="V62" s="3" t="e">
        <f>VLOOKUP(I62,Resources!$A$2:$H$1503,6,FALSE)</f>
        <v>#N/A</v>
      </c>
      <c r="W62" s="3" t="str">
        <f>VLOOKUP($H$2,Casing!$A$4:$A$60,1,FALSE)</f>
        <v>Lower</v>
      </c>
      <c r="X62" s="14" t="str">
        <f t="shared" si="1"/>
        <v>001</v>
      </c>
      <c r="Y62" s="3" t="str">
        <f>IFERROR(VLOOKUP(F62,Func!$A$4:$G$1500,2,FALSE),"none")</f>
        <v>none</v>
      </c>
      <c r="Z62" s="3" t="e">
        <f>VLOOKUP(I62,Resources!$A$2:$AA$1503,18,FALSE)</f>
        <v>#N/A</v>
      </c>
      <c r="AA62" s="3" t="str">
        <f>IFERROR(VLOOKUP(B62,Orgs!$A$4:$G$1500,2,FALSE),"none")</f>
        <v>none</v>
      </c>
      <c r="AB62" s="3" t="str">
        <f>IFERROR(VLOOKUP(C62,UnitsDepts!$A$4:$G$1500,2,FALSE),"none")</f>
        <v>none</v>
      </c>
      <c r="AC62" s="3" t="str">
        <f>IFERROR(VLOOKUP(D62,ProjAppSvc!$A$4:$G$1500,2,FALSE),"none")</f>
        <v>none</v>
      </c>
    </row>
    <row r="63" spans="1:29" x14ac:dyDescent="0.45">
      <c r="A63" s="14" t="s">
        <v>23</v>
      </c>
      <c r="B63" s="14"/>
      <c r="C63" s="14"/>
      <c r="D63" s="14"/>
      <c r="H63" s="8"/>
      <c r="I63" s="3"/>
      <c r="J63" s="3" t="str">
        <f t="shared" si="2"/>
        <v/>
      </c>
      <c r="K63" s="3" t="str">
        <f>IF(ISNUMBER(SEARCH("-",V63)),IFERROR(IF($H$2="Lower", LOWER(ComputeResourceName(Z63,#REF!,#REF!,G63,N63,O63,P63,Q63,S63,T63,V63,A63)), UPPER(ComputeResourceName(Z63,#REF!,#REF!,G63,N63,O63,P63,Q63,S63,T63,V63,A63))),""),SUBSTITUTE(IFERROR(IF($H$2="Lower", LOWER(ComputeResourceName(#REF!,#REF!,#REF!,G63,N63,O63,P63,Q63,S63,T63,V63,A63)), UPPER(ComputeResourceName(#REF!,#REF!,#REF!,G63,N63,O63,P63,Q63,S63,T63,V63,A63))),""), "-",""))</f>
        <v/>
      </c>
      <c r="L63" s="3" t="str">
        <f xml:space="preserve"> IF(K63="","",  IFERROR(VLOOKUP(I63,Resources!$B$1:$H$1503,5,FALSE)-LEN(K63),0))</f>
        <v/>
      </c>
      <c r="M63" s="3" t="str">
        <f>IF(K63="","",IFERROR(matches(K63,VLOOKUP(I63,Resources!$A$2:$AA$1503,16,FALSE)),FALSE))</f>
        <v/>
      </c>
      <c r="N63" s="3" t="e">
        <f>VLOOKUP(E63,Enviroments!$A$3:$D$59,1,FALSE)</f>
        <v>#N/A</v>
      </c>
      <c r="O63" s="3" t="e">
        <f>VLOOKUP(E63,Enviroments!$A$3:$D$59,2,FALSE)</f>
        <v>#N/A</v>
      </c>
      <c r="P63" s="3" t="e">
        <f>VLOOKUP(E63,Enviroments!$A$3:$D$59,3,FALSE)</f>
        <v>#N/A</v>
      </c>
      <c r="Q63" s="3" t="e">
        <f>VLOOKUP(E63,Enviroments!$A$3:$D$59,4,FALSE)</f>
        <v>#N/A</v>
      </c>
      <c r="R63" s="3" t="e">
        <f>VLOOKUP(H63,AzureRegions!$A$4:$B$1493,1,FALSE)</f>
        <v>#N/A</v>
      </c>
      <c r="S63" s="3" t="e">
        <f>VLOOKUP(H63,AzureRegions!$A$4:$B$1493,2,FALSE)</f>
        <v>#N/A</v>
      </c>
      <c r="T63" s="3" t="e">
        <f>VLOOKUP(H63,AzureRegions!$A$4:$C$1493,3,FALSE)</f>
        <v>#N/A</v>
      </c>
      <c r="U63" s="3" t="e">
        <f>VLOOKUP(I63,Resources!$A$2:$AA$1503,2,FALSE)</f>
        <v>#N/A</v>
      </c>
      <c r="V63" s="3" t="e">
        <f>VLOOKUP(I63,Resources!$A$2:$H$1503,6,FALSE)</f>
        <v>#N/A</v>
      </c>
      <c r="W63" s="3" t="str">
        <f>VLOOKUP($H$2,Casing!$A$4:$A$60,1,FALSE)</f>
        <v>Lower</v>
      </c>
      <c r="X63" s="14" t="str">
        <f t="shared" si="1"/>
        <v>001</v>
      </c>
      <c r="Y63" s="3" t="str">
        <f>IFERROR(VLOOKUP(F63,Func!$A$4:$G$1500,2,FALSE),"none")</f>
        <v>none</v>
      </c>
      <c r="Z63" s="3" t="e">
        <f>VLOOKUP(I63,Resources!$A$2:$AA$1503,18,FALSE)</f>
        <v>#N/A</v>
      </c>
      <c r="AA63" s="3" t="str">
        <f>IFERROR(VLOOKUP(B63,Orgs!$A$4:$G$1500,2,FALSE),"none")</f>
        <v>none</v>
      </c>
      <c r="AB63" s="3" t="str">
        <f>IFERROR(VLOOKUP(C63,UnitsDepts!$A$4:$G$1500,2,FALSE),"none")</f>
        <v>none</v>
      </c>
      <c r="AC63" s="3" t="str">
        <f>IFERROR(VLOOKUP(D63,ProjAppSvc!$A$4:$G$1500,2,FALSE),"none")</f>
        <v>none</v>
      </c>
    </row>
    <row r="64" spans="1:29" x14ac:dyDescent="0.45">
      <c r="A64" s="14" t="s">
        <v>23</v>
      </c>
      <c r="B64" s="14"/>
      <c r="C64" s="14"/>
      <c r="D64" s="14"/>
      <c r="H64" s="8"/>
      <c r="I64" s="3"/>
      <c r="J64" s="3" t="str">
        <f t="shared" si="2"/>
        <v/>
      </c>
      <c r="K64" s="3" t="str">
        <f>IF(ISNUMBER(SEARCH("-",V64)),IFERROR(IF($H$2="Lower", LOWER(ComputeResourceName(Z64,#REF!,#REF!,G64,N64,O64,P64,Q64,S64,T64,V64,A64)), UPPER(ComputeResourceName(Z64,#REF!,#REF!,G64,N64,O64,P64,Q64,S64,T64,V64,A64))),""),SUBSTITUTE(IFERROR(IF($H$2="Lower", LOWER(ComputeResourceName(#REF!,#REF!,#REF!,G64,N64,O64,P64,Q64,S64,T64,V64,A64)), UPPER(ComputeResourceName(#REF!,#REF!,#REF!,G64,N64,O64,P64,Q64,S64,T64,V64,A64))),""), "-",""))</f>
        <v/>
      </c>
      <c r="L64" s="3" t="str">
        <f xml:space="preserve"> IF(K64="","",  IFERROR(VLOOKUP(I64,Resources!$B$1:$H$1503,5,FALSE)-LEN(K64),0))</f>
        <v/>
      </c>
      <c r="M64" s="3" t="str">
        <f>IF(K64="","",IFERROR(matches(K64,VLOOKUP(I64,Resources!$A$2:$AA$1503,16,FALSE)),FALSE))</f>
        <v/>
      </c>
      <c r="N64" s="3" t="e">
        <f>VLOOKUP(E64,Enviroments!$A$3:$D$59,1,FALSE)</f>
        <v>#N/A</v>
      </c>
      <c r="O64" s="3" t="e">
        <f>VLOOKUP(E64,Enviroments!$A$3:$D$59,2,FALSE)</f>
        <v>#N/A</v>
      </c>
      <c r="P64" s="3" t="e">
        <f>VLOOKUP(E64,Enviroments!$A$3:$D$59,3,FALSE)</f>
        <v>#N/A</v>
      </c>
      <c r="Q64" s="3" t="e">
        <f>VLOOKUP(E64,Enviroments!$A$3:$D$59,4,FALSE)</f>
        <v>#N/A</v>
      </c>
      <c r="R64" s="3" t="e">
        <f>VLOOKUP(H64,AzureRegions!$A$4:$B$1493,1,FALSE)</f>
        <v>#N/A</v>
      </c>
      <c r="S64" s="3" t="e">
        <f>VLOOKUP(H64,AzureRegions!$A$4:$B$1493,2,FALSE)</f>
        <v>#N/A</v>
      </c>
      <c r="T64" s="3" t="e">
        <f>VLOOKUP(H64,AzureRegions!$A$4:$C$1493,3,FALSE)</f>
        <v>#N/A</v>
      </c>
      <c r="U64" s="3" t="e">
        <f>VLOOKUP(I64,Resources!$A$2:$AA$1503,2,FALSE)</f>
        <v>#N/A</v>
      </c>
      <c r="V64" s="3" t="e">
        <f>VLOOKUP(I64,Resources!$A$2:$H$1503,6,FALSE)</f>
        <v>#N/A</v>
      </c>
      <c r="W64" s="3" t="str">
        <f>VLOOKUP($H$2,Casing!$A$4:$A$60,1,FALSE)</f>
        <v>Lower</v>
      </c>
      <c r="X64" s="14" t="str">
        <f t="shared" si="1"/>
        <v>001</v>
      </c>
      <c r="Y64" s="3" t="str">
        <f>IFERROR(VLOOKUP(F64,Func!$A$4:$G$1500,2,FALSE),"none")</f>
        <v>none</v>
      </c>
      <c r="Z64" s="3" t="e">
        <f>VLOOKUP(I64,Resources!$A$2:$AA$1503,18,FALSE)</f>
        <v>#N/A</v>
      </c>
      <c r="AA64" s="3" t="str">
        <f>IFERROR(VLOOKUP(B64,Orgs!$A$4:$G$1500,2,FALSE),"none")</f>
        <v>none</v>
      </c>
      <c r="AB64" s="3" t="str">
        <f>IFERROR(VLOOKUP(C64,UnitsDepts!$A$4:$G$1500,2,FALSE),"none")</f>
        <v>none</v>
      </c>
      <c r="AC64" s="3" t="str">
        <f>IFERROR(VLOOKUP(D64,ProjAppSvc!$A$4:$G$1500,2,FALSE),"none")</f>
        <v>none</v>
      </c>
    </row>
    <row r="65" spans="1:29" x14ac:dyDescent="0.45">
      <c r="A65" s="14" t="s">
        <v>23</v>
      </c>
      <c r="B65" s="14"/>
      <c r="C65" s="14"/>
      <c r="D65" s="14"/>
      <c r="H65" s="8"/>
      <c r="I65" s="3"/>
      <c r="J65" s="3" t="str">
        <f t="shared" si="2"/>
        <v/>
      </c>
      <c r="K65" s="3" t="str">
        <f>IF(ISNUMBER(SEARCH("-",V65)),IFERROR(IF($H$2="Lower", LOWER(ComputeResourceName(Z65,#REF!,#REF!,G65,N65,O65,P65,Q65,S65,T65,V65,A65)), UPPER(ComputeResourceName(Z65,#REF!,#REF!,G65,N65,O65,P65,Q65,S65,T65,V65,A65))),""),SUBSTITUTE(IFERROR(IF($H$2="Lower", LOWER(ComputeResourceName(#REF!,#REF!,#REF!,G65,N65,O65,P65,Q65,S65,T65,V65,A65)), UPPER(ComputeResourceName(#REF!,#REF!,#REF!,G65,N65,O65,P65,Q65,S65,T65,V65,A65))),""), "-",""))</f>
        <v/>
      </c>
      <c r="L65" s="3" t="str">
        <f xml:space="preserve"> IF(K65="","",  IFERROR(VLOOKUP(I65,Resources!$B$1:$H$1503,5,FALSE)-LEN(K65),0))</f>
        <v/>
      </c>
      <c r="M65" s="3" t="str">
        <f>IF(K65="","",IFERROR(matches(K65,VLOOKUP(I65,Resources!$A$2:$AA$1503,16,FALSE)),FALSE))</f>
        <v/>
      </c>
      <c r="N65" s="3" t="e">
        <f>VLOOKUP(E65,Enviroments!$A$3:$D$59,1,FALSE)</f>
        <v>#N/A</v>
      </c>
      <c r="O65" s="3" t="e">
        <f>VLOOKUP(E65,Enviroments!$A$3:$D$59,2,FALSE)</f>
        <v>#N/A</v>
      </c>
      <c r="P65" s="3" t="e">
        <f>VLOOKUP(E65,Enviroments!$A$3:$D$59,3,FALSE)</f>
        <v>#N/A</v>
      </c>
      <c r="Q65" s="3" t="e">
        <f>VLOOKUP(E65,Enviroments!$A$3:$D$59,4,FALSE)</f>
        <v>#N/A</v>
      </c>
      <c r="R65" s="3" t="e">
        <f>VLOOKUP(H65,AzureRegions!$A$4:$B$1493,1,FALSE)</f>
        <v>#N/A</v>
      </c>
      <c r="S65" s="3" t="e">
        <f>VLOOKUP(H65,AzureRegions!$A$4:$B$1493,2,FALSE)</f>
        <v>#N/A</v>
      </c>
      <c r="T65" s="3" t="e">
        <f>VLOOKUP(H65,AzureRegions!$A$4:$C$1493,3,FALSE)</f>
        <v>#N/A</v>
      </c>
      <c r="U65" s="3" t="e">
        <f>VLOOKUP(I65,Resources!$A$2:$AA$1503,2,FALSE)</f>
        <v>#N/A</v>
      </c>
      <c r="V65" s="3" t="e">
        <f>VLOOKUP(I65,Resources!$A$2:$H$1503,6,FALSE)</f>
        <v>#N/A</v>
      </c>
      <c r="W65" s="3" t="str">
        <f>VLOOKUP($H$2,Casing!$A$4:$A$60,1,FALSE)</f>
        <v>Lower</v>
      </c>
      <c r="X65" s="14" t="str">
        <f t="shared" si="1"/>
        <v>001</v>
      </c>
      <c r="Y65" s="3" t="str">
        <f>IFERROR(VLOOKUP(F65,Func!$A$4:$G$1500,2,FALSE),"none")</f>
        <v>none</v>
      </c>
      <c r="Z65" s="3" t="e">
        <f>VLOOKUP(I65,Resources!$A$2:$AA$1503,18,FALSE)</f>
        <v>#N/A</v>
      </c>
      <c r="AA65" s="3" t="str">
        <f>IFERROR(VLOOKUP(B65,Orgs!$A$4:$G$1500,2,FALSE),"none")</f>
        <v>none</v>
      </c>
      <c r="AB65" s="3" t="str">
        <f>IFERROR(VLOOKUP(C65,UnitsDepts!$A$4:$G$1500,2,FALSE),"none")</f>
        <v>none</v>
      </c>
      <c r="AC65" s="3" t="str">
        <f>IFERROR(VLOOKUP(D65,ProjAppSvc!$A$4:$G$1500,2,FALSE),"none")</f>
        <v>none</v>
      </c>
    </row>
    <row r="66" spans="1:29" x14ac:dyDescent="0.45">
      <c r="A66" s="14" t="s">
        <v>23</v>
      </c>
      <c r="B66" s="14"/>
      <c r="C66" s="14"/>
      <c r="D66" s="14"/>
      <c r="H66" s="8"/>
      <c r="I66" s="3"/>
      <c r="J66" s="3" t="str">
        <f t="shared" si="2"/>
        <v/>
      </c>
      <c r="K66" s="3" t="str">
        <f>IF(ISNUMBER(SEARCH("-",V66)),IFERROR(IF($H$2="Lower", LOWER(ComputeResourceName(Z66,#REF!,#REF!,G66,N66,O66,P66,Q66,S66,T66,V66,A66)), UPPER(ComputeResourceName(Z66,#REF!,#REF!,G66,N66,O66,P66,Q66,S66,T66,V66,A66))),""),SUBSTITUTE(IFERROR(IF($H$2="Lower", LOWER(ComputeResourceName(#REF!,#REF!,#REF!,G66,N66,O66,P66,Q66,S66,T66,V66,A66)), UPPER(ComputeResourceName(#REF!,#REF!,#REF!,G66,N66,O66,P66,Q66,S66,T66,V66,A66))),""), "-",""))</f>
        <v/>
      </c>
      <c r="L66" s="3" t="str">
        <f xml:space="preserve"> IF(K66="","",  IFERROR(VLOOKUP(I66,Resources!$B$1:$H$1503,5,FALSE)-LEN(K66),0))</f>
        <v/>
      </c>
      <c r="M66" s="3" t="str">
        <f>IF(K66="","",IFERROR(matches(K66,VLOOKUP(I66,Resources!$A$2:$AA$1503,16,FALSE)),FALSE))</f>
        <v/>
      </c>
      <c r="N66" s="3" t="e">
        <f>VLOOKUP(E66,Enviroments!$A$3:$D$59,1,FALSE)</f>
        <v>#N/A</v>
      </c>
      <c r="O66" s="3" t="e">
        <f>VLOOKUP(E66,Enviroments!$A$3:$D$59,2,FALSE)</f>
        <v>#N/A</v>
      </c>
      <c r="P66" s="3" t="e">
        <f>VLOOKUP(E66,Enviroments!$A$3:$D$59,3,FALSE)</f>
        <v>#N/A</v>
      </c>
      <c r="Q66" s="3" t="e">
        <f>VLOOKUP(E66,Enviroments!$A$3:$D$59,4,FALSE)</f>
        <v>#N/A</v>
      </c>
      <c r="R66" s="3" t="e">
        <f>VLOOKUP(H66,AzureRegions!$A$4:$B$1493,1,FALSE)</f>
        <v>#N/A</v>
      </c>
      <c r="S66" s="3" t="e">
        <f>VLOOKUP(H66,AzureRegions!$A$4:$B$1493,2,FALSE)</f>
        <v>#N/A</v>
      </c>
      <c r="T66" s="3" t="e">
        <f>VLOOKUP(H66,AzureRegions!$A$4:$C$1493,3,FALSE)</f>
        <v>#N/A</v>
      </c>
      <c r="U66" s="3" t="e">
        <f>VLOOKUP(I66,Resources!$A$2:$AA$1503,2,FALSE)</f>
        <v>#N/A</v>
      </c>
      <c r="V66" s="3" t="e">
        <f>VLOOKUP(I66,Resources!$A$2:$H$1503,6,FALSE)</f>
        <v>#N/A</v>
      </c>
      <c r="W66" s="3" t="str">
        <f>VLOOKUP($H$2,Casing!$A$4:$A$60,1,FALSE)</f>
        <v>Lower</v>
      </c>
      <c r="X66" s="14" t="str">
        <f t="shared" si="1"/>
        <v>001</v>
      </c>
      <c r="Y66" s="3" t="str">
        <f>IFERROR(VLOOKUP(F66,Func!$A$4:$G$1500,2,FALSE),"none")</f>
        <v>none</v>
      </c>
      <c r="Z66" s="3" t="e">
        <f>VLOOKUP(I66,Resources!$A$2:$AA$1503,18,FALSE)</f>
        <v>#N/A</v>
      </c>
      <c r="AA66" s="3" t="str">
        <f>IFERROR(VLOOKUP(B66,Orgs!$A$4:$G$1500,2,FALSE),"none")</f>
        <v>none</v>
      </c>
      <c r="AB66" s="3" t="str">
        <f>IFERROR(VLOOKUP(C66,UnitsDepts!$A$4:$G$1500,2,FALSE),"none")</f>
        <v>none</v>
      </c>
      <c r="AC66" s="3" t="str">
        <f>IFERROR(VLOOKUP(D66,ProjAppSvc!$A$4:$G$1500,2,FALSE),"none")</f>
        <v>none</v>
      </c>
    </row>
    <row r="67" spans="1:29" x14ac:dyDescent="0.45">
      <c r="A67" s="14" t="s">
        <v>23</v>
      </c>
      <c r="B67" s="14"/>
      <c r="C67" s="14"/>
      <c r="D67" s="14"/>
      <c r="H67" s="8"/>
      <c r="I67" s="3"/>
      <c r="J67" s="3" t="str">
        <f t="shared" si="2"/>
        <v/>
      </c>
      <c r="K67" s="3" t="str">
        <f>IF(ISNUMBER(SEARCH("-",V67)),IFERROR(IF($H$2="Lower", LOWER(ComputeResourceName(Z67,#REF!,#REF!,G67,N67,O67,P67,Q67,S67,T67,V67,A67)), UPPER(ComputeResourceName(Z67,#REF!,#REF!,G67,N67,O67,P67,Q67,S67,T67,V67,A67))),""),SUBSTITUTE(IFERROR(IF($H$2="Lower", LOWER(ComputeResourceName(#REF!,#REF!,#REF!,G67,N67,O67,P67,Q67,S67,T67,V67,A67)), UPPER(ComputeResourceName(#REF!,#REF!,#REF!,G67,N67,O67,P67,Q67,S67,T67,V67,A67))),""), "-",""))</f>
        <v/>
      </c>
      <c r="L67" s="3" t="str">
        <f xml:space="preserve"> IF(K67="","",  IFERROR(VLOOKUP(I67,Resources!$B$1:$H$1503,5,FALSE)-LEN(K67),0))</f>
        <v/>
      </c>
      <c r="M67" s="3" t="str">
        <f>IF(K67="","",IFERROR(matches(K67,VLOOKUP(I67,Resources!$A$2:$AA$1503,16,FALSE)),FALSE))</f>
        <v/>
      </c>
      <c r="N67" s="3" t="e">
        <f>VLOOKUP(E67,Enviroments!$A$3:$D$59,1,FALSE)</f>
        <v>#N/A</v>
      </c>
      <c r="O67" s="3" t="e">
        <f>VLOOKUP(E67,Enviroments!$A$3:$D$59,2,FALSE)</f>
        <v>#N/A</v>
      </c>
      <c r="P67" s="3" t="e">
        <f>VLOOKUP(E67,Enviroments!$A$3:$D$59,3,FALSE)</f>
        <v>#N/A</v>
      </c>
      <c r="Q67" s="3" t="e">
        <f>VLOOKUP(E67,Enviroments!$A$3:$D$59,4,FALSE)</f>
        <v>#N/A</v>
      </c>
      <c r="R67" s="3" t="e">
        <f>VLOOKUP(H67,AzureRegions!$A$4:$B$1493,1,FALSE)</f>
        <v>#N/A</v>
      </c>
      <c r="S67" s="3" t="e">
        <f>VLOOKUP(H67,AzureRegions!$A$4:$B$1493,2,FALSE)</f>
        <v>#N/A</v>
      </c>
      <c r="T67" s="3" t="e">
        <f>VLOOKUP(H67,AzureRegions!$A$4:$C$1493,3,FALSE)</f>
        <v>#N/A</v>
      </c>
      <c r="U67" s="3" t="e">
        <f>VLOOKUP(I67,Resources!$A$2:$AA$1503,2,FALSE)</f>
        <v>#N/A</v>
      </c>
      <c r="V67" s="3" t="e">
        <f>VLOOKUP(I67,Resources!$A$2:$H$1503,6,FALSE)</f>
        <v>#N/A</v>
      </c>
      <c r="W67" s="3" t="str">
        <f>VLOOKUP($H$2,Casing!$A$4:$A$60,1,FALSE)</f>
        <v>Lower</v>
      </c>
      <c r="X67" s="14" t="str">
        <f t="shared" si="1"/>
        <v>001</v>
      </c>
      <c r="Y67" s="3" t="str">
        <f>IFERROR(VLOOKUP(F67,Func!$A$4:$G$1500,2,FALSE),"none")</f>
        <v>none</v>
      </c>
      <c r="Z67" s="3" t="e">
        <f>VLOOKUP(I67,Resources!$A$2:$AA$1503,18,FALSE)</f>
        <v>#N/A</v>
      </c>
      <c r="AA67" s="3" t="str">
        <f>IFERROR(VLOOKUP(B67,Orgs!$A$4:$G$1500,2,FALSE),"none")</f>
        <v>none</v>
      </c>
      <c r="AB67" s="3" t="str">
        <f>IFERROR(VLOOKUP(C67,UnitsDepts!$A$4:$G$1500,2,FALSE),"none")</f>
        <v>none</v>
      </c>
      <c r="AC67" s="3" t="str">
        <f>IFERROR(VLOOKUP(D67,ProjAppSvc!$A$4:$G$1500,2,FALSE),"none")</f>
        <v>none</v>
      </c>
    </row>
    <row r="68" spans="1:29" x14ac:dyDescent="0.45">
      <c r="A68" s="14" t="s">
        <v>23</v>
      </c>
      <c r="B68" s="14"/>
      <c r="C68" s="14"/>
      <c r="D68" s="14"/>
      <c r="H68" s="8"/>
      <c r="I68" s="3"/>
      <c r="J68" s="3" t="str">
        <f t="shared" si="2"/>
        <v/>
      </c>
      <c r="K68" s="3" t="str">
        <f>IF(ISNUMBER(SEARCH("-",V68)),IFERROR(IF($H$2="Lower", LOWER(ComputeResourceName(Z68,#REF!,#REF!,G68,N68,O68,P68,Q68,S68,T68,V68,A68)), UPPER(ComputeResourceName(Z68,#REF!,#REF!,G68,N68,O68,P68,Q68,S68,T68,V68,A68))),""),SUBSTITUTE(IFERROR(IF($H$2="Lower", LOWER(ComputeResourceName(#REF!,#REF!,#REF!,G68,N68,O68,P68,Q68,S68,T68,V68,A68)), UPPER(ComputeResourceName(#REF!,#REF!,#REF!,G68,N68,O68,P68,Q68,S68,T68,V68,A68))),""), "-",""))</f>
        <v/>
      </c>
      <c r="L68" s="3" t="str">
        <f xml:space="preserve"> IF(K68="","",  IFERROR(VLOOKUP(I68,Resources!$B$1:$H$1503,5,FALSE)-LEN(K68),0))</f>
        <v/>
      </c>
      <c r="M68" s="3" t="str">
        <f>IF(K68="","",IFERROR(matches(K68,VLOOKUP(I68,Resources!$A$2:$AA$1503,16,FALSE)),FALSE))</f>
        <v/>
      </c>
      <c r="N68" s="3" t="e">
        <f>VLOOKUP(E68,Enviroments!$A$3:$D$59,1,FALSE)</f>
        <v>#N/A</v>
      </c>
      <c r="O68" s="3" t="e">
        <f>VLOOKUP(E68,Enviroments!$A$3:$D$59,2,FALSE)</f>
        <v>#N/A</v>
      </c>
      <c r="P68" s="3" t="e">
        <f>VLOOKUP(E68,Enviroments!$A$3:$D$59,3,FALSE)</f>
        <v>#N/A</v>
      </c>
      <c r="Q68" s="3" t="e">
        <f>VLOOKUP(E68,Enviroments!$A$3:$D$59,4,FALSE)</f>
        <v>#N/A</v>
      </c>
      <c r="R68" s="3" t="e">
        <f>VLOOKUP(H68,AzureRegions!$A$4:$B$1493,1,FALSE)</f>
        <v>#N/A</v>
      </c>
      <c r="S68" s="3" t="e">
        <f>VLOOKUP(H68,AzureRegions!$A$4:$B$1493,2,FALSE)</f>
        <v>#N/A</v>
      </c>
      <c r="T68" s="3" t="e">
        <f>VLOOKUP(H68,AzureRegions!$A$4:$C$1493,3,FALSE)</f>
        <v>#N/A</v>
      </c>
      <c r="U68" s="3" t="e">
        <f>VLOOKUP(I68,Resources!$A$2:$AA$1503,2,FALSE)</f>
        <v>#N/A</v>
      </c>
      <c r="V68" s="3" t="e">
        <f>VLOOKUP(I68,Resources!$A$2:$H$1503,6,FALSE)</f>
        <v>#N/A</v>
      </c>
      <c r="W68" s="3" t="str">
        <f>VLOOKUP($H$2,Casing!$A$4:$A$60,1,FALSE)</f>
        <v>Lower</v>
      </c>
      <c r="X68" s="14" t="str">
        <f t="shared" si="1"/>
        <v>001</v>
      </c>
      <c r="Y68" s="3" t="str">
        <f>IFERROR(VLOOKUP(F68,Func!$A$4:$G$1500,2,FALSE),"none")</f>
        <v>none</v>
      </c>
      <c r="Z68" s="3" t="e">
        <f>VLOOKUP(I68,Resources!$A$2:$AA$1503,18,FALSE)</f>
        <v>#N/A</v>
      </c>
      <c r="AA68" s="3" t="str">
        <f>IFERROR(VLOOKUP(B68,Orgs!$A$4:$G$1500,2,FALSE),"none")</f>
        <v>none</v>
      </c>
      <c r="AB68" s="3" t="str">
        <f>IFERROR(VLOOKUP(C68,UnitsDepts!$A$4:$G$1500,2,FALSE),"none")</f>
        <v>none</v>
      </c>
      <c r="AC68" s="3" t="str">
        <f>IFERROR(VLOOKUP(D68,ProjAppSvc!$A$4:$G$1500,2,FALSE),"none")</f>
        <v>none</v>
      </c>
    </row>
    <row r="69" spans="1:29" x14ac:dyDescent="0.45">
      <c r="A69" s="14" t="s">
        <v>23</v>
      </c>
      <c r="B69" s="14"/>
      <c r="C69" s="14"/>
      <c r="D69" s="14"/>
      <c r="H69" s="8"/>
      <c r="I69" s="3"/>
      <c r="J69" s="3" t="str">
        <f t="shared" si="2"/>
        <v/>
      </c>
      <c r="K69" s="3" t="str">
        <f>IF(ISNUMBER(SEARCH("-",V69)),IFERROR(IF($H$2="Lower", LOWER(ComputeResourceName(Z69,#REF!,#REF!,G69,N69,O69,P69,Q69,S69,T69,V69,A69)), UPPER(ComputeResourceName(Z69,#REF!,#REF!,G69,N69,O69,P69,Q69,S69,T69,V69,A69))),""),SUBSTITUTE(IFERROR(IF($H$2="Lower", LOWER(ComputeResourceName(#REF!,#REF!,#REF!,G69,N69,O69,P69,Q69,S69,T69,V69,A69)), UPPER(ComputeResourceName(#REF!,#REF!,#REF!,G69,N69,O69,P69,Q69,S69,T69,V69,A69))),""), "-",""))</f>
        <v/>
      </c>
      <c r="L69" s="3" t="str">
        <f xml:space="preserve"> IF(K69="","",  IFERROR(VLOOKUP(I69,Resources!$B$1:$H$1503,5,FALSE)-LEN(K69),0))</f>
        <v/>
      </c>
      <c r="M69" s="3" t="str">
        <f>IF(K69="","",IFERROR(matches(K69,VLOOKUP(I69,Resources!$A$2:$AA$1503,16,FALSE)),FALSE))</f>
        <v/>
      </c>
      <c r="N69" s="3" t="e">
        <f>VLOOKUP(E69,Enviroments!$A$3:$D$59,1,FALSE)</f>
        <v>#N/A</v>
      </c>
      <c r="O69" s="3" t="e">
        <f>VLOOKUP(E69,Enviroments!$A$3:$D$59,2,FALSE)</f>
        <v>#N/A</v>
      </c>
      <c r="P69" s="3" t="e">
        <f>VLOOKUP(E69,Enviroments!$A$3:$D$59,3,FALSE)</f>
        <v>#N/A</v>
      </c>
      <c r="Q69" s="3" t="e">
        <f>VLOOKUP(E69,Enviroments!$A$3:$D$59,4,FALSE)</f>
        <v>#N/A</v>
      </c>
      <c r="R69" s="3" t="e">
        <f>VLOOKUP(H69,AzureRegions!$A$4:$B$1493,1,FALSE)</f>
        <v>#N/A</v>
      </c>
      <c r="S69" s="3" t="e">
        <f>VLOOKUP(H69,AzureRegions!$A$4:$B$1493,2,FALSE)</f>
        <v>#N/A</v>
      </c>
      <c r="T69" s="3" t="e">
        <f>VLOOKUP(H69,AzureRegions!$A$4:$C$1493,3,FALSE)</f>
        <v>#N/A</v>
      </c>
      <c r="U69" s="3" t="e">
        <f>VLOOKUP(I69,Resources!$A$2:$AA$1503,2,FALSE)</f>
        <v>#N/A</v>
      </c>
      <c r="V69" s="3" t="e">
        <f>VLOOKUP(I69,Resources!$A$2:$H$1503,6,FALSE)</f>
        <v>#N/A</v>
      </c>
      <c r="W69" s="3" t="str">
        <f>VLOOKUP($H$2,Casing!$A$4:$A$60,1,FALSE)</f>
        <v>Lower</v>
      </c>
      <c r="X69" s="14" t="str">
        <f t="shared" si="1"/>
        <v>001</v>
      </c>
      <c r="Y69" s="3" t="str">
        <f>IFERROR(VLOOKUP(F69,Func!$A$4:$G$1500,2,FALSE),"none")</f>
        <v>none</v>
      </c>
      <c r="Z69" s="3" t="e">
        <f>VLOOKUP(I69,Resources!$A$2:$AA$1503,18,FALSE)</f>
        <v>#N/A</v>
      </c>
      <c r="AA69" s="3" t="str">
        <f>IFERROR(VLOOKUP(B69,Orgs!$A$4:$G$1500,2,FALSE),"none")</f>
        <v>none</v>
      </c>
      <c r="AB69" s="3" t="str">
        <f>IFERROR(VLOOKUP(C69,UnitsDepts!$A$4:$G$1500,2,FALSE),"none")</f>
        <v>none</v>
      </c>
      <c r="AC69" s="3" t="str">
        <f>IFERROR(VLOOKUP(D69,ProjAppSvc!$A$4:$G$1500,2,FALSE),"none")</f>
        <v>none</v>
      </c>
    </row>
    <row r="70" spans="1:29" x14ac:dyDescent="0.45">
      <c r="A70" s="14" t="s">
        <v>23</v>
      </c>
      <c r="B70" s="14"/>
      <c r="C70" s="14"/>
      <c r="D70" s="14"/>
      <c r="H70" s="8"/>
      <c r="I70" s="3"/>
      <c r="J70" s="3" t="str">
        <f t="shared" si="2"/>
        <v/>
      </c>
      <c r="K70" s="3" t="str">
        <f>IF(ISNUMBER(SEARCH("-",V70)),IFERROR(IF($H$2="Lower", LOWER(ComputeResourceName(Z70,#REF!,#REF!,G70,N70,O70,P70,Q70,S70,T70,V70,A70)), UPPER(ComputeResourceName(Z70,#REF!,#REF!,G70,N70,O70,P70,Q70,S70,T70,V70,A70))),""),SUBSTITUTE(IFERROR(IF($H$2="Lower", LOWER(ComputeResourceName(#REF!,#REF!,#REF!,G70,N70,O70,P70,Q70,S70,T70,V70,A70)), UPPER(ComputeResourceName(#REF!,#REF!,#REF!,G70,N70,O70,P70,Q70,S70,T70,V70,A70))),""), "-",""))</f>
        <v/>
      </c>
      <c r="L70" s="3" t="str">
        <f xml:space="preserve"> IF(K70="","",  IFERROR(VLOOKUP(I70,Resources!$B$1:$H$1503,5,FALSE)-LEN(K70),0))</f>
        <v/>
      </c>
      <c r="M70" s="3" t="str">
        <f>IF(K70="","",IFERROR(matches(K70,VLOOKUP(I70,Resources!$A$2:$AA$1503,16,FALSE)),FALSE))</f>
        <v/>
      </c>
      <c r="N70" s="3" t="e">
        <f>VLOOKUP(E70,Enviroments!$A$3:$D$59,1,FALSE)</f>
        <v>#N/A</v>
      </c>
      <c r="O70" s="3" t="e">
        <f>VLOOKUP(E70,Enviroments!$A$3:$D$59,2,FALSE)</f>
        <v>#N/A</v>
      </c>
      <c r="P70" s="3" t="e">
        <f>VLOOKUP(E70,Enviroments!$A$3:$D$59,3,FALSE)</f>
        <v>#N/A</v>
      </c>
      <c r="Q70" s="3" t="e">
        <f>VLOOKUP(E70,Enviroments!$A$3:$D$59,4,FALSE)</f>
        <v>#N/A</v>
      </c>
      <c r="R70" s="3" t="e">
        <f>VLOOKUP(H70,AzureRegions!$A$4:$B$1493,1,FALSE)</f>
        <v>#N/A</v>
      </c>
      <c r="S70" s="3" t="e">
        <f>VLOOKUP(H70,AzureRegions!$A$4:$B$1493,2,FALSE)</f>
        <v>#N/A</v>
      </c>
      <c r="T70" s="3" t="e">
        <f>VLOOKUP(H70,AzureRegions!$A$4:$C$1493,3,FALSE)</f>
        <v>#N/A</v>
      </c>
      <c r="U70" s="3" t="e">
        <f>VLOOKUP(I70,Resources!$A$2:$AA$1503,2,FALSE)</f>
        <v>#N/A</v>
      </c>
      <c r="V70" s="3" t="e">
        <f>VLOOKUP(I70,Resources!$A$2:$H$1503,6,FALSE)</f>
        <v>#N/A</v>
      </c>
      <c r="W70" s="3" t="str">
        <f>VLOOKUP($H$2,Casing!$A$4:$A$60,1,FALSE)</f>
        <v>Lower</v>
      </c>
      <c r="X70" s="14" t="str">
        <f t="shared" si="1"/>
        <v>001</v>
      </c>
      <c r="Y70" s="3" t="str">
        <f>IFERROR(VLOOKUP(F70,Func!$A$4:$G$1500,2,FALSE),"none")</f>
        <v>none</v>
      </c>
      <c r="Z70" s="3" t="e">
        <f>VLOOKUP(I70,Resources!$A$2:$AA$1503,18,FALSE)</f>
        <v>#N/A</v>
      </c>
      <c r="AA70" s="3" t="str">
        <f>IFERROR(VLOOKUP(B70,Orgs!$A$4:$G$1500,2,FALSE),"none")</f>
        <v>none</v>
      </c>
      <c r="AB70" s="3" t="str">
        <f>IFERROR(VLOOKUP(C70,UnitsDepts!$A$4:$G$1500,2,FALSE),"none")</f>
        <v>none</v>
      </c>
      <c r="AC70" s="3" t="str">
        <f>IFERROR(VLOOKUP(D70,ProjAppSvc!$A$4:$G$1500,2,FALSE),"none")</f>
        <v>none</v>
      </c>
    </row>
    <row r="71" spans="1:29" x14ac:dyDescent="0.45">
      <c r="A71" s="14" t="s">
        <v>23</v>
      </c>
      <c r="B71" s="14"/>
      <c r="C71" s="14"/>
      <c r="D71" s="14"/>
      <c r="H71" s="8"/>
      <c r="I71" s="3"/>
      <c r="J71" s="3" t="str">
        <f t="shared" si="2"/>
        <v/>
      </c>
      <c r="K71" s="3" t="str">
        <f>IF(ISNUMBER(SEARCH("-",V71)),IFERROR(IF($H$2="Lower", LOWER(ComputeResourceName(Z71,#REF!,#REF!,G71,N71,O71,P71,Q71,S71,T71,V71,A71)), UPPER(ComputeResourceName(Z71,#REF!,#REF!,G71,N71,O71,P71,Q71,S71,T71,V71,A71))),""),SUBSTITUTE(IFERROR(IF($H$2="Lower", LOWER(ComputeResourceName(#REF!,#REF!,#REF!,G71,N71,O71,P71,Q71,S71,T71,V71,A71)), UPPER(ComputeResourceName(#REF!,#REF!,#REF!,G71,N71,O71,P71,Q71,S71,T71,V71,A71))),""), "-",""))</f>
        <v/>
      </c>
      <c r="L71" s="3" t="str">
        <f xml:space="preserve"> IF(K71="","",  IFERROR(VLOOKUP(I71,Resources!$B$1:$H$1503,5,FALSE)-LEN(K71),0))</f>
        <v/>
      </c>
      <c r="M71" s="3" t="str">
        <f>IF(K71="","",IFERROR(matches(K71,VLOOKUP(I71,Resources!$A$2:$AA$1503,16,FALSE)),FALSE))</f>
        <v/>
      </c>
      <c r="N71" s="3" t="e">
        <f>VLOOKUP(E71,Enviroments!$A$3:$D$59,1,FALSE)</f>
        <v>#N/A</v>
      </c>
      <c r="O71" s="3" t="e">
        <f>VLOOKUP(E71,Enviroments!$A$3:$D$59,2,FALSE)</f>
        <v>#N/A</v>
      </c>
      <c r="P71" s="3" t="e">
        <f>VLOOKUP(E71,Enviroments!$A$3:$D$59,3,FALSE)</f>
        <v>#N/A</v>
      </c>
      <c r="Q71" s="3" t="e">
        <f>VLOOKUP(E71,Enviroments!$A$3:$D$59,4,FALSE)</f>
        <v>#N/A</v>
      </c>
      <c r="R71" s="3" t="e">
        <f>VLOOKUP(H71,AzureRegions!$A$4:$B$1493,1,FALSE)</f>
        <v>#N/A</v>
      </c>
      <c r="S71" s="3" t="e">
        <f>VLOOKUP(H71,AzureRegions!$A$4:$B$1493,2,FALSE)</f>
        <v>#N/A</v>
      </c>
      <c r="T71" s="3" t="e">
        <f>VLOOKUP(H71,AzureRegions!$A$4:$C$1493,3,FALSE)</f>
        <v>#N/A</v>
      </c>
      <c r="U71" s="3" t="e">
        <f>VLOOKUP(I71,Resources!$A$2:$AA$1503,2,FALSE)</f>
        <v>#N/A</v>
      </c>
      <c r="V71" s="3" t="e">
        <f>VLOOKUP(I71,Resources!$A$2:$H$1503,6,FALSE)</f>
        <v>#N/A</v>
      </c>
      <c r="W71" s="3" t="str">
        <f>VLOOKUP($H$2,Casing!$A$4:$A$60,1,FALSE)</f>
        <v>Lower</v>
      </c>
      <c r="X71" s="14" t="str">
        <f t="shared" ref="X71:X134" si="3">A71</f>
        <v>001</v>
      </c>
      <c r="Y71" s="3" t="str">
        <f>IFERROR(VLOOKUP(F71,Func!$A$4:$G$1500,2,FALSE),"none")</f>
        <v>none</v>
      </c>
      <c r="Z71" s="3" t="e">
        <f>VLOOKUP(I71,Resources!$A$2:$AA$1503,18,FALSE)</f>
        <v>#N/A</v>
      </c>
      <c r="AA71" s="3" t="str">
        <f>IFERROR(VLOOKUP(B71,Orgs!$A$4:$G$1500,2,FALSE),"none")</f>
        <v>none</v>
      </c>
      <c r="AB71" s="3" t="str">
        <f>IFERROR(VLOOKUP(C71,UnitsDepts!$A$4:$G$1500,2,FALSE),"none")</f>
        <v>none</v>
      </c>
      <c r="AC71" s="3" t="str">
        <f>IFERROR(VLOOKUP(D71,ProjAppSvc!$A$4:$G$1500,2,FALSE),"none")</f>
        <v>none</v>
      </c>
    </row>
    <row r="72" spans="1:29" x14ac:dyDescent="0.45">
      <c r="A72" s="14" t="s">
        <v>23</v>
      </c>
      <c r="B72" s="14"/>
      <c r="C72" s="14"/>
      <c r="D72" s="14"/>
      <c r="H72" s="8"/>
      <c r="I72" s="3"/>
      <c r="J72" s="3" t="str">
        <f t="shared" si="2"/>
        <v/>
      </c>
      <c r="K72" s="3" t="str">
        <f>IF(ISNUMBER(SEARCH("-",V72)),IFERROR(IF($H$2="Lower", LOWER(ComputeResourceName(Z72,#REF!,#REF!,G72,N72,O72,P72,Q72,S72,T72,V72,A72)), UPPER(ComputeResourceName(Z72,#REF!,#REF!,G72,N72,O72,P72,Q72,S72,T72,V72,A72))),""),SUBSTITUTE(IFERROR(IF($H$2="Lower", LOWER(ComputeResourceName(#REF!,#REF!,#REF!,G72,N72,O72,P72,Q72,S72,T72,V72,A72)), UPPER(ComputeResourceName(#REF!,#REF!,#REF!,G72,N72,O72,P72,Q72,S72,T72,V72,A72))),""), "-",""))</f>
        <v/>
      </c>
      <c r="L72" s="3" t="str">
        <f xml:space="preserve"> IF(K72="","",  IFERROR(VLOOKUP(I72,Resources!$B$1:$H$1503,5,FALSE)-LEN(K72),0))</f>
        <v/>
      </c>
      <c r="M72" s="3" t="str">
        <f>IF(K72="","",IFERROR(matches(K72,VLOOKUP(I72,Resources!$A$2:$AA$1503,16,FALSE)),FALSE))</f>
        <v/>
      </c>
      <c r="N72" s="3" t="e">
        <f>VLOOKUP(E72,Enviroments!$A$3:$D$59,1,FALSE)</f>
        <v>#N/A</v>
      </c>
      <c r="O72" s="3" t="e">
        <f>VLOOKUP(E72,Enviroments!$A$3:$D$59,2,FALSE)</f>
        <v>#N/A</v>
      </c>
      <c r="P72" s="3" t="e">
        <f>VLOOKUP(E72,Enviroments!$A$3:$D$59,3,FALSE)</f>
        <v>#N/A</v>
      </c>
      <c r="Q72" s="3" t="e">
        <f>VLOOKUP(E72,Enviroments!$A$3:$D$59,4,FALSE)</f>
        <v>#N/A</v>
      </c>
      <c r="R72" s="3" t="e">
        <f>VLOOKUP(H72,AzureRegions!$A$4:$B$1493,1,FALSE)</f>
        <v>#N/A</v>
      </c>
      <c r="S72" s="3" t="e">
        <f>VLOOKUP(H72,AzureRegions!$A$4:$B$1493,2,FALSE)</f>
        <v>#N/A</v>
      </c>
      <c r="T72" s="3" t="e">
        <f>VLOOKUP(H72,AzureRegions!$A$4:$C$1493,3,FALSE)</f>
        <v>#N/A</v>
      </c>
      <c r="U72" s="3" t="e">
        <f>VLOOKUP(I72,Resources!$A$2:$AA$1503,2,FALSE)</f>
        <v>#N/A</v>
      </c>
      <c r="V72" s="3" t="e">
        <f>VLOOKUP(I72,Resources!$A$2:$H$1503,6,FALSE)</f>
        <v>#N/A</v>
      </c>
      <c r="W72" s="3" t="str">
        <f>VLOOKUP($H$2,Casing!$A$4:$A$60,1,FALSE)</f>
        <v>Lower</v>
      </c>
      <c r="X72" s="14" t="str">
        <f t="shared" si="3"/>
        <v>001</v>
      </c>
      <c r="Y72" s="3" t="str">
        <f>IFERROR(VLOOKUP(F72,Func!$A$4:$G$1500,2,FALSE),"none")</f>
        <v>none</v>
      </c>
      <c r="Z72" s="3" t="e">
        <f>VLOOKUP(I72,Resources!$A$2:$AA$1503,18,FALSE)</f>
        <v>#N/A</v>
      </c>
      <c r="AA72" s="3" t="str">
        <f>IFERROR(VLOOKUP(B72,Orgs!$A$4:$G$1500,2,FALSE),"none")</f>
        <v>none</v>
      </c>
      <c r="AB72" s="3" t="str">
        <f>IFERROR(VLOOKUP(C72,UnitsDepts!$A$4:$G$1500,2,FALSE),"none")</f>
        <v>none</v>
      </c>
      <c r="AC72" s="3" t="str">
        <f>IFERROR(VLOOKUP(D72,ProjAppSvc!$A$4:$G$1500,2,FALSE),"none")</f>
        <v>none</v>
      </c>
    </row>
    <row r="73" spans="1:29" x14ac:dyDescent="0.45">
      <c r="A73" s="14" t="s">
        <v>23</v>
      </c>
      <c r="B73" s="14"/>
      <c r="C73" s="14"/>
      <c r="D73" s="14"/>
      <c r="H73" s="8"/>
      <c r="I73" s="3"/>
      <c r="J73" s="3" t="str">
        <f t="shared" si="2"/>
        <v/>
      </c>
      <c r="K73" s="3" t="str">
        <f>IF(ISNUMBER(SEARCH("-",V73)),IFERROR(IF($H$2="Lower", LOWER(ComputeResourceName(Z73,#REF!,#REF!,G73,N73,O73,P73,Q73,S73,T73,V73,A73)), UPPER(ComputeResourceName(Z73,#REF!,#REF!,G73,N73,O73,P73,Q73,S73,T73,V73,A73))),""),SUBSTITUTE(IFERROR(IF($H$2="Lower", LOWER(ComputeResourceName(#REF!,#REF!,#REF!,G73,N73,O73,P73,Q73,S73,T73,V73,A73)), UPPER(ComputeResourceName(#REF!,#REF!,#REF!,G73,N73,O73,P73,Q73,S73,T73,V73,A73))),""), "-",""))</f>
        <v/>
      </c>
      <c r="L73" s="3" t="str">
        <f xml:space="preserve"> IF(K73="","",  IFERROR(VLOOKUP(I73,Resources!$B$1:$H$1503,5,FALSE)-LEN(K73),0))</f>
        <v/>
      </c>
      <c r="M73" s="3" t="str">
        <f>IF(K73="","",IFERROR(matches(K73,VLOOKUP(I73,Resources!$A$2:$AA$1503,16,FALSE)),FALSE))</f>
        <v/>
      </c>
      <c r="N73" s="3" t="e">
        <f>VLOOKUP(E73,Enviroments!$A$3:$D$59,1,FALSE)</f>
        <v>#N/A</v>
      </c>
      <c r="O73" s="3" t="e">
        <f>VLOOKUP(E73,Enviroments!$A$3:$D$59,2,FALSE)</f>
        <v>#N/A</v>
      </c>
      <c r="P73" s="3" t="e">
        <f>VLOOKUP(E73,Enviroments!$A$3:$D$59,3,FALSE)</f>
        <v>#N/A</v>
      </c>
      <c r="Q73" s="3" t="e">
        <f>VLOOKUP(E73,Enviroments!$A$3:$D$59,4,FALSE)</f>
        <v>#N/A</v>
      </c>
      <c r="R73" s="3" t="e">
        <f>VLOOKUP(H73,AzureRegions!$A$4:$B$1493,1,FALSE)</f>
        <v>#N/A</v>
      </c>
      <c r="S73" s="3" t="e">
        <f>VLOOKUP(H73,AzureRegions!$A$4:$B$1493,2,FALSE)</f>
        <v>#N/A</v>
      </c>
      <c r="T73" s="3" t="e">
        <f>VLOOKUP(H73,AzureRegions!$A$4:$C$1493,3,FALSE)</f>
        <v>#N/A</v>
      </c>
      <c r="U73" s="3" t="e">
        <f>VLOOKUP(I73,Resources!$A$2:$AA$1503,2,FALSE)</f>
        <v>#N/A</v>
      </c>
      <c r="V73" s="3" t="e">
        <f>VLOOKUP(I73,Resources!$A$2:$H$1503,6,FALSE)</f>
        <v>#N/A</v>
      </c>
      <c r="W73" s="3" t="str">
        <f>VLOOKUP($H$2,Casing!$A$4:$A$60,1,FALSE)</f>
        <v>Lower</v>
      </c>
      <c r="X73" s="14" t="str">
        <f t="shared" si="3"/>
        <v>001</v>
      </c>
      <c r="Y73" s="3" t="str">
        <f>IFERROR(VLOOKUP(F73,Func!$A$4:$G$1500,2,FALSE),"none")</f>
        <v>none</v>
      </c>
      <c r="Z73" s="3" t="e">
        <f>VLOOKUP(I73,Resources!$A$2:$AA$1503,18,FALSE)</f>
        <v>#N/A</v>
      </c>
      <c r="AA73" s="3" t="str">
        <f>IFERROR(VLOOKUP(B73,Orgs!$A$4:$G$1500,2,FALSE),"none")</f>
        <v>none</v>
      </c>
      <c r="AB73" s="3" t="str">
        <f>IFERROR(VLOOKUP(C73,UnitsDepts!$A$4:$G$1500,2,FALSE),"none")</f>
        <v>none</v>
      </c>
      <c r="AC73" s="3" t="str">
        <f>IFERROR(VLOOKUP(D73,ProjAppSvc!$A$4:$G$1500,2,FALSE),"none")</f>
        <v>none</v>
      </c>
    </row>
    <row r="74" spans="1:29" x14ac:dyDescent="0.45">
      <c r="A74" s="14" t="s">
        <v>23</v>
      </c>
      <c r="B74" s="14"/>
      <c r="C74" s="14"/>
      <c r="D74" s="14"/>
      <c r="H74" s="8"/>
      <c r="I74" s="3"/>
      <c r="J74" s="3" t="str">
        <f t="shared" si="2"/>
        <v/>
      </c>
      <c r="K74" s="3" t="str">
        <f>IF(ISNUMBER(SEARCH("-",V74)),IFERROR(IF($H$2="Lower", LOWER(ComputeResourceName(Z74,#REF!,#REF!,G74,N74,O74,P74,Q74,S74,T74,V74,A74)), UPPER(ComputeResourceName(Z74,#REF!,#REF!,G74,N74,O74,P74,Q74,S74,T74,V74,A74))),""),SUBSTITUTE(IFERROR(IF($H$2="Lower", LOWER(ComputeResourceName(#REF!,#REF!,#REF!,G74,N74,O74,P74,Q74,S74,T74,V74,A74)), UPPER(ComputeResourceName(#REF!,#REF!,#REF!,G74,N74,O74,P74,Q74,S74,T74,V74,A74))),""), "-",""))</f>
        <v/>
      </c>
      <c r="L74" s="3" t="str">
        <f xml:space="preserve"> IF(K74="","",  IFERROR(VLOOKUP(I74,Resources!$B$1:$H$1503,5,FALSE)-LEN(K74),0))</f>
        <v/>
      </c>
      <c r="M74" s="3" t="str">
        <f>IF(K74="","",IFERROR(matches(K74,VLOOKUP(I74,Resources!$A$2:$AA$1503,16,FALSE)),FALSE))</f>
        <v/>
      </c>
      <c r="N74" s="3" t="e">
        <f>VLOOKUP(E74,Enviroments!$A$3:$D$59,1,FALSE)</f>
        <v>#N/A</v>
      </c>
      <c r="O74" s="3" t="e">
        <f>VLOOKUP(E74,Enviroments!$A$3:$D$59,2,FALSE)</f>
        <v>#N/A</v>
      </c>
      <c r="P74" s="3" t="e">
        <f>VLOOKUP(E74,Enviroments!$A$3:$D$59,3,FALSE)</f>
        <v>#N/A</v>
      </c>
      <c r="Q74" s="3" t="e">
        <f>VLOOKUP(E74,Enviroments!$A$3:$D$59,4,FALSE)</f>
        <v>#N/A</v>
      </c>
      <c r="R74" s="3" t="e">
        <f>VLOOKUP(H74,AzureRegions!$A$4:$B$1493,1,FALSE)</f>
        <v>#N/A</v>
      </c>
      <c r="S74" s="3" t="e">
        <f>VLOOKUP(H74,AzureRegions!$A$4:$B$1493,2,FALSE)</f>
        <v>#N/A</v>
      </c>
      <c r="T74" s="3" t="e">
        <f>VLOOKUP(H74,AzureRegions!$A$4:$C$1493,3,FALSE)</f>
        <v>#N/A</v>
      </c>
      <c r="U74" s="3" t="e">
        <f>VLOOKUP(I74,Resources!$A$2:$AA$1503,2,FALSE)</f>
        <v>#N/A</v>
      </c>
      <c r="V74" s="3" t="e">
        <f>VLOOKUP(I74,Resources!$A$2:$H$1503,6,FALSE)</f>
        <v>#N/A</v>
      </c>
      <c r="W74" s="3" t="str">
        <f>VLOOKUP($H$2,Casing!$A$4:$A$60,1,FALSE)</f>
        <v>Lower</v>
      </c>
      <c r="X74" s="14" t="str">
        <f t="shared" si="3"/>
        <v>001</v>
      </c>
      <c r="Y74" s="3" t="str">
        <f>IFERROR(VLOOKUP(F74,Func!$A$4:$G$1500,2,FALSE),"none")</f>
        <v>none</v>
      </c>
      <c r="Z74" s="3" t="e">
        <f>VLOOKUP(I74,Resources!$A$2:$AA$1503,18,FALSE)</f>
        <v>#N/A</v>
      </c>
      <c r="AA74" s="3" t="str">
        <f>IFERROR(VLOOKUP(B74,Orgs!$A$4:$G$1500,2,FALSE),"none")</f>
        <v>none</v>
      </c>
      <c r="AB74" s="3" t="str">
        <f>IFERROR(VLOOKUP(C74,UnitsDepts!$A$4:$G$1500,2,FALSE),"none")</f>
        <v>none</v>
      </c>
      <c r="AC74" s="3" t="str">
        <f>IFERROR(VLOOKUP(D74,ProjAppSvc!$A$4:$G$1500,2,FALSE),"none")</f>
        <v>none</v>
      </c>
    </row>
    <row r="75" spans="1:29" x14ac:dyDescent="0.45">
      <c r="A75" s="14" t="s">
        <v>23</v>
      </c>
      <c r="B75" s="14"/>
      <c r="C75" s="14"/>
      <c r="D75" s="14"/>
      <c r="H75" s="8"/>
      <c r="I75" s="3"/>
      <c r="J75" s="3" t="str">
        <f t="shared" si="2"/>
        <v/>
      </c>
      <c r="K75" s="3" t="str">
        <f>IF(ISNUMBER(SEARCH("-",V75)),IFERROR(IF($H$2="Lower", LOWER(ComputeResourceName(Z75,#REF!,#REF!,G75,N75,O75,P75,Q75,S75,T75,V75,A75)), UPPER(ComputeResourceName(Z75,#REF!,#REF!,G75,N75,O75,P75,Q75,S75,T75,V75,A75))),""),SUBSTITUTE(IFERROR(IF($H$2="Lower", LOWER(ComputeResourceName(#REF!,#REF!,#REF!,G75,N75,O75,P75,Q75,S75,T75,V75,A75)), UPPER(ComputeResourceName(#REF!,#REF!,#REF!,G75,N75,O75,P75,Q75,S75,T75,V75,A75))),""), "-",""))</f>
        <v/>
      </c>
      <c r="L75" s="3" t="str">
        <f xml:space="preserve"> IF(K75="","",  IFERROR(VLOOKUP(I75,Resources!$B$1:$H$1503,5,FALSE)-LEN(K75),0))</f>
        <v/>
      </c>
      <c r="M75" s="3" t="str">
        <f>IF(K75="","",IFERROR(matches(K75,VLOOKUP(I75,Resources!$A$2:$AA$1503,16,FALSE)),FALSE))</f>
        <v/>
      </c>
      <c r="N75" s="3" t="e">
        <f>VLOOKUP(E75,Enviroments!$A$3:$D$59,1,FALSE)</f>
        <v>#N/A</v>
      </c>
      <c r="O75" s="3" t="e">
        <f>VLOOKUP(E75,Enviroments!$A$3:$D$59,2,FALSE)</f>
        <v>#N/A</v>
      </c>
      <c r="P75" s="3" t="e">
        <f>VLOOKUP(E75,Enviroments!$A$3:$D$59,3,FALSE)</f>
        <v>#N/A</v>
      </c>
      <c r="Q75" s="3" t="e">
        <f>VLOOKUP(E75,Enviroments!$A$3:$D$59,4,FALSE)</f>
        <v>#N/A</v>
      </c>
      <c r="R75" s="3" t="e">
        <f>VLOOKUP(H75,AzureRegions!$A$4:$B$1493,1,FALSE)</f>
        <v>#N/A</v>
      </c>
      <c r="S75" s="3" t="e">
        <f>VLOOKUP(H75,AzureRegions!$A$4:$B$1493,2,FALSE)</f>
        <v>#N/A</v>
      </c>
      <c r="T75" s="3" t="e">
        <f>VLOOKUP(H75,AzureRegions!$A$4:$C$1493,3,FALSE)</f>
        <v>#N/A</v>
      </c>
      <c r="U75" s="3" t="e">
        <f>VLOOKUP(I75,Resources!$A$2:$AA$1503,2,FALSE)</f>
        <v>#N/A</v>
      </c>
      <c r="V75" s="3" t="e">
        <f>VLOOKUP(I75,Resources!$A$2:$H$1503,6,FALSE)</f>
        <v>#N/A</v>
      </c>
      <c r="W75" s="3" t="str">
        <f>VLOOKUP($H$2,Casing!$A$4:$A$60,1,FALSE)</f>
        <v>Lower</v>
      </c>
      <c r="X75" s="14" t="str">
        <f t="shared" si="3"/>
        <v>001</v>
      </c>
      <c r="Y75" s="3" t="str">
        <f>IFERROR(VLOOKUP(F75,Func!$A$4:$G$1500,2,FALSE),"none")</f>
        <v>none</v>
      </c>
      <c r="Z75" s="3" t="e">
        <f>VLOOKUP(I75,Resources!$A$2:$AA$1503,18,FALSE)</f>
        <v>#N/A</v>
      </c>
      <c r="AA75" s="3" t="str">
        <f>IFERROR(VLOOKUP(B75,Orgs!$A$4:$G$1500,2,FALSE),"none")</f>
        <v>none</v>
      </c>
      <c r="AB75" s="3" t="str">
        <f>IFERROR(VLOOKUP(C75,UnitsDepts!$A$4:$G$1500,2,FALSE),"none")</f>
        <v>none</v>
      </c>
      <c r="AC75" s="3" t="str">
        <f>IFERROR(VLOOKUP(D75,ProjAppSvc!$A$4:$G$1500,2,FALSE),"none")</f>
        <v>none</v>
      </c>
    </row>
    <row r="76" spans="1:29" x14ac:dyDescent="0.45">
      <c r="A76" s="14" t="s">
        <v>23</v>
      </c>
      <c r="B76" s="14"/>
      <c r="C76" s="14"/>
      <c r="D76" s="14"/>
      <c r="H76" s="8"/>
      <c r="I76" s="3"/>
      <c r="J76" s="3" t="str">
        <f t="shared" si="2"/>
        <v/>
      </c>
      <c r="K76" s="3" t="str">
        <f>IF(ISNUMBER(SEARCH("-",V76)),IFERROR(IF($H$2="Lower", LOWER(ComputeResourceName(Z76,#REF!,#REF!,G76,N76,O76,P76,Q76,S76,T76,V76,A76)), UPPER(ComputeResourceName(Z76,#REF!,#REF!,G76,N76,O76,P76,Q76,S76,T76,V76,A76))),""),SUBSTITUTE(IFERROR(IF($H$2="Lower", LOWER(ComputeResourceName(#REF!,#REF!,#REF!,G76,N76,O76,P76,Q76,S76,T76,V76,A76)), UPPER(ComputeResourceName(#REF!,#REF!,#REF!,G76,N76,O76,P76,Q76,S76,T76,V76,A76))),""), "-",""))</f>
        <v/>
      </c>
      <c r="L76" s="3" t="str">
        <f xml:space="preserve"> IF(K76="","",  IFERROR(VLOOKUP(I76,Resources!$B$1:$H$1503,5,FALSE)-LEN(K76),0))</f>
        <v/>
      </c>
      <c r="M76" s="3" t="str">
        <f>IF(K76="","",IFERROR(matches(K76,VLOOKUP(I76,Resources!$A$2:$AA$1503,16,FALSE)),FALSE))</f>
        <v/>
      </c>
      <c r="N76" s="3" t="e">
        <f>VLOOKUP(E76,Enviroments!$A$3:$D$59,1,FALSE)</f>
        <v>#N/A</v>
      </c>
      <c r="O76" s="3" t="e">
        <f>VLOOKUP(E76,Enviroments!$A$3:$D$59,2,FALSE)</f>
        <v>#N/A</v>
      </c>
      <c r="P76" s="3" t="e">
        <f>VLOOKUP(E76,Enviroments!$A$3:$D$59,3,FALSE)</f>
        <v>#N/A</v>
      </c>
      <c r="Q76" s="3" t="e">
        <f>VLOOKUP(E76,Enviroments!$A$3:$D$59,4,FALSE)</f>
        <v>#N/A</v>
      </c>
      <c r="R76" s="3" t="e">
        <f>VLOOKUP(H76,AzureRegions!$A$4:$B$1493,1,FALSE)</f>
        <v>#N/A</v>
      </c>
      <c r="S76" s="3" t="e">
        <f>VLOOKUP(H76,AzureRegions!$A$4:$B$1493,2,FALSE)</f>
        <v>#N/A</v>
      </c>
      <c r="T76" s="3" t="e">
        <f>VLOOKUP(H76,AzureRegions!$A$4:$C$1493,3,FALSE)</f>
        <v>#N/A</v>
      </c>
      <c r="U76" s="3" t="e">
        <f>VLOOKUP(I76,Resources!$A$2:$AA$1503,2,FALSE)</f>
        <v>#N/A</v>
      </c>
      <c r="V76" s="3" t="e">
        <f>VLOOKUP(I76,Resources!$A$2:$H$1503,6,FALSE)</f>
        <v>#N/A</v>
      </c>
      <c r="W76" s="3" t="str">
        <f>VLOOKUP($H$2,Casing!$A$4:$A$60,1,FALSE)</f>
        <v>Lower</v>
      </c>
      <c r="X76" s="14" t="str">
        <f t="shared" si="3"/>
        <v>001</v>
      </c>
      <c r="Y76" s="3" t="str">
        <f>IFERROR(VLOOKUP(F76,Func!$A$4:$G$1500,2,FALSE),"none")</f>
        <v>none</v>
      </c>
      <c r="Z76" s="3" t="e">
        <f>VLOOKUP(I76,Resources!$A$2:$AA$1503,18,FALSE)</f>
        <v>#N/A</v>
      </c>
      <c r="AA76" s="3" t="str">
        <f>IFERROR(VLOOKUP(B76,Orgs!$A$4:$G$1500,2,FALSE),"none")</f>
        <v>none</v>
      </c>
      <c r="AB76" s="3" t="str">
        <f>IFERROR(VLOOKUP(C76,UnitsDepts!$A$4:$G$1500,2,FALSE),"none")</f>
        <v>none</v>
      </c>
      <c r="AC76" s="3" t="str">
        <f>IFERROR(VLOOKUP(D76,ProjAppSvc!$A$4:$G$1500,2,FALSE),"none")</f>
        <v>none</v>
      </c>
    </row>
    <row r="77" spans="1:29" x14ac:dyDescent="0.45">
      <c r="A77" s="14" t="s">
        <v>23</v>
      </c>
      <c r="B77" s="14"/>
      <c r="C77" s="14"/>
      <c r="D77" s="14"/>
      <c r="H77" s="8"/>
      <c r="I77" s="3"/>
      <c r="J77" s="3" t="str">
        <f t="shared" ref="J77:J140" si="4">IFERROR(Z77, "")</f>
        <v/>
      </c>
      <c r="K77" s="3" t="str">
        <f>IF(ISNUMBER(SEARCH("-",V77)),IFERROR(IF($H$2="Lower", LOWER(ComputeResourceName(Z77,#REF!,#REF!,G77,N77,O77,P77,Q77,S77,T77,V77,A77)), UPPER(ComputeResourceName(Z77,#REF!,#REF!,G77,N77,O77,P77,Q77,S77,T77,V77,A77))),""),SUBSTITUTE(IFERROR(IF($H$2="Lower", LOWER(ComputeResourceName(#REF!,#REF!,#REF!,G77,N77,O77,P77,Q77,S77,T77,V77,A77)), UPPER(ComputeResourceName(#REF!,#REF!,#REF!,G77,N77,O77,P77,Q77,S77,T77,V77,A77))),""), "-",""))</f>
        <v/>
      </c>
      <c r="L77" s="3" t="str">
        <f xml:space="preserve"> IF(K77="","",  IFERROR(VLOOKUP(I77,Resources!$B$1:$H$1503,5,FALSE)-LEN(K77),0))</f>
        <v/>
      </c>
      <c r="M77" s="3" t="str">
        <f>IF(K77="","",IFERROR(matches(K77,VLOOKUP(I77,Resources!$A$2:$AA$1503,16,FALSE)),FALSE))</f>
        <v/>
      </c>
      <c r="N77" s="3" t="e">
        <f>VLOOKUP(E77,Enviroments!$A$3:$D$59,1,FALSE)</f>
        <v>#N/A</v>
      </c>
      <c r="O77" s="3" t="e">
        <f>VLOOKUP(E77,Enviroments!$A$3:$D$59,2,FALSE)</f>
        <v>#N/A</v>
      </c>
      <c r="P77" s="3" t="e">
        <f>VLOOKUP(E77,Enviroments!$A$3:$D$59,3,FALSE)</f>
        <v>#N/A</v>
      </c>
      <c r="Q77" s="3" t="e">
        <f>VLOOKUP(E77,Enviroments!$A$3:$D$59,4,FALSE)</f>
        <v>#N/A</v>
      </c>
      <c r="R77" s="3" t="e">
        <f>VLOOKUP(H77,AzureRegions!$A$4:$B$1493,1,FALSE)</f>
        <v>#N/A</v>
      </c>
      <c r="S77" s="3" t="e">
        <f>VLOOKUP(H77,AzureRegions!$A$4:$B$1493,2,FALSE)</f>
        <v>#N/A</v>
      </c>
      <c r="T77" s="3" t="e">
        <f>VLOOKUP(H77,AzureRegions!$A$4:$C$1493,3,FALSE)</f>
        <v>#N/A</v>
      </c>
      <c r="U77" s="3" t="e">
        <f>VLOOKUP(I77,Resources!$A$2:$AA$1503,2,FALSE)</f>
        <v>#N/A</v>
      </c>
      <c r="V77" s="3" t="e">
        <f>VLOOKUP(I77,Resources!$A$2:$H$1503,6,FALSE)</f>
        <v>#N/A</v>
      </c>
      <c r="W77" s="3" t="str">
        <f>VLOOKUP($H$2,Casing!$A$4:$A$60,1,FALSE)</f>
        <v>Lower</v>
      </c>
      <c r="X77" s="14" t="str">
        <f t="shared" si="3"/>
        <v>001</v>
      </c>
      <c r="Y77" s="3" t="str">
        <f>IFERROR(VLOOKUP(F77,Func!$A$4:$G$1500,2,FALSE),"none")</f>
        <v>none</v>
      </c>
      <c r="Z77" s="3" t="e">
        <f>VLOOKUP(I77,Resources!$A$2:$AA$1503,18,FALSE)</f>
        <v>#N/A</v>
      </c>
      <c r="AA77" s="3" t="str">
        <f>IFERROR(VLOOKUP(B77,Orgs!$A$4:$G$1500,2,FALSE),"none")</f>
        <v>none</v>
      </c>
      <c r="AB77" s="3" t="str">
        <f>IFERROR(VLOOKUP(C77,UnitsDepts!$A$4:$G$1500,2,FALSE),"none")</f>
        <v>none</v>
      </c>
      <c r="AC77" s="3" t="str">
        <f>IFERROR(VLOOKUP(D77,ProjAppSvc!$A$4:$G$1500,2,FALSE),"none")</f>
        <v>none</v>
      </c>
    </row>
    <row r="78" spans="1:29" x14ac:dyDescent="0.45">
      <c r="A78" s="14" t="s">
        <v>23</v>
      </c>
      <c r="B78" s="14"/>
      <c r="C78" s="14"/>
      <c r="D78" s="14"/>
      <c r="H78" s="8"/>
      <c r="I78" s="3"/>
      <c r="J78" s="3" t="str">
        <f t="shared" si="4"/>
        <v/>
      </c>
      <c r="K78" s="3" t="str">
        <f>IF(ISNUMBER(SEARCH("-",V78)),IFERROR(IF($H$2="Lower", LOWER(ComputeResourceName(Z78,#REF!,#REF!,G78,N78,O78,P78,Q78,S78,T78,V78,A78)), UPPER(ComputeResourceName(Z78,#REF!,#REF!,G78,N78,O78,P78,Q78,S78,T78,V78,A78))),""),SUBSTITUTE(IFERROR(IF($H$2="Lower", LOWER(ComputeResourceName(#REF!,#REF!,#REF!,G78,N78,O78,P78,Q78,S78,T78,V78,A78)), UPPER(ComputeResourceName(#REF!,#REF!,#REF!,G78,N78,O78,P78,Q78,S78,T78,V78,A78))),""), "-",""))</f>
        <v/>
      </c>
      <c r="L78" s="3" t="str">
        <f xml:space="preserve"> IF(K78="","",  IFERROR(VLOOKUP(I78,Resources!$B$1:$H$1503,5,FALSE)-LEN(K78),0))</f>
        <v/>
      </c>
      <c r="M78" s="3" t="str">
        <f>IF(K78="","",IFERROR(matches(K78,VLOOKUP(I78,Resources!$A$2:$AA$1503,16,FALSE)),FALSE))</f>
        <v/>
      </c>
      <c r="N78" s="3" t="e">
        <f>VLOOKUP(E78,Enviroments!$A$3:$D$59,1,FALSE)</f>
        <v>#N/A</v>
      </c>
      <c r="O78" s="3" t="e">
        <f>VLOOKUP(E78,Enviroments!$A$3:$D$59,2,FALSE)</f>
        <v>#N/A</v>
      </c>
      <c r="P78" s="3" t="e">
        <f>VLOOKUP(E78,Enviroments!$A$3:$D$59,3,FALSE)</f>
        <v>#N/A</v>
      </c>
      <c r="Q78" s="3" t="e">
        <f>VLOOKUP(E78,Enviroments!$A$3:$D$59,4,FALSE)</f>
        <v>#N/A</v>
      </c>
      <c r="R78" s="3" t="e">
        <f>VLOOKUP(H78,AzureRegions!$A$4:$B$1493,1,FALSE)</f>
        <v>#N/A</v>
      </c>
      <c r="S78" s="3" t="e">
        <f>VLOOKUP(H78,AzureRegions!$A$4:$B$1493,2,FALSE)</f>
        <v>#N/A</v>
      </c>
      <c r="T78" s="3" t="e">
        <f>VLOOKUP(H78,AzureRegions!$A$4:$C$1493,3,FALSE)</f>
        <v>#N/A</v>
      </c>
      <c r="U78" s="3" t="e">
        <f>VLOOKUP(I78,Resources!$A$2:$AA$1503,2,FALSE)</f>
        <v>#N/A</v>
      </c>
      <c r="V78" s="3" t="e">
        <f>VLOOKUP(I78,Resources!$A$2:$H$1503,6,FALSE)</f>
        <v>#N/A</v>
      </c>
      <c r="W78" s="3" t="str">
        <f>VLOOKUP($H$2,Casing!$A$4:$A$60,1,FALSE)</f>
        <v>Lower</v>
      </c>
      <c r="X78" s="14" t="str">
        <f t="shared" si="3"/>
        <v>001</v>
      </c>
      <c r="Y78" s="3" t="str">
        <f>IFERROR(VLOOKUP(F78,Func!$A$4:$G$1500,2,FALSE),"none")</f>
        <v>none</v>
      </c>
      <c r="Z78" s="3" t="e">
        <f>VLOOKUP(I78,Resources!$A$2:$AA$1503,18,FALSE)</f>
        <v>#N/A</v>
      </c>
      <c r="AA78" s="3" t="str">
        <f>IFERROR(VLOOKUP(B78,Orgs!$A$4:$G$1500,2,FALSE),"none")</f>
        <v>none</v>
      </c>
      <c r="AB78" s="3" t="str">
        <f>IFERROR(VLOOKUP(C78,UnitsDepts!$A$4:$G$1500,2,FALSE),"none")</f>
        <v>none</v>
      </c>
      <c r="AC78" s="3" t="str">
        <f>IFERROR(VLOOKUP(D78,ProjAppSvc!$A$4:$G$1500,2,FALSE),"none")</f>
        <v>none</v>
      </c>
    </row>
    <row r="79" spans="1:29" x14ac:dyDescent="0.45">
      <c r="A79" s="14" t="s">
        <v>23</v>
      </c>
      <c r="B79" s="14"/>
      <c r="C79" s="14"/>
      <c r="D79" s="14"/>
      <c r="H79" s="8"/>
      <c r="I79" s="3"/>
      <c r="J79" s="3" t="str">
        <f t="shared" si="4"/>
        <v/>
      </c>
      <c r="K79" s="3" t="str">
        <f>IF(ISNUMBER(SEARCH("-",V79)),IFERROR(IF($H$2="Lower", LOWER(ComputeResourceName(Z79,#REF!,#REF!,G79,N79,O79,P79,Q79,S79,T79,V79,A79)), UPPER(ComputeResourceName(Z79,#REF!,#REF!,G79,N79,O79,P79,Q79,S79,T79,V79,A79))),""),SUBSTITUTE(IFERROR(IF($H$2="Lower", LOWER(ComputeResourceName(#REF!,#REF!,#REF!,G79,N79,O79,P79,Q79,S79,T79,V79,A79)), UPPER(ComputeResourceName(#REF!,#REF!,#REF!,G79,N79,O79,P79,Q79,S79,T79,V79,A79))),""), "-",""))</f>
        <v/>
      </c>
      <c r="L79" s="3" t="str">
        <f xml:space="preserve"> IF(K79="","",  IFERROR(VLOOKUP(I79,Resources!$B$1:$H$1503,5,FALSE)-LEN(K79),0))</f>
        <v/>
      </c>
      <c r="M79" s="3" t="str">
        <f>IF(K79="","",IFERROR(matches(K79,VLOOKUP(I79,Resources!$A$2:$AA$1503,16,FALSE)),FALSE))</f>
        <v/>
      </c>
      <c r="N79" s="3" t="e">
        <f>VLOOKUP(E79,Enviroments!$A$3:$D$59,1,FALSE)</f>
        <v>#N/A</v>
      </c>
      <c r="O79" s="3" t="e">
        <f>VLOOKUP(E79,Enviroments!$A$3:$D$59,2,FALSE)</f>
        <v>#N/A</v>
      </c>
      <c r="P79" s="3" t="e">
        <f>VLOOKUP(E79,Enviroments!$A$3:$D$59,3,FALSE)</f>
        <v>#N/A</v>
      </c>
      <c r="Q79" s="3" t="e">
        <f>VLOOKUP(E79,Enviroments!$A$3:$D$59,4,FALSE)</f>
        <v>#N/A</v>
      </c>
      <c r="R79" s="3" t="e">
        <f>VLOOKUP(H79,AzureRegions!$A$4:$B$1493,1,FALSE)</f>
        <v>#N/A</v>
      </c>
      <c r="S79" s="3" t="e">
        <f>VLOOKUP(H79,AzureRegions!$A$4:$B$1493,2,FALSE)</f>
        <v>#N/A</v>
      </c>
      <c r="T79" s="3" t="e">
        <f>VLOOKUP(H79,AzureRegions!$A$4:$C$1493,3,FALSE)</f>
        <v>#N/A</v>
      </c>
      <c r="U79" s="3" t="e">
        <f>VLOOKUP(I79,Resources!$A$2:$AA$1503,2,FALSE)</f>
        <v>#N/A</v>
      </c>
      <c r="V79" s="3" t="e">
        <f>VLOOKUP(I79,Resources!$A$2:$H$1503,6,FALSE)</f>
        <v>#N/A</v>
      </c>
      <c r="W79" s="3" t="str">
        <f>VLOOKUP($H$2,Casing!$A$4:$A$60,1,FALSE)</f>
        <v>Lower</v>
      </c>
      <c r="X79" s="14" t="str">
        <f t="shared" si="3"/>
        <v>001</v>
      </c>
      <c r="Y79" s="3" t="str">
        <f>IFERROR(VLOOKUP(F79,Func!$A$4:$G$1500,2,FALSE),"none")</f>
        <v>none</v>
      </c>
      <c r="Z79" s="3" t="e">
        <f>VLOOKUP(I79,Resources!$A$2:$AA$1503,18,FALSE)</f>
        <v>#N/A</v>
      </c>
      <c r="AA79" s="3" t="str">
        <f>IFERROR(VLOOKUP(B79,Orgs!$A$4:$G$1500,2,FALSE),"none")</f>
        <v>none</v>
      </c>
      <c r="AB79" s="3" t="str">
        <f>IFERROR(VLOOKUP(C79,UnitsDepts!$A$4:$G$1500,2,FALSE),"none")</f>
        <v>none</v>
      </c>
      <c r="AC79" s="3" t="str">
        <f>IFERROR(VLOOKUP(D79,ProjAppSvc!$A$4:$G$1500,2,FALSE),"none")</f>
        <v>none</v>
      </c>
    </row>
    <row r="80" spans="1:29" x14ac:dyDescent="0.45">
      <c r="A80" s="14" t="s">
        <v>23</v>
      </c>
      <c r="B80" s="14"/>
      <c r="C80" s="14"/>
      <c r="D80" s="14"/>
      <c r="H80" s="8"/>
      <c r="I80" s="3"/>
      <c r="J80" s="3" t="str">
        <f t="shared" si="4"/>
        <v/>
      </c>
      <c r="K80" s="3" t="str">
        <f>IF(ISNUMBER(SEARCH("-",V80)),IFERROR(IF($H$2="Lower", LOWER(ComputeResourceName(Z80,#REF!,#REF!,G80,N80,O80,P80,Q80,S80,T80,V80,A80)), UPPER(ComputeResourceName(Z80,#REF!,#REF!,G80,N80,O80,P80,Q80,S80,T80,V80,A80))),""),SUBSTITUTE(IFERROR(IF($H$2="Lower", LOWER(ComputeResourceName(#REF!,#REF!,#REF!,G80,N80,O80,P80,Q80,S80,T80,V80,A80)), UPPER(ComputeResourceName(#REF!,#REF!,#REF!,G80,N80,O80,P80,Q80,S80,T80,V80,A80))),""), "-",""))</f>
        <v/>
      </c>
      <c r="L80" s="3" t="str">
        <f xml:space="preserve"> IF(K80="","",  IFERROR(VLOOKUP(I80,Resources!$B$1:$H$1503,5,FALSE)-LEN(K80),0))</f>
        <v/>
      </c>
      <c r="M80" s="3" t="str">
        <f>IF(K80="","",IFERROR(matches(K80,VLOOKUP(I80,Resources!$A$2:$AA$1503,16,FALSE)),FALSE))</f>
        <v/>
      </c>
      <c r="N80" s="3" t="e">
        <f>VLOOKUP(E80,Enviroments!$A$3:$D$59,1,FALSE)</f>
        <v>#N/A</v>
      </c>
      <c r="O80" s="3" t="e">
        <f>VLOOKUP(E80,Enviroments!$A$3:$D$59,2,FALSE)</f>
        <v>#N/A</v>
      </c>
      <c r="P80" s="3" t="e">
        <f>VLOOKUP(E80,Enviroments!$A$3:$D$59,3,FALSE)</f>
        <v>#N/A</v>
      </c>
      <c r="Q80" s="3" t="e">
        <f>VLOOKUP(E80,Enviroments!$A$3:$D$59,4,FALSE)</f>
        <v>#N/A</v>
      </c>
      <c r="R80" s="3" t="e">
        <f>VLOOKUP(H80,AzureRegions!$A$4:$B$1493,1,FALSE)</f>
        <v>#N/A</v>
      </c>
      <c r="S80" s="3" t="e">
        <f>VLOOKUP(H80,AzureRegions!$A$4:$B$1493,2,FALSE)</f>
        <v>#N/A</v>
      </c>
      <c r="T80" s="3" t="e">
        <f>VLOOKUP(H80,AzureRegions!$A$4:$C$1493,3,FALSE)</f>
        <v>#N/A</v>
      </c>
      <c r="U80" s="3" t="e">
        <f>VLOOKUP(I80,Resources!$A$2:$AA$1503,2,FALSE)</f>
        <v>#N/A</v>
      </c>
      <c r="V80" s="3" t="e">
        <f>VLOOKUP(I80,Resources!$A$2:$H$1503,6,FALSE)</f>
        <v>#N/A</v>
      </c>
      <c r="W80" s="3" t="str">
        <f>VLOOKUP($H$2,Casing!$A$4:$A$60,1,FALSE)</f>
        <v>Lower</v>
      </c>
      <c r="X80" s="14" t="str">
        <f t="shared" si="3"/>
        <v>001</v>
      </c>
      <c r="Y80" s="3" t="str">
        <f>IFERROR(VLOOKUP(F80,Func!$A$4:$G$1500,2,FALSE),"none")</f>
        <v>none</v>
      </c>
      <c r="Z80" s="3" t="e">
        <f>VLOOKUP(I80,Resources!$A$2:$AA$1503,18,FALSE)</f>
        <v>#N/A</v>
      </c>
      <c r="AA80" s="3" t="str">
        <f>IFERROR(VLOOKUP(B80,Orgs!$A$4:$G$1500,2,FALSE),"none")</f>
        <v>none</v>
      </c>
      <c r="AB80" s="3" t="str">
        <f>IFERROR(VLOOKUP(C80,UnitsDepts!$A$4:$G$1500,2,FALSE),"none")</f>
        <v>none</v>
      </c>
      <c r="AC80" s="3" t="str">
        <f>IFERROR(VLOOKUP(D80,ProjAppSvc!$A$4:$G$1500,2,FALSE),"none")</f>
        <v>none</v>
      </c>
    </row>
    <row r="81" spans="1:29" x14ac:dyDescent="0.45">
      <c r="A81" s="14" t="s">
        <v>23</v>
      </c>
      <c r="B81" s="14"/>
      <c r="C81" s="14"/>
      <c r="D81" s="14"/>
      <c r="H81" s="8"/>
      <c r="I81" s="3"/>
      <c r="J81" s="3" t="str">
        <f t="shared" si="4"/>
        <v/>
      </c>
      <c r="K81" s="3" t="str">
        <f>IF(ISNUMBER(SEARCH("-",V81)),IFERROR(IF($H$2="Lower", LOWER(ComputeResourceName(Z81,#REF!,#REF!,G81,N81,O81,P81,Q81,S81,T81,V81,A81)), UPPER(ComputeResourceName(Z81,#REF!,#REF!,G81,N81,O81,P81,Q81,S81,T81,V81,A81))),""),SUBSTITUTE(IFERROR(IF($H$2="Lower", LOWER(ComputeResourceName(#REF!,#REF!,#REF!,G81,N81,O81,P81,Q81,S81,T81,V81,A81)), UPPER(ComputeResourceName(#REF!,#REF!,#REF!,G81,N81,O81,P81,Q81,S81,T81,V81,A81))),""), "-",""))</f>
        <v/>
      </c>
      <c r="L81" s="3" t="str">
        <f xml:space="preserve"> IF(K81="","",  IFERROR(VLOOKUP(I81,Resources!$B$1:$H$1503,5,FALSE)-LEN(K81),0))</f>
        <v/>
      </c>
      <c r="M81" s="3" t="str">
        <f>IF(K81="","",IFERROR(matches(K81,VLOOKUP(I81,Resources!$A$2:$AA$1503,16,FALSE)),FALSE))</f>
        <v/>
      </c>
      <c r="N81" s="3" t="e">
        <f>VLOOKUP(E81,Enviroments!$A$3:$D$59,1,FALSE)</f>
        <v>#N/A</v>
      </c>
      <c r="O81" s="3" t="e">
        <f>VLOOKUP(E81,Enviroments!$A$3:$D$59,2,FALSE)</f>
        <v>#N/A</v>
      </c>
      <c r="P81" s="3" t="e">
        <f>VLOOKUP(E81,Enviroments!$A$3:$D$59,3,FALSE)</f>
        <v>#N/A</v>
      </c>
      <c r="Q81" s="3" t="e">
        <f>VLOOKUP(E81,Enviroments!$A$3:$D$59,4,FALSE)</f>
        <v>#N/A</v>
      </c>
      <c r="R81" s="3" t="e">
        <f>VLOOKUP(H81,AzureRegions!$A$4:$B$1493,1,FALSE)</f>
        <v>#N/A</v>
      </c>
      <c r="S81" s="3" t="e">
        <f>VLOOKUP(H81,AzureRegions!$A$4:$B$1493,2,FALSE)</f>
        <v>#N/A</v>
      </c>
      <c r="T81" s="3" t="e">
        <f>VLOOKUP(H81,AzureRegions!$A$4:$C$1493,3,FALSE)</f>
        <v>#N/A</v>
      </c>
      <c r="U81" s="3" t="e">
        <f>VLOOKUP(I81,Resources!$A$2:$AA$1503,2,FALSE)</f>
        <v>#N/A</v>
      </c>
      <c r="V81" s="3" t="e">
        <f>VLOOKUP(I81,Resources!$A$2:$H$1503,6,FALSE)</f>
        <v>#N/A</v>
      </c>
      <c r="W81" s="3" t="str">
        <f>VLOOKUP($H$2,Casing!$A$4:$A$60,1,FALSE)</f>
        <v>Lower</v>
      </c>
      <c r="X81" s="14" t="str">
        <f t="shared" si="3"/>
        <v>001</v>
      </c>
      <c r="Y81" s="3" t="str">
        <f>IFERROR(VLOOKUP(F81,Func!$A$4:$G$1500,2,FALSE),"none")</f>
        <v>none</v>
      </c>
      <c r="Z81" s="3" t="e">
        <f>VLOOKUP(I81,Resources!$A$2:$AA$1503,18,FALSE)</f>
        <v>#N/A</v>
      </c>
      <c r="AA81" s="3" t="str">
        <f>IFERROR(VLOOKUP(B81,Orgs!$A$4:$G$1500,2,FALSE),"none")</f>
        <v>none</v>
      </c>
      <c r="AB81" s="3" t="str">
        <f>IFERROR(VLOOKUP(C81,UnitsDepts!$A$4:$G$1500,2,FALSE),"none")</f>
        <v>none</v>
      </c>
      <c r="AC81" s="3" t="str">
        <f>IFERROR(VLOOKUP(D81,ProjAppSvc!$A$4:$G$1500,2,FALSE),"none")</f>
        <v>none</v>
      </c>
    </row>
    <row r="82" spans="1:29" x14ac:dyDescent="0.45">
      <c r="A82" s="14" t="s">
        <v>23</v>
      </c>
      <c r="B82" s="14"/>
      <c r="C82" s="14"/>
      <c r="D82" s="14"/>
      <c r="H82" s="8"/>
      <c r="I82" s="3"/>
      <c r="J82" s="3" t="str">
        <f t="shared" si="4"/>
        <v/>
      </c>
      <c r="K82" s="3" t="str">
        <f>IF(ISNUMBER(SEARCH("-",V82)),IFERROR(IF($H$2="Lower", LOWER(ComputeResourceName(Z82,#REF!,#REF!,G82,N82,O82,P82,Q82,S82,T82,V82,A82)), UPPER(ComputeResourceName(Z82,#REF!,#REF!,G82,N82,O82,P82,Q82,S82,T82,V82,A82))),""),SUBSTITUTE(IFERROR(IF($H$2="Lower", LOWER(ComputeResourceName(#REF!,#REF!,#REF!,G82,N82,O82,P82,Q82,S82,T82,V82,A82)), UPPER(ComputeResourceName(#REF!,#REF!,#REF!,G82,N82,O82,P82,Q82,S82,T82,V82,A82))),""), "-",""))</f>
        <v/>
      </c>
      <c r="L82" s="3" t="str">
        <f xml:space="preserve"> IF(K82="","",  IFERROR(VLOOKUP(I82,Resources!$B$1:$H$1503,5,FALSE)-LEN(K82),0))</f>
        <v/>
      </c>
      <c r="M82" s="3" t="str">
        <f>IF(K82="","",IFERROR(matches(K82,VLOOKUP(I82,Resources!$A$2:$AA$1503,16,FALSE)),FALSE))</f>
        <v/>
      </c>
      <c r="N82" s="3" t="e">
        <f>VLOOKUP(E82,Enviroments!$A$3:$D$59,1,FALSE)</f>
        <v>#N/A</v>
      </c>
      <c r="O82" s="3" t="e">
        <f>VLOOKUP(E82,Enviroments!$A$3:$D$59,2,FALSE)</f>
        <v>#N/A</v>
      </c>
      <c r="P82" s="3" t="e">
        <f>VLOOKUP(E82,Enviroments!$A$3:$D$59,3,FALSE)</f>
        <v>#N/A</v>
      </c>
      <c r="Q82" s="3" t="e">
        <f>VLOOKUP(E82,Enviroments!$A$3:$D$59,4,FALSE)</f>
        <v>#N/A</v>
      </c>
      <c r="R82" s="3" t="e">
        <f>VLOOKUP(H82,AzureRegions!$A$4:$B$1493,1,FALSE)</f>
        <v>#N/A</v>
      </c>
      <c r="S82" s="3" t="e">
        <f>VLOOKUP(H82,AzureRegions!$A$4:$B$1493,2,FALSE)</f>
        <v>#N/A</v>
      </c>
      <c r="T82" s="3" t="e">
        <f>VLOOKUP(H82,AzureRegions!$A$4:$C$1493,3,FALSE)</f>
        <v>#N/A</v>
      </c>
      <c r="U82" s="3" t="e">
        <f>VLOOKUP(I82,Resources!$A$2:$AA$1503,2,FALSE)</f>
        <v>#N/A</v>
      </c>
      <c r="V82" s="3" t="e">
        <f>VLOOKUP(I82,Resources!$A$2:$H$1503,6,FALSE)</f>
        <v>#N/A</v>
      </c>
      <c r="W82" s="3" t="str">
        <f>VLOOKUP($H$2,Casing!$A$4:$A$60,1,FALSE)</f>
        <v>Lower</v>
      </c>
      <c r="X82" s="14" t="str">
        <f t="shared" si="3"/>
        <v>001</v>
      </c>
      <c r="Y82" s="3" t="str">
        <f>IFERROR(VLOOKUP(F82,Func!$A$4:$G$1500,2,FALSE),"none")</f>
        <v>none</v>
      </c>
      <c r="Z82" s="3" t="e">
        <f>VLOOKUP(I82,Resources!$A$2:$AA$1503,18,FALSE)</f>
        <v>#N/A</v>
      </c>
      <c r="AA82" s="3" t="str">
        <f>IFERROR(VLOOKUP(B82,Orgs!$A$4:$G$1500,2,FALSE),"none")</f>
        <v>none</v>
      </c>
      <c r="AB82" s="3" t="str">
        <f>IFERROR(VLOOKUP(C82,UnitsDepts!$A$4:$G$1500,2,FALSE),"none")</f>
        <v>none</v>
      </c>
      <c r="AC82" s="3" t="str">
        <f>IFERROR(VLOOKUP(D82,ProjAppSvc!$A$4:$G$1500,2,FALSE),"none")</f>
        <v>none</v>
      </c>
    </row>
    <row r="83" spans="1:29" x14ac:dyDescent="0.45">
      <c r="A83" s="14" t="s">
        <v>23</v>
      </c>
      <c r="B83" s="14"/>
      <c r="C83" s="14"/>
      <c r="D83" s="14"/>
      <c r="H83" s="8"/>
      <c r="I83" s="3"/>
      <c r="J83" s="3" t="str">
        <f t="shared" si="4"/>
        <v/>
      </c>
      <c r="K83" s="3" t="str">
        <f>IF(ISNUMBER(SEARCH("-",V83)),IFERROR(IF($H$2="Lower", LOWER(ComputeResourceName(Z83,#REF!,#REF!,G83,N83,O83,P83,Q83,S83,T83,V83,A83)), UPPER(ComputeResourceName(Z83,#REF!,#REF!,G83,N83,O83,P83,Q83,S83,T83,V83,A83))),""),SUBSTITUTE(IFERROR(IF($H$2="Lower", LOWER(ComputeResourceName(#REF!,#REF!,#REF!,G83,N83,O83,P83,Q83,S83,T83,V83,A83)), UPPER(ComputeResourceName(#REF!,#REF!,#REF!,G83,N83,O83,P83,Q83,S83,T83,V83,A83))),""), "-",""))</f>
        <v/>
      </c>
      <c r="L83" s="3" t="str">
        <f xml:space="preserve"> IF(K83="","",  IFERROR(VLOOKUP(I83,Resources!$B$1:$H$1503,5,FALSE)-LEN(K83),0))</f>
        <v/>
      </c>
      <c r="M83" s="3" t="str">
        <f>IF(K83="","",IFERROR(matches(K83,VLOOKUP(I83,Resources!$A$2:$AA$1503,16,FALSE)),FALSE))</f>
        <v/>
      </c>
      <c r="N83" s="3" t="e">
        <f>VLOOKUP(E83,Enviroments!$A$3:$D$59,1,FALSE)</f>
        <v>#N/A</v>
      </c>
      <c r="O83" s="3" t="e">
        <f>VLOOKUP(E83,Enviroments!$A$3:$D$59,2,FALSE)</f>
        <v>#N/A</v>
      </c>
      <c r="P83" s="3" t="e">
        <f>VLOOKUP(E83,Enviroments!$A$3:$D$59,3,FALSE)</f>
        <v>#N/A</v>
      </c>
      <c r="Q83" s="3" t="e">
        <f>VLOOKUP(E83,Enviroments!$A$3:$D$59,4,FALSE)</f>
        <v>#N/A</v>
      </c>
      <c r="R83" s="3" t="e">
        <f>VLOOKUP(H83,AzureRegions!$A$4:$B$1493,1,FALSE)</f>
        <v>#N/A</v>
      </c>
      <c r="S83" s="3" t="e">
        <f>VLOOKUP(H83,AzureRegions!$A$4:$B$1493,2,FALSE)</f>
        <v>#N/A</v>
      </c>
      <c r="T83" s="3" t="e">
        <f>VLOOKUP(H83,AzureRegions!$A$4:$C$1493,3,FALSE)</f>
        <v>#N/A</v>
      </c>
      <c r="U83" s="3" t="e">
        <f>VLOOKUP(I83,Resources!$A$2:$AA$1503,2,FALSE)</f>
        <v>#N/A</v>
      </c>
      <c r="V83" s="3" t="e">
        <f>VLOOKUP(I83,Resources!$A$2:$H$1503,6,FALSE)</f>
        <v>#N/A</v>
      </c>
      <c r="W83" s="3" t="str">
        <f>VLOOKUP($H$2,Casing!$A$4:$A$60,1,FALSE)</f>
        <v>Lower</v>
      </c>
      <c r="X83" s="14" t="str">
        <f t="shared" si="3"/>
        <v>001</v>
      </c>
      <c r="Y83" s="3" t="str">
        <f>IFERROR(VLOOKUP(F83,Func!$A$4:$G$1500,2,FALSE),"none")</f>
        <v>none</v>
      </c>
      <c r="Z83" s="3" t="e">
        <f>VLOOKUP(I83,Resources!$A$2:$AA$1503,18,FALSE)</f>
        <v>#N/A</v>
      </c>
      <c r="AA83" s="3" t="str">
        <f>IFERROR(VLOOKUP(B83,Orgs!$A$4:$G$1500,2,FALSE),"none")</f>
        <v>none</v>
      </c>
      <c r="AB83" s="3" t="str">
        <f>IFERROR(VLOOKUP(C83,UnitsDepts!$A$4:$G$1500,2,FALSE),"none")</f>
        <v>none</v>
      </c>
      <c r="AC83" s="3" t="str">
        <f>IFERROR(VLOOKUP(D83,ProjAppSvc!$A$4:$G$1500,2,FALSE),"none")</f>
        <v>none</v>
      </c>
    </row>
    <row r="84" spans="1:29" x14ac:dyDescent="0.45">
      <c r="A84" s="14" t="s">
        <v>23</v>
      </c>
      <c r="B84" s="14"/>
      <c r="C84" s="14"/>
      <c r="D84" s="14"/>
      <c r="H84" s="8"/>
      <c r="I84" s="3"/>
      <c r="J84" s="3" t="str">
        <f t="shared" si="4"/>
        <v/>
      </c>
      <c r="K84" s="3" t="str">
        <f>IF(ISNUMBER(SEARCH("-",V84)),IFERROR(IF($H$2="Lower", LOWER(ComputeResourceName(Z84,#REF!,#REF!,G84,N84,O84,P84,Q84,S84,T84,V84,A84)), UPPER(ComputeResourceName(Z84,#REF!,#REF!,G84,N84,O84,P84,Q84,S84,T84,V84,A84))),""),SUBSTITUTE(IFERROR(IF($H$2="Lower", LOWER(ComputeResourceName(#REF!,#REF!,#REF!,G84,N84,O84,P84,Q84,S84,T84,V84,A84)), UPPER(ComputeResourceName(#REF!,#REF!,#REF!,G84,N84,O84,P84,Q84,S84,T84,V84,A84))),""), "-",""))</f>
        <v/>
      </c>
      <c r="L84" s="3" t="str">
        <f xml:space="preserve"> IF(K84="","",  IFERROR(VLOOKUP(I84,Resources!$B$1:$H$1503,5,FALSE)-LEN(K84),0))</f>
        <v/>
      </c>
      <c r="M84" s="3" t="str">
        <f>IF(K84="","",IFERROR(matches(K84,VLOOKUP(I84,Resources!$A$2:$AA$1503,16,FALSE)),FALSE))</f>
        <v/>
      </c>
      <c r="N84" s="3" t="e">
        <f>VLOOKUP(E84,Enviroments!$A$3:$D$59,1,FALSE)</f>
        <v>#N/A</v>
      </c>
      <c r="O84" s="3" t="e">
        <f>VLOOKUP(E84,Enviroments!$A$3:$D$59,2,FALSE)</f>
        <v>#N/A</v>
      </c>
      <c r="P84" s="3" t="e">
        <f>VLOOKUP(E84,Enviroments!$A$3:$D$59,3,FALSE)</f>
        <v>#N/A</v>
      </c>
      <c r="Q84" s="3" t="e">
        <f>VLOOKUP(E84,Enviroments!$A$3:$D$59,4,FALSE)</f>
        <v>#N/A</v>
      </c>
      <c r="R84" s="3" t="e">
        <f>VLOOKUP(H84,AzureRegions!$A$4:$B$1493,1,FALSE)</f>
        <v>#N/A</v>
      </c>
      <c r="S84" s="3" t="e">
        <f>VLOOKUP(H84,AzureRegions!$A$4:$B$1493,2,FALSE)</f>
        <v>#N/A</v>
      </c>
      <c r="T84" s="3" t="e">
        <f>VLOOKUP(H84,AzureRegions!$A$4:$C$1493,3,FALSE)</f>
        <v>#N/A</v>
      </c>
      <c r="U84" s="3" t="e">
        <f>VLOOKUP(I84,Resources!$A$2:$AA$1503,2,FALSE)</f>
        <v>#N/A</v>
      </c>
      <c r="V84" s="3" t="e">
        <f>VLOOKUP(I84,Resources!$A$2:$H$1503,6,FALSE)</f>
        <v>#N/A</v>
      </c>
      <c r="W84" s="3" t="str">
        <f>VLOOKUP($H$2,Casing!$A$4:$A$60,1,FALSE)</f>
        <v>Lower</v>
      </c>
      <c r="X84" s="14" t="str">
        <f t="shared" si="3"/>
        <v>001</v>
      </c>
      <c r="Y84" s="3" t="str">
        <f>IFERROR(VLOOKUP(F84,Func!$A$4:$G$1500,2,FALSE),"none")</f>
        <v>none</v>
      </c>
      <c r="Z84" s="3" t="e">
        <f>VLOOKUP(I84,Resources!$A$2:$AA$1503,18,FALSE)</f>
        <v>#N/A</v>
      </c>
      <c r="AA84" s="3" t="str">
        <f>IFERROR(VLOOKUP(B84,Orgs!$A$4:$G$1500,2,FALSE),"none")</f>
        <v>none</v>
      </c>
      <c r="AB84" s="3" t="str">
        <f>IFERROR(VLOOKUP(C84,UnitsDepts!$A$4:$G$1500,2,FALSE),"none")</f>
        <v>none</v>
      </c>
      <c r="AC84" s="3" t="str">
        <f>IFERROR(VLOOKUP(D84,ProjAppSvc!$A$4:$G$1500,2,FALSE),"none")</f>
        <v>none</v>
      </c>
    </row>
    <row r="85" spans="1:29" x14ac:dyDescent="0.45">
      <c r="A85" s="14" t="s">
        <v>23</v>
      </c>
      <c r="B85" s="14"/>
      <c r="C85" s="14"/>
      <c r="D85" s="14"/>
      <c r="H85" s="8"/>
      <c r="I85" s="3"/>
      <c r="J85" s="3" t="str">
        <f t="shared" si="4"/>
        <v/>
      </c>
      <c r="K85" s="3" t="str">
        <f>IF(ISNUMBER(SEARCH("-",V85)),IFERROR(IF($H$2="Lower", LOWER(ComputeResourceName(Z85,#REF!,#REF!,G85,N85,O85,P85,Q85,S85,T85,V85,A85)), UPPER(ComputeResourceName(Z85,#REF!,#REF!,G85,N85,O85,P85,Q85,S85,T85,V85,A85))),""),SUBSTITUTE(IFERROR(IF($H$2="Lower", LOWER(ComputeResourceName(#REF!,#REF!,#REF!,G85,N85,O85,P85,Q85,S85,T85,V85,A85)), UPPER(ComputeResourceName(#REF!,#REF!,#REF!,G85,N85,O85,P85,Q85,S85,T85,V85,A85))),""), "-",""))</f>
        <v/>
      </c>
      <c r="L85" s="3" t="str">
        <f xml:space="preserve"> IF(K85="","",  IFERROR(VLOOKUP(I85,Resources!$B$1:$H$1503,5,FALSE)-LEN(K85),0))</f>
        <v/>
      </c>
      <c r="M85" s="3" t="str">
        <f>IF(K85="","",IFERROR(matches(K85,VLOOKUP(I85,Resources!$A$2:$AA$1503,16,FALSE)),FALSE))</f>
        <v/>
      </c>
      <c r="N85" s="3" t="e">
        <f>VLOOKUP(E85,Enviroments!$A$3:$D$59,1,FALSE)</f>
        <v>#N/A</v>
      </c>
      <c r="O85" s="3" t="e">
        <f>VLOOKUP(E85,Enviroments!$A$3:$D$59,2,FALSE)</f>
        <v>#N/A</v>
      </c>
      <c r="P85" s="3" t="e">
        <f>VLOOKUP(E85,Enviroments!$A$3:$D$59,3,FALSE)</f>
        <v>#N/A</v>
      </c>
      <c r="Q85" s="3" t="e">
        <f>VLOOKUP(E85,Enviroments!$A$3:$D$59,4,FALSE)</f>
        <v>#N/A</v>
      </c>
      <c r="R85" s="3" t="e">
        <f>VLOOKUP(H85,AzureRegions!$A$4:$B$1493,1,FALSE)</f>
        <v>#N/A</v>
      </c>
      <c r="S85" s="3" t="e">
        <f>VLOOKUP(H85,AzureRegions!$A$4:$B$1493,2,FALSE)</f>
        <v>#N/A</v>
      </c>
      <c r="T85" s="3" t="e">
        <f>VLOOKUP(H85,AzureRegions!$A$4:$C$1493,3,FALSE)</f>
        <v>#N/A</v>
      </c>
      <c r="U85" s="3" t="e">
        <f>VLOOKUP(I85,Resources!$A$2:$AA$1503,2,FALSE)</f>
        <v>#N/A</v>
      </c>
      <c r="V85" s="3" t="e">
        <f>VLOOKUP(I85,Resources!$A$2:$H$1503,6,FALSE)</f>
        <v>#N/A</v>
      </c>
      <c r="W85" s="3" t="str">
        <f>VLOOKUP($H$2,Casing!$A$4:$A$60,1,FALSE)</f>
        <v>Lower</v>
      </c>
      <c r="X85" s="14" t="str">
        <f t="shared" si="3"/>
        <v>001</v>
      </c>
      <c r="Y85" s="3" t="str">
        <f>IFERROR(VLOOKUP(F85,Func!$A$4:$G$1500,2,FALSE),"none")</f>
        <v>none</v>
      </c>
      <c r="Z85" s="3" t="e">
        <f>VLOOKUP(I85,Resources!$A$2:$AA$1503,18,FALSE)</f>
        <v>#N/A</v>
      </c>
      <c r="AA85" s="3" t="str">
        <f>IFERROR(VLOOKUP(B85,Orgs!$A$4:$G$1500,2,FALSE),"none")</f>
        <v>none</v>
      </c>
      <c r="AB85" s="3" t="str">
        <f>IFERROR(VLOOKUP(C85,UnitsDepts!$A$4:$G$1500,2,FALSE),"none")</f>
        <v>none</v>
      </c>
      <c r="AC85" s="3" t="str">
        <f>IFERROR(VLOOKUP(D85,ProjAppSvc!$A$4:$G$1500,2,FALSE),"none")</f>
        <v>none</v>
      </c>
    </row>
    <row r="86" spans="1:29" x14ac:dyDescent="0.45">
      <c r="A86" s="14" t="s">
        <v>23</v>
      </c>
      <c r="B86" s="14"/>
      <c r="C86" s="14"/>
      <c r="D86" s="14"/>
      <c r="H86" s="8"/>
      <c r="I86" s="3"/>
      <c r="J86" s="3" t="str">
        <f t="shared" si="4"/>
        <v/>
      </c>
      <c r="K86" s="3" t="str">
        <f>IF(ISNUMBER(SEARCH("-",V86)),IFERROR(IF($H$2="Lower", LOWER(ComputeResourceName(Z86,#REF!,#REF!,G86,N86,O86,P86,Q86,S86,T86,V86,A86)), UPPER(ComputeResourceName(Z86,#REF!,#REF!,G86,N86,O86,P86,Q86,S86,T86,V86,A86))),""),SUBSTITUTE(IFERROR(IF($H$2="Lower", LOWER(ComputeResourceName(#REF!,#REF!,#REF!,G86,N86,O86,P86,Q86,S86,T86,V86,A86)), UPPER(ComputeResourceName(#REF!,#REF!,#REF!,G86,N86,O86,P86,Q86,S86,T86,V86,A86))),""), "-",""))</f>
        <v/>
      </c>
      <c r="L86" s="3" t="str">
        <f xml:space="preserve"> IF(K86="","",  IFERROR(VLOOKUP(I86,Resources!$B$1:$H$1503,5,FALSE)-LEN(K86),0))</f>
        <v/>
      </c>
      <c r="M86" s="3" t="str">
        <f>IF(K86="","",IFERROR(matches(K86,VLOOKUP(I86,Resources!$A$2:$AA$1503,16,FALSE)),FALSE))</f>
        <v/>
      </c>
      <c r="N86" s="3" t="e">
        <f>VLOOKUP(E86,Enviroments!$A$3:$D$59,1,FALSE)</f>
        <v>#N/A</v>
      </c>
      <c r="O86" s="3" t="e">
        <f>VLOOKUP(E86,Enviroments!$A$3:$D$59,2,FALSE)</f>
        <v>#N/A</v>
      </c>
      <c r="P86" s="3" t="e">
        <f>VLOOKUP(E86,Enviroments!$A$3:$D$59,3,FALSE)</f>
        <v>#N/A</v>
      </c>
      <c r="Q86" s="3" t="e">
        <f>VLOOKUP(E86,Enviroments!$A$3:$D$59,4,FALSE)</f>
        <v>#N/A</v>
      </c>
      <c r="R86" s="3" t="e">
        <f>VLOOKUP(H86,AzureRegions!$A$4:$B$1493,1,FALSE)</f>
        <v>#N/A</v>
      </c>
      <c r="S86" s="3" t="e">
        <f>VLOOKUP(H86,AzureRegions!$A$4:$B$1493,2,FALSE)</f>
        <v>#N/A</v>
      </c>
      <c r="T86" s="3" t="e">
        <f>VLOOKUP(H86,AzureRegions!$A$4:$C$1493,3,FALSE)</f>
        <v>#N/A</v>
      </c>
      <c r="U86" s="3" t="e">
        <f>VLOOKUP(I86,Resources!$A$2:$AA$1503,2,FALSE)</f>
        <v>#N/A</v>
      </c>
      <c r="V86" s="3" t="e">
        <f>VLOOKUP(I86,Resources!$A$2:$H$1503,6,FALSE)</f>
        <v>#N/A</v>
      </c>
      <c r="W86" s="3" t="str">
        <f>VLOOKUP($H$2,Casing!$A$4:$A$60,1,FALSE)</f>
        <v>Lower</v>
      </c>
      <c r="X86" s="14" t="str">
        <f t="shared" si="3"/>
        <v>001</v>
      </c>
      <c r="Y86" s="3" t="str">
        <f>IFERROR(VLOOKUP(F86,Func!$A$4:$G$1500,2,FALSE),"none")</f>
        <v>none</v>
      </c>
      <c r="Z86" s="3" t="e">
        <f>VLOOKUP(I86,Resources!$A$2:$AA$1503,18,FALSE)</f>
        <v>#N/A</v>
      </c>
      <c r="AA86" s="3" t="str">
        <f>IFERROR(VLOOKUP(B86,Orgs!$A$4:$G$1500,2,FALSE),"none")</f>
        <v>none</v>
      </c>
      <c r="AB86" s="3" t="str">
        <f>IFERROR(VLOOKUP(C86,UnitsDepts!$A$4:$G$1500,2,FALSE),"none")</f>
        <v>none</v>
      </c>
      <c r="AC86" s="3" t="str">
        <f>IFERROR(VLOOKUP(D86,ProjAppSvc!$A$4:$G$1500,2,FALSE),"none")</f>
        <v>none</v>
      </c>
    </row>
    <row r="87" spans="1:29" x14ac:dyDescent="0.45">
      <c r="A87" s="14" t="s">
        <v>23</v>
      </c>
      <c r="B87" s="14"/>
      <c r="C87" s="14"/>
      <c r="D87" s="14"/>
      <c r="H87" s="8"/>
      <c r="I87" s="3"/>
      <c r="J87" s="3" t="str">
        <f t="shared" si="4"/>
        <v/>
      </c>
      <c r="K87" s="3" t="str">
        <f>IF(ISNUMBER(SEARCH("-",V87)),IFERROR(IF($H$2="Lower", LOWER(ComputeResourceName(Z87,#REF!,#REF!,G87,N87,O87,P87,Q87,S87,T87,V87,A87)), UPPER(ComputeResourceName(Z87,#REF!,#REF!,G87,N87,O87,P87,Q87,S87,T87,V87,A87))),""),SUBSTITUTE(IFERROR(IF($H$2="Lower", LOWER(ComputeResourceName(#REF!,#REF!,#REF!,G87,N87,O87,P87,Q87,S87,T87,V87,A87)), UPPER(ComputeResourceName(#REF!,#REF!,#REF!,G87,N87,O87,P87,Q87,S87,T87,V87,A87))),""), "-",""))</f>
        <v/>
      </c>
      <c r="L87" s="3" t="str">
        <f xml:space="preserve"> IF(K87="","",  IFERROR(VLOOKUP(I87,Resources!$B$1:$H$1503,5,FALSE)-LEN(K87),0))</f>
        <v/>
      </c>
      <c r="M87" s="3" t="str">
        <f>IF(K87="","",IFERROR(matches(K87,VLOOKUP(I87,Resources!$A$2:$AA$1503,16,FALSE)),FALSE))</f>
        <v/>
      </c>
      <c r="N87" s="3" t="e">
        <f>VLOOKUP(E87,Enviroments!$A$3:$D$59,1,FALSE)</f>
        <v>#N/A</v>
      </c>
      <c r="O87" s="3" t="e">
        <f>VLOOKUP(E87,Enviroments!$A$3:$D$59,2,FALSE)</f>
        <v>#N/A</v>
      </c>
      <c r="P87" s="3" t="e">
        <f>VLOOKUP(E87,Enviroments!$A$3:$D$59,3,FALSE)</f>
        <v>#N/A</v>
      </c>
      <c r="Q87" s="3" t="e">
        <f>VLOOKUP(E87,Enviroments!$A$3:$D$59,4,FALSE)</f>
        <v>#N/A</v>
      </c>
      <c r="R87" s="3" t="e">
        <f>VLOOKUP(H87,AzureRegions!$A$4:$B$1493,1,FALSE)</f>
        <v>#N/A</v>
      </c>
      <c r="S87" s="3" t="e">
        <f>VLOOKUP(H87,AzureRegions!$A$4:$B$1493,2,FALSE)</f>
        <v>#N/A</v>
      </c>
      <c r="T87" s="3" t="e">
        <f>VLOOKUP(H87,AzureRegions!$A$4:$C$1493,3,FALSE)</f>
        <v>#N/A</v>
      </c>
      <c r="U87" s="3" t="e">
        <f>VLOOKUP(I87,Resources!$A$2:$AA$1503,2,FALSE)</f>
        <v>#N/A</v>
      </c>
      <c r="V87" s="3" t="e">
        <f>VLOOKUP(I87,Resources!$A$2:$H$1503,6,FALSE)</f>
        <v>#N/A</v>
      </c>
      <c r="W87" s="3" t="str">
        <f>VLOOKUP($H$2,Casing!$A$4:$A$60,1,FALSE)</f>
        <v>Lower</v>
      </c>
      <c r="X87" s="14" t="str">
        <f t="shared" si="3"/>
        <v>001</v>
      </c>
      <c r="Y87" s="3" t="str">
        <f>IFERROR(VLOOKUP(F87,Func!$A$4:$G$1500,2,FALSE),"none")</f>
        <v>none</v>
      </c>
      <c r="Z87" s="3" t="e">
        <f>VLOOKUP(I87,Resources!$A$2:$AA$1503,18,FALSE)</f>
        <v>#N/A</v>
      </c>
      <c r="AA87" s="3" t="str">
        <f>IFERROR(VLOOKUP(B87,Orgs!$A$4:$G$1500,2,FALSE),"none")</f>
        <v>none</v>
      </c>
      <c r="AB87" s="3" t="str">
        <f>IFERROR(VLOOKUP(C87,UnitsDepts!$A$4:$G$1500,2,FALSE),"none")</f>
        <v>none</v>
      </c>
      <c r="AC87" s="3" t="str">
        <f>IFERROR(VLOOKUP(D87,ProjAppSvc!$A$4:$G$1500,2,FALSE),"none")</f>
        <v>none</v>
      </c>
    </row>
    <row r="88" spans="1:29" x14ac:dyDescent="0.45">
      <c r="A88" s="14" t="s">
        <v>23</v>
      </c>
      <c r="B88" s="14"/>
      <c r="C88" s="14"/>
      <c r="D88" s="14"/>
      <c r="H88" s="8"/>
      <c r="I88" s="3"/>
      <c r="J88" s="3" t="str">
        <f t="shared" si="4"/>
        <v/>
      </c>
      <c r="K88" s="3" t="str">
        <f>IF(ISNUMBER(SEARCH("-",V88)),IFERROR(IF($H$2="Lower", LOWER(ComputeResourceName(Z88,#REF!,#REF!,G88,N88,O88,P88,Q88,S88,T88,V88,A88)), UPPER(ComputeResourceName(Z88,#REF!,#REF!,G88,N88,O88,P88,Q88,S88,T88,V88,A88))),""),SUBSTITUTE(IFERROR(IF($H$2="Lower", LOWER(ComputeResourceName(#REF!,#REF!,#REF!,G88,N88,O88,P88,Q88,S88,T88,V88,A88)), UPPER(ComputeResourceName(#REF!,#REF!,#REF!,G88,N88,O88,P88,Q88,S88,T88,V88,A88))),""), "-",""))</f>
        <v/>
      </c>
      <c r="L88" s="3" t="str">
        <f xml:space="preserve"> IF(K88="","",  IFERROR(VLOOKUP(I88,Resources!$B$1:$H$1503,5,FALSE)-LEN(K88),0))</f>
        <v/>
      </c>
      <c r="M88" s="3" t="str">
        <f>IF(K88="","",IFERROR(matches(K88,VLOOKUP(I88,Resources!$A$2:$AA$1503,16,FALSE)),FALSE))</f>
        <v/>
      </c>
      <c r="N88" s="3" t="e">
        <f>VLOOKUP(E88,Enviroments!$A$3:$D$59,1,FALSE)</f>
        <v>#N/A</v>
      </c>
      <c r="O88" s="3" t="e">
        <f>VLOOKUP(E88,Enviroments!$A$3:$D$59,2,FALSE)</f>
        <v>#N/A</v>
      </c>
      <c r="P88" s="3" t="e">
        <f>VLOOKUP(E88,Enviroments!$A$3:$D$59,3,FALSE)</f>
        <v>#N/A</v>
      </c>
      <c r="Q88" s="3" t="e">
        <f>VLOOKUP(E88,Enviroments!$A$3:$D$59,4,FALSE)</f>
        <v>#N/A</v>
      </c>
      <c r="R88" s="3" t="e">
        <f>VLOOKUP(H88,AzureRegions!$A$4:$B$1493,1,FALSE)</f>
        <v>#N/A</v>
      </c>
      <c r="S88" s="3" t="e">
        <f>VLOOKUP(H88,AzureRegions!$A$4:$B$1493,2,FALSE)</f>
        <v>#N/A</v>
      </c>
      <c r="T88" s="3" t="e">
        <f>VLOOKUP(H88,AzureRegions!$A$4:$C$1493,3,FALSE)</f>
        <v>#N/A</v>
      </c>
      <c r="U88" s="3" t="e">
        <f>VLOOKUP(I88,Resources!$A$2:$AA$1503,2,FALSE)</f>
        <v>#N/A</v>
      </c>
      <c r="V88" s="3" t="e">
        <f>VLOOKUP(I88,Resources!$A$2:$H$1503,6,FALSE)</f>
        <v>#N/A</v>
      </c>
      <c r="W88" s="3" t="str">
        <f>VLOOKUP($H$2,Casing!$A$4:$A$60,1,FALSE)</f>
        <v>Lower</v>
      </c>
      <c r="X88" s="14" t="str">
        <f t="shared" si="3"/>
        <v>001</v>
      </c>
      <c r="Y88" s="3" t="str">
        <f>IFERROR(VLOOKUP(F88,Func!$A$4:$G$1500,2,FALSE),"none")</f>
        <v>none</v>
      </c>
      <c r="Z88" s="3" t="e">
        <f>VLOOKUP(I88,Resources!$A$2:$AA$1503,18,FALSE)</f>
        <v>#N/A</v>
      </c>
      <c r="AA88" s="3" t="str">
        <f>IFERROR(VLOOKUP(B88,Orgs!$A$4:$G$1500,2,FALSE),"none")</f>
        <v>none</v>
      </c>
      <c r="AB88" s="3" t="str">
        <f>IFERROR(VLOOKUP(C88,UnitsDepts!$A$4:$G$1500,2,FALSE),"none")</f>
        <v>none</v>
      </c>
      <c r="AC88" s="3" t="str">
        <f>IFERROR(VLOOKUP(D88,ProjAppSvc!$A$4:$G$1500,2,FALSE),"none")</f>
        <v>none</v>
      </c>
    </row>
    <row r="89" spans="1:29" x14ac:dyDescent="0.45">
      <c r="A89" s="14" t="s">
        <v>23</v>
      </c>
      <c r="B89" s="14"/>
      <c r="C89" s="14"/>
      <c r="D89" s="14"/>
      <c r="H89" s="8"/>
      <c r="I89" s="3"/>
      <c r="J89" s="3" t="str">
        <f t="shared" si="4"/>
        <v/>
      </c>
      <c r="K89" s="3" t="str">
        <f>IF(ISNUMBER(SEARCH("-",V89)),IFERROR(IF($H$2="Lower", LOWER(ComputeResourceName(Z89,#REF!,#REF!,G89,N89,O89,P89,Q89,S89,T89,V89,A89)), UPPER(ComputeResourceName(Z89,#REF!,#REF!,G89,N89,O89,P89,Q89,S89,T89,V89,A89))),""),SUBSTITUTE(IFERROR(IF($H$2="Lower", LOWER(ComputeResourceName(#REF!,#REF!,#REF!,G89,N89,O89,P89,Q89,S89,T89,V89,A89)), UPPER(ComputeResourceName(#REF!,#REF!,#REF!,G89,N89,O89,P89,Q89,S89,T89,V89,A89))),""), "-",""))</f>
        <v/>
      </c>
      <c r="L89" s="3" t="str">
        <f xml:space="preserve"> IF(K89="","",  IFERROR(VLOOKUP(I89,Resources!$B$1:$H$1503,5,FALSE)-LEN(K89),0))</f>
        <v/>
      </c>
      <c r="M89" s="3" t="str">
        <f>IF(K89="","",IFERROR(matches(K89,VLOOKUP(I89,Resources!$A$2:$AA$1503,16,FALSE)),FALSE))</f>
        <v/>
      </c>
      <c r="N89" s="3" t="e">
        <f>VLOOKUP(E89,Enviroments!$A$3:$D$59,1,FALSE)</f>
        <v>#N/A</v>
      </c>
      <c r="O89" s="3" t="e">
        <f>VLOOKUP(E89,Enviroments!$A$3:$D$59,2,FALSE)</f>
        <v>#N/A</v>
      </c>
      <c r="P89" s="3" t="e">
        <f>VLOOKUP(E89,Enviroments!$A$3:$D$59,3,FALSE)</f>
        <v>#N/A</v>
      </c>
      <c r="Q89" s="3" t="e">
        <f>VLOOKUP(E89,Enviroments!$A$3:$D$59,4,FALSE)</f>
        <v>#N/A</v>
      </c>
      <c r="R89" s="3" t="e">
        <f>VLOOKUP(H89,AzureRegions!$A$4:$B$1493,1,FALSE)</f>
        <v>#N/A</v>
      </c>
      <c r="S89" s="3" t="e">
        <f>VLOOKUP(H89,AzureRegions!$A$4:$B$1493,2,FALSE)</f>
        <v>#N/A</v>
      </c>
      <c r="T89" s="3" t="e">
        <f>VLOOKUP(H89,AzureRegions!$A$4:$C$1493,3,FALSE)</f>
        <v>#N/A</v>
      </c>
      <c r="U89" s="3" t="e">
        <f>VLOOKUP(I89,Resources!$A$2:$AA$1503,2,FALSE)</f>
        <v>#N/A</v>
      </c>
      <c r="V89" s="3" t="e">
        <f>VLOOKUP(I89,Resources!$A$2:$H$1503,6,FALSE)</f>
        <v>#N/A</v>
      </c>
      <c r="W89" s="3" t="str">
        <f>VLOOKUP($H$2,Casing!$A$4:$A$60,1,FALSE)</f>
        <v>Lower</v>
      </c>
      <c r="X89" s="14" t="str">
        <f t="shared" si="3"/>
        <v>001</v>
      </c>
      <c r="Y89" s="3" t="str">
        <f>IFERROR(VLOOKUP(F89,Func!$A$4:$G$1500,2,FALSE),"none")</f>
        <v>none</v>
      </c>
      <c r="Z89" s="3" t="e">
        <f>VLOOKUP(I89,Resources!$A$2:$AA$1503,18,FALSE)</f>
        <v>#N/A</v>
      </c>
      <c r="AA89" s="3" t="str">
        <f>IFERROR(VLOOKUP(B89,Orgs!$A$4:$G$1500,2,FALSE),"none")</f>
        <v>none</v>
      </c>
      <c r="AB89" s="3" t="str">
        <f>IFERROR(VLOOKUP(C89,UnitsDepts!$A$4:$G$1500,2,FALSE),"none")</f>
        <v>none</v>
      </c>
      <c r="AC89" s="3" t="str">
        <f>IFERROR(VLOOKUP(D89,ProjAppSvc!$A$4:$G$1500,2,FALSE),"none")</f>
        <v>none</v>
      </c>
    </row>
    <row r="90" spans="1:29" x14ac:dyDescent="0.45">
      <c r="A90" s="14" t="s">
        <v>23</v>
      </c>
      <c r="B90" s="14"/>
      <c r="C90" s="14"/>
      <c r="D90" s="14"/>
      <c r="H90" s="8"/>
      <c r="I90" s="3"/>
      <c r="J90" s="3" t="str">
        <f t="shared" si="4"/>
        <v/>
      </c>
      <c r="K90" s="3" t="str">
        <f>IF(ISNUMBER(SEARCH("-",V90)),IFERROR(IF($H$2="Lower", LOWER(ComputeResourceName(Z90,#REF!,#REF!,G90,N90,O90,P90,Q90,S90,T90,V90,A90)), UPPER(ComputeResourceName(Z90,#REF!,#REF!,G90,N90,O90,P90,Q90,S90,T90,V90,A90))),""),SUBSTITUTE(IFERROR(IF($H$2="Lower", LOWER(ComputeResourceName(#REF!,#REF!,#REF!,G90,N90,O90,P90,Q90,S90,T90,V90,A90)), UPPER(ComputeResourceName(#REF!,#REF!,#REF!,G90,N90,O90,P90,Q90,S90,T90,V90,A90))),""), "-",""))</f>
        <v/>
      </c>
      <c r="L90" s="3" t="str">
        <f xml:space="preserve"> IF(K90="","",  IFERROR(VLOOKUP(I90,Resources!$B$1:$H$1503,5,FALSE)-LEN(K90),0))</f>
        <v/>
      </c>
      <c r="M90" s="3" t="str">
        <f>IF(K90="","",IFERROR(matches(K90,VLOOKUP(I90,Resources!$A$2:$AA$1503,16,FALSE)),FALSE))</f>
        <v/>
      </c>
      <c r="N90" s="3" t="e">
        <f>VLOOKUP(E90,Enviroments!$A$3:$D$59,1,FALSE)</f>
        <v>#N/A</v>
      </c>
      <c r="O90" s="3" t="e">
        <f>VLOOKUP(E90,Enviroments!$A$3:$D$59,2,FALSE)</f>
        <v>#N/A</v>
      </c>
      <c r="P90" s="3" t="e">
        <f>VLOOKUP(E90,Enviroments!$A$3:$D$59,3,FALSE)</f>
        <v>#N/A</v>
      </c>
      <c r="Q90" s="3" t="e">
        <f>VLOOKUP(E90,Enviroments!$A$3:$D$59,4,FALSE)</f>
        <v>#N/A</v>
      </c>
      <c r="R90" s="3" t="e">
        <f>VLOOKUP(H90,AzureRegions!$A$4:$B$1493,1,FALSE)</f>
        <v>#N/A</v>
      </c>
      <c r="S90" s="3" t="e">
        <f>VLOOKUP(H90,AzureRegions!$A$4:$B$1493,2,FALSE)</f>
        <v>#N/A</v>
      </c>
      <c r="T90" s="3" t="e">
        <f>VLOOKUP(H90,AzureRegions!$A$4:$C$1493,3,FALSE)</f>
        <v>#N/A</v>
      </c>
      <c r="U90" s="3" t="e">
        <f>VLOOKUP(I90,Resources!$A$2:$AA$1503,2,FALSE)</f>
        <v>#N/A</v>
      </c>
      <c r="V90" s="3" t="e">
        <f>VLOOKUP(I90,Resources!$A$2:$H$1503,6,FALSE)</f>
        <v>#N/A</v>
      </c>
      <c r="W90" s="3" t="str">
        <f>VLOOKUP($H$2,Casing!$A$4:$A$60,1,FALSE)</f>
        <v>Lower</v>
      </c>
      <c r="X90" s="14" t="str">
        <f t="shared" si="3"/>
        <v>001</v>
      </c>
      <c r="Y90" s="3" t="str">
        <f>IFERROR(VLOOKUP(F90,Func!$A$4:$G$1500,2,FALSE),"none")</f>
        <v>none</v>
      </c>
      <c r="Z90" s="3" t="e">
        <f>VLOOKUP(I90,Resources!$A$2:$AA$1503,18,FALSE)</f>
        <v>#N/A</v>
      </c>
      <c r="AA90" s="3" t="str">
        <f>IFERROR(VLOOKUP(B90,Orgs!$A$4:$G$1500,2,FALSE),"none")</f>
        <v>none</v>
      </c>
      <c r="AB90" s="3" t="str">
        <f>IFERROR(VLOOKUP(C90,UnitsDepts!$A$4:$G$1500,2,FALSE),"none")</f>
        <v>none</v>
      </c>
      <c r="AC90" s="3" t="str">
        <f>IFERROR(VLOOKUP(D90,ProjAppSvc!$A$4:$G$1500,2,FALSE),"none")</f>
        <v>none</v>
      </c>
    </row>
    <row r="91" spans="1:29" x14ac:dyDescent="0.45">
      <c r="A91" s="14" t="s">
        <v>23</v>
      </c>
      <c r="B91" s="14"/>
      <c r="C91" s="14"/>
      <c r="D91" s="14"/>
      <c r="H91" s="8"/>
      <c r="I91" s="3"/>
      <c r="J91" s="3" t="str">
        <f t="shared" si="4"/>
        <v/>
      </c>
      <c r="K91" s="3" t="str">
        <f>IF(ISNUMBER(SEARCH("-",V91)),IFERROR(IF($H$2="Lower", LOWER(ComputeResourceName(Z91,#REF!,#REF!,G91,N91,O91,P91,Q91,S91,T91,V91,A91)), UPPER(ComputeResourceName(Z91,#REF!,#REF!,G91,N91,O91,P91,Q91,S91,T91,V91,A91))),""),SUBSTITUTE(IFERROR(IF($H$2="Lower", LOWER(ComputeResourceName(#REF!,#REF!,#REF!,G91,N91,O91,P91,Q91,S91,T91,V91,A91)), UPPER(ComputeResourceName(#REF!,#REF!,#REF!,G91,N91,O91,P91,Q91,S91,T91,V91,A91))),""), "-",""))</f>
        <v/>
      </c>
      <c r="L91" s="3" t="str">
        <f xml:space="preserve"> IF(K91="","",  IFERROR(VLOOKUP(I91,Resources!$B$1:$H$1503,5,FALSE)-LEN(K91),0))</f>
        <v/>
      </c>
      <c r="M91" s="3" t="str">
        <f>IF(K91="","",IFERROR(matches(K91,VLOOKUP(I91,Resources!$A$2:$AA$1503,16,FALSE)),FALSE))</f>
        <v/>
      </c>
      <c r="N91" s="3" t="e">
        <f>VLOOKUP(E91,Enviroments!$A$3:$D$59,1,FALSE)</f>
        <v>#N/A</v>
      </c>
      <c r="O91" s="3" t="e">
        <f>VLOOKUP(E91,Enviroments!$A$3:$D$59,2,FALSE)</f>
        <v>#N/A</v>
      </c>
      <c r="P91" s="3" t="e">
        <f>VLOOKUP(E91,Enviroments!$A$3:$D$59,3,FALSE)</f>
        <v>#N/A</v>
      </c>
      <c r="Q91" s="3" t="e">
        <f>VLOOKUP(E91,Enviroments!$A$3:$D$59,4,FALSE)</f>
        <v>#N/A</v>
      </c>
      <c r="R91" s="3" t="e">
        <f>VLOOKUP(H91,AzureRegions!$A$4:$B$1493,1,FALSE)</f>
        <v>#N/A</v>
      </c>
      <c r="S91" s="3" t="e">
        <f>VLOOKUP(H91,AzureRegions!$A$4:$B$1493,2,FALSE)</f>
        <v>#N/A</v>
      </c>
      <c r="T91" s="3" t="e">
        <f>VLOOKUP(H91,AzureRegions!$A$4:$C$1493,3,FALSE)</f>
        <v>#N/A</v>
      </c>
      <c r="U91" s="3" t="e">
        <f>VLOOKUP(I91,Resources!$A$2:$AA$1503,2,FALSE)</f>
        <v>#N/A</v>
      </c>
      <c r="V91" s="3" t="e">
        <f>VLOOKUP(I91,Resources!$A$2:$H$1503,6,FALSE)</f>
        <v>#N/A</v>
      </c>
      <c r="W91" s="3" t="str">
        <f>VLOOKUP($H$2,Casing!$A$4:$A$60,1,FALSE)</f>
        <v>Lower</v>
      </c>
      <c r="X91" s="14" t="str">
        <f t="shared" si="3"/>
        <v>001</v>
      </c>
      <c r="Y91" s="3" t="str">
        <f>IFERROR(VLOOKUP(F91,Func!$A$4:$G$1500,2,FALSE),"none")</f>
        <v>none</v>
      </c>
      <c r="Z91" s="3" t="e">
        <f>VLOOKUP(I91,Resources!$A$2:$AA$1503,18,FALSE)</f>
        <v>#N/A</v>
      </c>
      <c r="AA91" s="3" t="str">
        <f>IFERROR(VLOOKUP(B91,Orgs!$A$4:$G$1500,2,FALSE),"none")</f>
        <v>none</v>
      </c>
      <c r="AB91" s="3" t="str">
        <f>IFERROR(VLOOKUP(C91,UnitsDepts!$A$4:$G$1500,2,FALSE),"none")</f>
        <v>none</v>
      </c>
      <c r="AC91" s="3" t="str">
        <f>IFERROR(VLOOKUP(D91,ProjAppSvc!$A$4:$G$1500,2,FALSE),"none")</f>
        <v>none</v>
      </c>
    </row>
    <row r="92" spans="1:29" x14ac:dyDescent="0.45">
      <c r="A92" s="14" t="s">
        <v>23</v>
      </c>
      <c r="B92" s="14"/>
      <c r="C92" s="14"/>
      <c r="D92" s="14"/>
      <c r="H92" s="8"/>
      <c r="I92" s="3"/>
      <c r="J92" s="3" t="str">
        <f t="shared" si="4"/>
        <v/>
      </c>
      <c r="K92" s="3" t="str">
        <f>IF(ISNUMBER(SEARCH("-",V92)),IFERROR(IF($H$2="Lower", LOWER(ComputeResourceName(Z92,#REF!,#REF!,G92,N92,O92,P92,Q92,S92,T92,V92,A92)), UPPER(ComputeResourceName(Z92,#REF!,#REF!,G92,N92,O92,P92,Q92,S92,T92,V92,A92))),""),SUBSTITUTE(IFERROR(IF($H$2="Lower", LOWER(ComputeResourceName(#REF!,#REF!,#REF!,G92,N92,O92,P92,Q92,S92,T92,V92,A92)), UPPER(ComputeResourceName(#REF!,#REF!,#REF!,G92,N92,O92,P92,Q92,S92,T92,V92,A92))),""), "-",""))</f>
        <v/>
      </c>
      <c r="L92" s="3" t="str">
        <f xml:space="preserve"> IF(K92="","",  IFERROR(VLOOKUP(I92,Resources!$B$1:$H$1503,5,FALSE)-LEN(K92),0))</f>
        <v/>
      </c>
      <c r="M92" s="3" t="str">
        <f>IF(K92="","",IFERROR(matches(K92,VLOOKUP(I92,Resources!$A$2:$AA$1503,16,FALSE)),FALSE))</f>
        <v/>
      </c>
      <c r="N92" s="3" t="e">
        <f>VLOOKUP(E92,Enviroments!$A$3:$D$59,1,FALSE)</f>
        <v>#N/A</v>
      </c>
      <c r="O92" s="3" t="e">
        <f>VLOOKUP(E92,Enviroments!$A$3:$D$59,2,FALSE)</f>
        <v>#N/A</v>
      </c>
      <c r="P92" s="3" t="e">
        <f>VLOOKUP(E92,Enviroments!$A$3:$D$59,3,FALSE)</f>
        <v>#N/A</v>
      </c>
      <c r="Q92" s="3" t="e">
        <f>VLOOKUP(E92,Enviroments!$A$3:$D$59,4,FALSE)</f>
        <v>#N/A</v>
      </c>
      <c r="R92" s="3" t="e">
        <f>VLOOKUP(H92,AzureRegions!$A$4:$B$1493,1,FALSE)</f>
        <v>#N/A</v>
      </c>
      <c r="S92" s="3" t="e">
        <f>VLOOKUP(H92,AzureRegions!$A$4:$B$1493,2,FALSE)</f>
        <v>#N/A</v>
      </c>
      <c r="T92" s="3" t="e">
        <f>VLOOKUP(H92,AzureRegions!$A$4:$C$1493,3,FALSE)</f>
        <v>#N/A</v>
      </c>
      <c r="U92" s="3" t="e">
        <f>VLOOKUP(I92,Resources!$A$2:$AA$1503,2,FALSE)</f>
        <v>#N/A</v>
      </c>
      <c r="V92" s="3" t="e">
        <f>VLOOKUP(I92,Resources!$A$2:$H$1503,6,FALSE)</f>
        <v>#N/A</v>
      </c>
      <c r="W92" s="3" t="str">
        <f>VLOOKUP($H$2,Casing!$A$4:$A$60,1,FALSE)</f>
        <v>Lower</v>
      </c>
      <c r="X92" s="14" t="str">
        <f t="shared" si="3"/>
        <v>001</v>
      </c>
      <c r="Y92" s="3" t="str">
        <f>IFERROR(VLOOKUP(F92,Func!$A$4:$G$1500,2,FALSE),"none")</f>
        <v>none</v>
      </c>
      <c r="Z92" s="3" t="e">
        <f>VLOOKUP(I92,Resources!$A$2:$AA$1503,18,FALSE)</f>
        <v>#N/A</v>
      </c>
      <c r="AA92" s="3" t="str">
        <f>IFERROR(VLOOKUP(B92,Orgs!$A$4:$G$1500,2,FALSE),"none")</f>
        <v>none</v>
      </c>
      <c r="AB92" s="3" t="str">
        <f>IFERROR(VLOOKUP(C92,UnitsDepts!$A$4:$G$1500,2,FALSE),"none")</f>
        <v>none</v>
      </c>
      <c r="AC92" s="3" t="str">
        <f>IFERROR(VLOOKUP(D92,ProjAppSvc!$A$4:$G$1500,2,FALSE),"none")</f>
        <v>none</v>
      </c>
    </row>
    <row r="93" spans="1:29" x14ac:dyDescent="0.45">
      <c r="A93" s="14" t="s">
        <v>23</v>
      </c>
      <c r="B93" s="14"/>
      <c r="C93" s="14"/>
      <c r="D93" s="14"/>
      <c r="H93" s="8"/>
      <c r="I93" s="3"/>
      <c r="J93" s="3" t="str">
        <f t="shared" si="4"/>
        <v/>
      </c>
      <c r="K93" s="3" t="str">
        <f>IF(ISNUMBER(SEARCH("-",V93)),IFERROR(IF($H$2="Lower", LOWER(ComputeResourceName(Z93,#REF!,#REF!,G93,N93,O93,P93,Q93,S93,T93,V93,A93)), UPPER(ComputeResourceName(Z93,#REF!,#REF!,G93,N93,O93,P93,Q93,S93,T93,V93,A93))),""),SUBSTITUTE(IFERROR(IF($H$2="Lower", LOWER(ComputeResourceName(#REF!,#REF!,#REF!,G93,N93,O93,P93,Q93,S93,T93,V93,A93)), UPPER(ComputeResourceName(#REF!,#REF!,#REF!,G93,N93,O93,P93,Q93,S93,T93,V93,A93))),""), "-",""))</f>
        <v/>
      </c>
      <c r="L93" s="3" t="str">
        <f xml:space="preserve"> IF(K93="","",  IFERROR(VLOOKUP(I93,Resources!$B$1:$H$1503,5,FALSE)-LEN(K93),0))</f>
        <v/>
      </c>
      <c r="M93" s="3" t="str">
        <f>IF(K93="","",IFERROR(matches(K93,VLOOKUP(I93,Resources!$A$2:$AA$1503,16,FALSE)),FALSE))</f>
        <v/>
      </c>
      <c r="N93" s="3" t="e">
        <f>VLOOKUP(E93,Enviroments!$A$3:$D$59,1,FALSE)</f>
        <v>#N/A</v>
      </c>
      <c r="O93" s="3" t="e">
        <f>VLOOKUP(E93,Enviroments!$A$3:$D$59,2,FALSE)</f>
        <v>#N/A</v>
      </c>
      <c r="P93" s="3" t="e">
        <f>VLOOKUP(E93,Enviroments!$A$3:$D$59,3,FALSE)</f>
        <v>#N/A</v>
      </c>
      <c r="Q93" s="3" t="e">
        <f>VLOOKUP(E93,Enviroments!$A$3:$D$59,4,FALSE)</f>
        <v>#N/A</v>
      </c>
      <c r="R93" s="3" t="e">
        <f>VLOOKUP(H93,AzureRegions!$A$4:$B$1493,1,FALSE)</f>
        <v>#N/A</v>
      </c>
      <c r="S93" s="3" t="e">
        <f>VLOOKUP(H93,AzureRegions!$A$4:$B$1493,2,FALSE)</f>
        <v>#N/A</v>
      </c>
      <c r="T93" s="3" t="e">
        <f>VLOOKUP(H93,AzureRegions!$A$4:$C$1493,3,FALSE)</f>
        <v>#N/A</v>
      </c>
      <c r="U93" s="3" t="e">
        <f>VLOOKUP(I93,Resources!$A$2:$AA$1503,2,FALSE)</f>
        <v>#N/A</v>
      </c>
      <c r="V93" s="3" t="e">
        <f>VLOOKUP(I93,Resources!$A$2:$H$1503,6,FALSE)</f>
        <v>#N/A</v>
      </c>
      <c r="W93" s="3" t="str">
        <f>VLOOKUP($H$2,Casing!$A$4:$A$60,1,FALSE)</f>
        <v>Lower</v>
      </c>
      <c r="X93" s="14" t="str">
        <f t="shared" si="3"/>
        <v>001</v>
      </c>
      <c r="Y93" s="3" t="str">
        <f>IFERROR(VLOOKUP(F93,Func!$A$4:$G$1500,2,FALSE),"none")</f>
        <v>none</v>
      </c>
      <c r="Z93" s="3" t="e">
        <f>VLOOKUP(I93,Resources!$A$2:$AA$1503,18,FALSE)</f>
        <v>#N/A</v>
      </c>
      <c r="AA93" s="3" t="str">
        <f>IFERROR(VLOOKUP(B93,Orgs!$A$4:$G$1500,2,FALSE),"none")</f>
        <v>none</v>
      </c>
      <c r="AB93" s="3" t="str">
        <f>IFERROR(VLOOKUP(C93,UnitsDepts!$A$4:$G$1500,2,FALSE),"none")</f>
        <v>none</v>
      </c>
      <c r="AC93" s="3" t="str">
        <f>IFERROR(VLOOKUP(D93,ProjAppSvc!$A$4:$G$1500,2,FALSE),"none")</f>
        <v>none</v>
      </c>
    </row>
    <row r="94" spans="1:29" x14ac:dyDescent="0.45">
      <c r="A94" s="14" t="s">
        <v>23</v>
      </c>
      <c r="B94" s="14"/>
      <c r="C94" s="14"/>
      <c r="D94" s="14"/>
      <c r="H94" s="8"/>
      <c r="I94" s="3"/>
      <c r="J94" s="3" t="str">
        <f t="shared" si="4"/>
        <v/>
      </c>
      <c r="K94" s="3" t="str">
        <f>IF(ISNUMBER(SEARCH("-",V94)),IFERROR(IF($H$2="Lower", LOWER(ComputeResourceName(Z94,#REF!,#REF!,G94,N94,O94,P94,Q94,S94,T94,V94,A94)), UPPER(ComputeResourceName(Z94,#REF!,#REF!,G94,N94,O94,P94,Q94,S94,T94,V94,A94))),""),SUBSTITUTE(IFERROR(IF($H$2="Lower", LOWER(ComputeResourceName(#REF!,#REF!,#REF!,G94,N94,O94,P94,Q94,S94,T94,V94,A94)), UPPER(ComputeResourceName(#REF!,#REF!,#REF!,G94,N94,O94,P94,Q94,S94,T94,V94,A94))),""), "-",""))</f>
        <v/>
      </c>
      <c r="L94" s="3" t="str">
        <f xml:space="preserve"> IF(K94="","",  IFERROR(VLOOKUP(I94,Resources!$B$1:$H$1503,5,FALSE)-LEN(K94),0))</f>
        <v/>
      </c>
      <c r="M94" s="3" t="str">
        <f>IF(K94="","",IFERROR(matches(K94,VLOOKUP(I94,Resources!$A$2:$AA$1503,16,FALSE)),FALSE))</f>
        <v/>
      </c>
      <c r="N94" s="3" t="e">
        <f>VLOOKUP(E94,Enviroments!$A$3:$D$59,1,FALSE)</f>
        <v>#N/A</v>
      </c>
      <c r="O94" s="3" t="e">
        <f>VLOOKUP(E94,Enviroments!$A$3:$D$59,2,FALSE)</f>
        <v>#N/A</v>
      </c>
      <c r="P94" s="3" t="e">
        <f>VLOOKUP(E94,Enviroments!$A$3:$D$59,3,FALSE)</f>
        <v>#N/A</v>
      </c>
      <c r="Q94" s="3" t="e">
        <f>VLOOKUP(E94,Enviroments!$A$3:$D$59,4,FALSE)</f>
        <v>#N/A</v>
      </c>
      <c r="R94" s="3" t="e">
        <f>VLOOKUP(H94,AzureRegions!$A$4:$B$1493,1,FALSE)</f>
        <v>#N/A</v>
      </c>
      <c r="S94" s="3" t="e">
        <f>VLOOKUP(H94,AzureRegions!$A$4:$B$1493,2,FALSE)</f>
        <v>#N/A</v>
      </c>
      <c r="T94" s="3" t="e">
        <f>VLOOKUP(H94,AzureRegions!$A$4:$C$1493,3,FALSE)</f>
        <v>#N/A</v>
      </c>
      <c r="U94" s="3" t="e">
        <f>VLOOKUP(I94,Resources!$A$2:$AA$1503,2,FALSE)</f>
        <v>#N/A</v>
      </c>
      <c r="V94" s="3" t="e">
        <f>VLOOKUP(I94,Resources!$A$2:$H$1503,6,FALSE)</f>
        <v>#N/A</v>
      </c>
      <c r="W94" s="3" t="str">
        <f>VLOOKUP($H$2,Casing!$A$4:$A$60,1,FALSE)</f>
        <v>Lower</v>
      </c>
      <c r="X94" s="14" t="str">
        <f t="shared" si="3"/>
        <v>001</v>
      </c>
      <c r="Y94" s="3" t="str">
        <f>IFERROR(VLOOKUP(F94,Func!$A$4:$G$1500,2,FALSE),"none")</f>
        <v>none</v>
      </c>
      <c r="Z94" s="3" t="e">
        <f>VLOOKUP(I94,Resources!$A$2:$AA$1503,18,FALSE)</f>
        <v>#N/A</v>
      </c>
      <c r="AA94" s="3" t="str">
        <f>IFERROR(VLOOKUP(B94,Orgs!$A$4:$G$1500,2,FALSE),"none")</f>
        <v>none</v>
      </c>
      <c r="AB94" s="3" t="str">
        <f>IFERROR(VLOOKUP(C94,UnitsDepts!$A$4:$G$1500,2,FALSE),"none")</f>
        <v>none</v>
      </c>
      <c r="AC94" s="3" t="str">
        <f>IFERROR(VLOOKUP(D94,ProjAppSvc!$A$4:$G$1500,2,FALSE),"none")</f>
        <v>none</v>
      </c>
    </row>
    <row r="95" spans="1:29" x14ac:dyDescent="0.45">
      <c r="A95" s="14" t="s">
        <v>23</v>
      </c>
      <c r="B95" s="14"/>
      <c r="C95" s="14"/>
      <c r="D95" s="14"/>
      <c r="H95" s="8"/>
      <c r="I95" s="3"/>
      <c r="J95" s="3" t="str">
        <f t="shared" si="4"/>
        <v/>
      </c>
      <c r="K95" s="3" t="str">
        <f>IF(ISNUMBER(SEARCH("-",V95)),IFERROR(IF($H$2="Lower", LOWER(ComputeResourceName(Z95,#REF!,#REF!,G95,N95,O95,P95,Q95,S95,T95,V95,A95)), UPPER(ComputeResourceName(Z95,#REF!,#REF!,G95,N95,O95,P95,Q95,S95,T95,V95,A95))),""),SUBSTITUTE(IFERROR(IF($H$2="Lower", LOWER(ComputeResourceName(#REF!,#REF!,#REF!,G95,N95,O95,P95,Q95,S95,T95,V95,A95)), UPPER(ComputeResourceName(#REF!,#REF!,#REF!,G95,N95,O95,P95,Q95,S95,T95,V95,A95))),""), "-",""))</f>
        <v/>
      </c>
      <c r="L95" s="3" t="str">
        <f xml:space="preserve"> IF(K95="","",  IFERROR(VLOOKUP(I95,Resources!$B$1:$H$1503,5,FALSE)-LEN(K95),0))</f>
        <v/>
      </c>
      <c r="M95" s="3" t="str">
        <f>IF(K95="","",IFERROR(matches(K95,VLOOKUP(I95,Resources!$A$2:$AA$1503,16,FALSE)),FALSE))</f>
        <v/>
      </c>
      <c r="N95" s="3" t="e">
        <f>VLOOKUP(E95,Enviroments!$A$3:$D$59,1,FALSE)</f>
        <v>#N/A</v>
      </c>
      <c r="O95" s="3" t="e">
        <f>VLOOKUP(E95,Enviroments!$A$3:$D$59,2,FALSE)</f>
        <v>#N/A</v>
      </c>
      <c r="P95" s="3" t="e">
        <f>VLOOKUP(E95,Enviroments!$A$3:$D$59,3,FALSE)</f>
        <v>#N/A</v>
      </c>
      <c r="Q95" s="3" t="e">
        <f>VLOOKUP(E95,Enviroments!$A$3:$D$59,4,FALSE)</f>
        <v>#N/A</v>
      </c>
      <c r="R95" s="3" t="e">
        <f>VLOOKUP(H95,AzureRegions!$A$4:$B$1493,1,FALSE)</f>
        <v>#N/A</v>
      </c>
      <c r="S95" s="3" t="e">
        <f>VLOOKUP(H95,AzureRegions!$A$4:$B$1493,2,FALSE)</f>
        <v>#N/A</v>
      </c>
      <c r="T95" s="3" t="e">
        <f>VLOOKUP(H95,AzureRegions!$A$4:$C$1493,3,FALSE)</f>
        <v>#N/A</v>
      </c>
      <c r="U95" s="3" t="e">
        <f>VLOOKUP(I95,Resources!$A$2:$AA$1503,2,FALSE)</f>
        <v>#N/A</v>
      </c>
      <c r="V95" s="3" t="e">
        <f>VLOOKUP(I95,Resources!$A$2:$H$1503,6,FALSE)</f>
        <v>#N/A</v>
      </c>
      <c r="W95" s="3" t="str">
        <f>VLOOKUP($H$2,Casing!$A$4:$A$60,1,FALSE)</f>
        <v>Lower</v>
      </c>
      <c r="X95" s="14" t="str">
        <f t="shared" si="3"/>
        <v>001</v>
      </c>
      <c r="Y95" s="3" t="str">
        <f>IFERROR(VLOOKUP(F95,Func!$A$4:$G$1500,2,FALSE),"none")</f>
        <v>none</v>
      </c>
      <c r="Z95" s="3" t="e">
        <f>VLOOKUP(I95,Resources!$A$2:$AA$1503,18,FALSE)</f>
        <v>#N/A</v>
      </c>
      <c r="AA95" s="3" t="str">
        <f>IFERROR(VLOOKUP(B95,Orgs!$A$4:$G$1500,2,FALSE),"none")</f>
        <v>none</v>
      </c>
      <c r="AB95" s="3" t="str">
        <f>IFERROR(VLOOKUP(C95,UnitsDepts!$A$4:$G$1500,2,FALSE),"none")</f>
        <v>none</v>
      </c>
      <c r="AC95" s="3" t="str">
        <f>IFERROR(VLOOKUP(D95,ProjAppSvc!$A$4:$G$1500,2,FALSE),"none")</f>
        <v>none</v>
      </c>
    </row>
    <row r="96" spans="1:29" x14ac:dyDescent="0.45">
      <c r="A96" s="14" t="s">
        <v>23</v>
      </c>
      <c r="B96" s="14"/>
      <c r="C96" s="14"/>
      <c r="D96" s="14"/>
      <c r="H96" s="8"/>
      <c r="I96" s="3"/>
      <c r="J96" s="3" t="str">
        <f t="shared" si="4"/>
        <v/>
      </c>
      <c r="K96" s="3" t="str">
        <f>IF(ISNUMBER(SEARCH("-",V96)),IFERROR(IF($H$2="Lower", LOWER(ComputeResourceName(Z96,#REF!,#REF!,G96,N96,O96,P96,Q96,S96,T96,V96,A96)), UPPER(ComputeResourceName(Z96,#REF!,#REF!,G96,N96,O96,P96,Q96,S96,T96,V96,A96))),""),SUBSTITUTE(IFERROR(IF($H$2="Lower", LOWER(ComputeResourceName(#REF!,#REF!,#REF!,G96,N96,O96,P96,Q96,S96,T96,V96,A96)), UPPER(ComputeResourceName(#REF!,#REF!,#REF!,G96,N96,O96,P96,Q96,S96,T96,V96,A96))),""), "-",""))</f>
        <v/>
      </c>
      <c r="L96" s="3" t="str">
        <f xml:space="preserve"> IF(K96="","",  IFERROR(VLOOKUP(I96,Resources!$B$1:$H$1503,5,FALSE)-LEN(K96),0))</f>
        <v/>
      </c>
      <c r="M96" s="3" t="str">
        <f>IF(K96="","",IFERROR(matches(K96,VLOOKUP(I96,Resources!$A$2:$AA$1503,16,FALSE)),FALSE))</f>
        <v/>
      </c>
      <c r="N96" s="3" t="e">
        <f>VLOOKUP(E96,Enviroments!$A$3:$D$59,1,FALSE)</f>
        <v>#N/A</v>
      </c>
      <c r="O96" s="3" t="e">
        <f>VLOOKUP(E96,Enviroments!$A$3:$D$59,2,FALSE)</f>
        <v>#N/A</v>
      </c>
      <c r="P96" s="3" t="e">
        <f>VLOOKUP(E96,Enviroments!$A$3:$D$59,3,FALSE)</f>
        <v>#N/A</v>
      </c>
      <c r="Q96" s="3" t="e">
        <f>VLOOKUP(E96,Enviroments!$A$3:$D$59,4,FALSE)</f>
        <v>#N/A</v>
      </c>
      <c r="R96" s="3" t="e">
        <f>VLOOKUP(H96,AzureRegions!$A$4:$B$1493,1,FALSE)</f>
        <v>#N/A</v>
      </c>
      <c r="S96" s="3" t="e">
        <f>VLOOKUP(H96,AzureRegions!$A$4:$B$1493,2,FALSE)</f>
        <v>#N/A</v>
      </c>
      <c r="T96" s="3" t="e">
        <f>VLOOKUP(H96,AzureRegions!$A$4:$C$1493,3,FALSE)</f>
        <v>#N/A</v>
      </c>
      <c r="U96" s="3" t="e">
        <f>VLOOKUP(I96,Resources!$A$2:$AA$1503,2,FALSE)</f>
        <v>#N/A</v>
      </c>
      <c r="V96" s="3" t="e">
        <f>VLOOKUP(I96,Resources!$A$2:$H$1503,6,FALSE)</f>
        <v>#N/A</v>
      </c>
      <c r="W96" s="3" t="str">
        <f>VLOOKUP($H$2,Casing!$A$4:$A$60,1,FALSE)</f>
        <v>Lower</v>
      </c>
      <c r="X96" s="14" t="str">
        <f t="shared" si="3"/>
        <v>001</v>
      </c>
      <c r="Y96" s="3" t="str">
        <f>IFERROR(VLOOKUP(F96,Func!$A$4:$G$1500,2,FALSE),"none")</f>
        <v>none</v>
      </c>
      <c r="Z96" s="3" t="e">
        <f>VLOOKUP(I96,Resources!$A$2:$AA$1503,18,FALSE)</f>
        <v>#N/A</v>
      </c>
      <c r="AA96" s="3" t="str">
        <f>IFERROR(VLOOKUP(B96,Orgs!$A$4:$G$1500,2,FALSE),"none")</f>
        <v>none</v>
      </c>
      <c r="AB96" s="3" t="str">
        <f>IFERROR(VLOOKUP(C96,UnitsDepts!$A$4:$G$1500,2,FALSE),"none")</f>
        <v>none</v>
      </c>
      <c r="AC96" s="3" t="str">
        <f>IFERROR(VLOOKUP(D96,ProjAppSvc!$A$4:$G$1500,2,FALSE),"none")</f>
        <v>none</v>
      </c>
    </row>
    <row r="97" spans="1:29" x14ac:dyDescent="0.45">
      <c r="A97" s="14" t="s">
        <v>23</v>
      </c>
      <c r="B97" s="14"/>
      <c r="C97" s="14"/>
      <c r="D97" s="14"/>
      <c r="H97" s="8"/>
      <c r="I97" s="3"/>
      <c r="J97" s="3" t="str">
        <f t="shared" si="4"/>
        <v/>
      </c>
      <c r="K97" s="3" t="str">
        <f>IF(ISNUMBER(SEARCH("-",V97)),IFERROR(IF($H$2="Lower", LOWER(ComputeResourceName(Z97,#REF!,#REF!,G97,N97,O97,P97,Q97,S97,T97,V97,A97)), UPPER(ComputeResourceName(Z97,#REF!,#REF!,G97,N97,O97,P97,Q97,S97,T97,V97,A97))),""),SUBSTITUTE(IFERROR(IF($H$2="Lower", LOWER(ComputeResourceName(#REF!,#REF!,#REF!,G97,N97,O97,P97,Q97,S97,T97,V97,A97)), UPPER(ComputeResourceName(#REF!,#REF!,#REF!,G97,N97,O97,P97,Q97,S97,T97,V97,A97))),""), "-",""))</f>
        <v/>
      </c>
      <c r="L97" s="3" t="str">
        <f xml:space="preserve"> IF(K97="","",  IFERROR(VLOOKUP(I97,Resources!$B$1:$H$1503,5,FALSE)-LEN(K97),0))</f>
        <v/>
      </c>
      <c r="M97" s="3" t="str">
        <f>IF(K97="","",IFERROR(matches(K97,VLOOKUP(I97,Resources!$A$2:$AA$1503,16,FALSE)),FALSE))</f>
        <v/>
      </c>
      <c r="N97" s="3" t="e">
        <f>VLOOKUP(E97,Enviroments!$A$3:$D$59,1,FALSE)</f>
        <v>#N/A</v>
      </c>
      <c r="O97" s="3" t="e">
        <f>VLOOKUP(E97,Enviroments!$A$3:$D$59,2,FALSE)</f>
        <v>#N/A</v>
      </c>
      <c r="P97" s="3" t="e">
        <f>VLOOKUP(E97,Enviroments!$A$3:$D$59,3,FALSE)</f>
        <v>#N/A</v>
      </c>
      <c r="Q97" s="3" t="e">
        <f>VLOOKUP(E97,Enviroments!$A$3:$D$59,4,FALSE)</f>
        <v>#N/A</v>
      </c>
      <c r="R97" s="3" t="e">
        <f>VLOOKUP(H97,AzureRegions!$A$4:$B$1493,1,FALSE)</f>
        <v>#N/A</v>
      </c>
      <c r="S97" s="3" t="e">
        <f>VLOOKUP(H97,AzureRegions!$A$4:$B$1493,2,FALSE)</f>
        <v>#N/A</v>
      </c>
      <c r="T97" s="3" t="e">
        <f>VLOOKUP(H97,AzureRegions!$A$4:$C$1493,3,FALSE)</f>
        <v>#N/A</v>
      </c>
      <c r="U97" s="3" t="e">
        <f>VLOOKUP(I97,Resources!$A$2:$AA$1503,2,FALSE)</f>
        <v>#N/A</v>
      </c>
      <c r="V97" s="3" t="e">
        <f>VLOOKUP(I97,Resources!$A$2:$H$1503,6,FALSE)</f>
        <v>#N/A</v>
      </c>
      <c r="W97" s="3" t="str">
        <f>VLOOKUP($H$2,Casing!$A$4:$A$60,1,FALSE)</f>
        <v>Lower</v>
      </c>
      <c r="X97" s="14" t="str">
        <f t="shared" si="3"/>
        <v>001</v>
      </c>
      <c r="Y97" s="3" t="str">
        <f>IFERROR(VLOOKUP(F97,Func!$A$4:$G$1500,2,FALSE),"none")</f>
        <v>none</v>
      </c>
      <c r="Z97" s="3" t="e">
        <f>VLOOKUP(I97,Resources!$A$2:$AA$1503,18,FALSE)</f>
        <v>#N/A</v>
      </c>
      <c r="AA97" s="3" t="str">
        <f>IFERROR(VLOOKUP(B97,Orgs!$A$4:$G$1500,2,FALSE),"none")</f>
        <v>none</v>
      </c>
      <c r="AB97" s="3" t="str">
        <f>IFERROR(VLOOKUP(C97,UnitsDepts!$A$4:$G$1500,2,FALSE),"none")</f>
        <v>none</v>
      </c>
      <c r="AC97" s="3" t="str">
        <f>IFERROR(VLOOKUP(D97,ProjAppSvc!$A$4:$G$1500,2,FALSE),"none")</f>
        <v>none</v>
      </c>
    </row>
    <row r="98" spans="1:29" x14ac:dyDescent="0.45">
      <c r="A98" s="14" t="s">
        <v>23</v>
      </c>
      <c r="B98" s="14"/>
      <c r="C98" s="14"/>
      <c r="D98" s="14"/>
      <c r="H98" s="8"/>
      <c r="I98" s="3"/>
      <c r="J98" s="3" t="str">
        <f t="shared" si="4"/>
        <v/>
      </c>
      <c r="K98" s="3" t="str">
        <f>IF(ISNUMBER(SEARCH("-",V98)),IFERROR(IF($H$2="Lower", LOWER(ComputeResourceName(Z98,#REF!,#REF!,G98,N98,O98,P98,Q98,S98,T98,V98,A98)), UPPER(ComputeResourceName(Z98,#REF!,#REF!,G98,N98,O98,P98,Q98,S98,T98,V98,A98))),""),SUBSTITUTE(IFERROR(IF($H$2="Lower", LOWER(ComputeResourceName(#REF!,#REF!,#REF!,G98,N98,O98,P98,Q98,S98,T98,V98,A98)), UPPER(ComputeResourceName(#REF!,#REF!,#REF!,G98,N98,O98,P98,Q98,S98,T98,V98,A98))),""), "-",""))</f>
        <v/>
      </c>
      <c r="L98" s="3" t="str">
        <f xml:space="preserve"> IF(K98="","",  IFERROR(VLOOKUP(I98,Resources!$B$1:$H$1503,5,FALSE)-LEN(K98),0))</f>
        <v/>
      </c>
      <c r="M98" s="3" t="str">
        <f>IF(K98="","",IFERROR(matches(K98,VLOOKUP(I98,Resources!$A$2:$AA$1503,16,FALSE)),FALSE))</f>
        <v/>
      </c>
      <c r="N98" s="3" t="e">
        <f>VLOOKUP(E98,Enviroments!$A$3:$D$59,1,FALSE)</f>
        <v>#N/A</v>
      </c>
      <c r="O98" s="3" t="e">
        <f>VLOOKUP(E98,Enviroments!$A$3:$D$59,2,FALSE)</f>
        <v>#N/A</v>
      </c>
      <c r="P98" s="3" t="e">
        <f>VLOOKUP(E98,Enviroments!$A$3:$D$59,3,FALSE)</f>
        <v>#N/A</v>
      </c>
      <c r="Q98" s="3" t="e">
        <f>VLOOKUP(E98,Enviroments!$A$3:$D$59,4,FALSE)</f>
        <v>#N/A</v>
      </c>
      <c r="R98" s="3" t="e">
        <f>VLOOKUP(H98,AzureRegions!$A$4:$B$1493,1,FALSE)</f>
        <v>#N/A</v>
      </c>
      <c r="S98" s="3" t="e">
        <f>VLOOKUP(H98,AzureRegions!$A$4:$B$1493,2,FALSE)</f>
        <v>#N/A</v>
      </c>
      <c r="T98" s="3" t="e">
        <f>VLOOKUP(H98,AzureRegions!$A$4:$C$1493,3,FALSE)</f>
        <v>#N/A</v>
      </c>
      <c r="U98" s="3" t="e">
        <f>VLOOKUP(I98,Resources!$A$2:$AA$1503,2,FALSE)</f>
        <v>#N/A</v>
      </c>
      <c r="V98" s="3" t="e">
        <f>VLOOKUP(I98,Resources!$A$2:$H$1503,6,FALSE)</f>
        <v>#N/A</v>
      </c>
      <c r="W98" s="3" t="str">
        <f>VLOOKUP($H$2,Casing!$A$4:$A$60,1,FALSE)</f>
        <v>Lower</v>
      </c>
      <c r="X98" s="14" t="str">
        <f t="shared" si="3"/>
        <v>001</v>
      </c>
      <c r="Y98" s="3" t="str">
        <f>IFERROR(VLOOKUP(F98,Func!$A$4:$G$1500,2,FALSE),"none")</f>
        <v>none</v>
      </c>
      <c r="Z98" s="3" t="e">
        <f>VLOOKUP(I98,Resources!$A$2:$AA$1503,18,FALSE)</f>
        <v>#N/A</v>
      </c>
      <c r="AA98" s="3" t="str">
        <f>IFERROR(VLOOKUP(B98,Orgs!$A$4:$G$1500,2,FALSE),"none")</f>
        <v>none</v>
      </c>
      <c r="AB98" s="3" t="str">
        <f>IFERROR(VLOOKUP(C98,UnitsDepts!$A$4:$G$1500,2,FALSE),"none")</f>
        <v>none</v>
      </c>
      <c r="AC98" s="3" t="str">
        <f>IFERROR(VLOOKUP(D98,ProjAppSvc!$A$4:$G$1500,2,FALSE),"none")</f>
        <v>none</v>
      </c>
    </row>
    <row r="99" spans="1:29" x14ac:dyDescent="0.45">
      <c r="A99" s="14" t="s">
        <v>23</v>
      </c>
      <c r="B99" s="14"/>
      <c r="C99" s="14"/>
      <c r="D99" s="14"/>
      <c r="H99" s="8"/>
      <c r="I99" s="3"/>
      <c r="J99" s="3" t="str">
        <f t="shared" si="4"/>
        <v/>
      </c>
      <c r="K99" s="3" t="str">
        <f>IF(ISNUMBER(SEARCH("-",V99)),IFERROR(IF($H$2="Lower", LOWER(ComputeResourceName(Z99,#REF!,#REF!,G99,N99,O99,P99,Q99,S99,T99,V99,A99)), UPPER(ComputeResourceName(Z99,#REF!,#REF!,G99,N99,O99,P99,Q99,S99,T99,V99,A99))),""),SUBSTITUTE(IFERROR(IF($H$2="Lower", LOWER(ComputeResourceName(#REF!,#REF!,#REF!,G99,N99,O99,P99,Q99,S99,T99,V99,A99)), UPPER(ComputeResourceName(#REF!,#REF!,#REF!,G99,N99,O99,P99,Q99,S99,T99,V99,A99))),""), "-",""))</f>
        <v/>
      </c>
      <c r="L99" s="3" t="str">
        <f xml:space="preserve"> IF(K99="","",  IFERROR(VLOOKUP(I99,Resources!$B$1:$H$1503,5,FALSE)-LEN(K99),0))</f>
        <v/>
      </c>
      <c r="M99" s="3" t="str">
        <f>IF(K99="","",IFERROR(matches(K99,VLOOKUP(I99,Resources!$A$2:$AA$1503,16,FALSE)),FALSE))</f>
        <v/>
      </c>
      <c r="N99" s="3" t="e">
        <f>VLOOKUP(E99,Enviroments!$A$3:$D$59,1,FALSE)</f>
        <v>#N/A</v>
      </c>
      <c r="O99" s="3" t="e">
        <f>VLOOKUP(E99,Enviroments!$A$3:$D$59,2,FALSE)</f>
        <v>#N/A</v>
      </c>
      <c r="P99" s="3" t="e">
        <f>VLOOKUP(E99,Enviroments!$A$3:$D$59,3,FALSE)</f>
        <v>#N/A</v>
      </c>
      <c r="Q99" s="3" t="e">
        <f>VLOOKUP(E99,Enviroments!$A$3:$D$59,4,FALSE)</f>
        <v>#N/A</v>
      </c>
      <c r="R99" s="3" t="e">
        <f>VLOOKUP(H99,AzureRegions!$A$4:$B$1493,1,FALSE)</f>
        <v>#N/A</v>
      </c>
      <c r="S99" s="3" t="e">
        <f>VLOOKUP(H99,AzureRegions!$A$4:$B$1493,2,FALSE)</f>
        <v>#N/A</v>
      </c>
      <c r="T99" s="3" t="e">
        <f>VLOOKUP(H99,AzureRegions!$A$4:$C$1493,3,FALSE)</f>
        <v>#N/A</v>
      </c>
      <c r="U99" s="3" t="e">
        <f>VLOOKUP(I99,Resources!$A$2:$AA$1503,2,FALSE)</f>
        <v>#N/A</v>
      </c>
      <c r="V99" s="3" t="e">
        <f>VLOOKUP(I99,Resources!$A$2:$H$1503,6,FALSE)</f>
        <v>#N/A</v>
      </c>
      <c r="W99" s="3" t="str">
        <f>VLOOKUP($H$2,Casing!$A$4:$A$60,1,FALSE)</f>
        <v>Lower</v>
      </c>
      <c r="X99" s="14" t="str">
        <f t="shared" si="3"/>
        <v>001</v>
      </c>
      <c r="Y99" s="3" t="str">
        <f>IFERROR(VLOOKUP(F99,Func!$A$4:$G$1500,2,FALSE),"none")</f>
        <v>none</v>
      </c>
      <c r="Z99" s="3" t="e">
        <f>VLOOKUP(I99,Resources!$A$2:$AA$1503,18,FALSE)</f>
        <v>#N/A</v>
      </c>
      <c r="AA99" s="3" t="str">
        <f>IFERROR(VLOOKUP(B99,Orgs!$A$4:$G$1500,2,FALSE),"none")</f>
        <v>none</v>
      </c>
      <c r="AB99" s="3" t="str">
        <f>IFERROR(VLOOKUP(C99,UnitsDepts!$A$4:$G$1500,2,FALSE),"none")</f>
        <v>none</v>
      </c>
      <c r="AC99" s="3" t="str">
        <f>IFERROR(VLOOKUP(D99,ProjAppSvc!$A$4:$G$1500,2,FALSE),"none")</f>
        <v>none</v>
      </c>
    </row>
    <row r="100" spans="1:29" x14ac:dyDescent="0.45">
      <c r="A100" s="14" t="s">
        <v>23</v>
      </c>
      <c r="B100" s="14"/>
      <c r="C100" s="14"/>
      <c r="D100" s="14"/>
      <c r="H100" s="8"/>
      <c r="I100" s="3"/>
      <c r="J100" s="3" t="str">
        <f t="shared" si="4"/>
        <v/>
      </c>
      <c r="K100" s="3" t="str">
        <f>IF(ISNUMBER(SEARCH("-",V100)),IFERROR(IF($H$2="Lower", LOWER(ComputeResourceName(Z100,#REF!,#REF!,G100,N100,O100,P100,Q100,S100,T100,V100,A100)), UPPER(ComputeResourceName(Z100,#REF!,#REF!,G100,N100,O100,P100,Q100,S100,T100,V100,A100))),""),SUBSTITUTE(IFERROR(IF($H$2="Lower", LOWER(ComputeResourceName(#REF!,#REF!,#REF!,G100,N100,O100,P100,Q100,S100,T100,V100,A100)), UPPER(ComputeResourceName(#REF!,#REF!,#REF!,G100,N100,O100,P100,Q100,S100,T100,V100,A100))),""), "-",""))</f>
        <v/>
      </c>
      <c r="L100" s="3" t="str">
        <f xml:space="preserve"> IF(K100="","",  IFERROR(VLOOKUP(I100,Resources!$B$1:$H$1503,5,FALSE)-LEN(K100),0))</f>
        <v/>
      </c>
      <c r="M100" s="3" t="str">
        <f>IF(K100="","",IFERROR(matches(K100,VLOOKUP(I100,Resources!$A$2:$AA$1503,16,FALSE)),FALSE))</f>
        <v/>
      </c>
      <c r="N100" s="3" t="e">
        <f>VLOOKUP(E100,Enviroments!$A$3:$D$59,1,FALSE)</f>
        <v>#N/A</v>
      </c>
      <c r="O100" s="3" t="e">
        <f>VLOOKUP(E100,Enviroments!$A$3:$D$59,2,FALSE)</f>
        <v>#N/A</v>
      </c>
      <c r="P100" s="3" t="e">
        <f>VLOOKUP(E100,Enviroments!$A$3:$D$59,3,FALSE)</f>
        <v>#N/A</v>
      </c>
      <c r="Q100" s="3" t="e">
        <f>VLOOKUP(E100,Enviroments!$A$3:$D$59,4,FALSE)</f>
        <v>#N/A</v>
      </c>
      <c r="R100" s="3" t="e">
        <f>VLOOKUP(H100,AzureRegions!$A$4:$B$1493,1,FALSE)</f>
        <v>#N/A</v>
      </c>
      <c r="S100" s="3" t="e">
        <f>VLOOKUP(H100,AzureRegions!$A$4:$B$1493,2,FALSE)</f>
        <v>#N/A</v>
      </c>
      <c r="T100" s="3" t="e">
        <f>VLOOKUP(H100,AzureRegions!$A$4:$C$1493,3,FALSE)</f>
        <v>#N/A</v>
      </c>
      <c r="U100" s="3" t="e">
        <f>VLOOKUP(I100,Resources!$A$2:$AA$1503,2,FALSE)</f>
        <v>#N/A</v>
      </c>
      <c r="V100" s="3" t="e">
        <f>VLOOKUP(I100,Resources!$A$2:$H$1503,6,FALSE)</f>
        <v>#N/A</v>
      </c>
      <c r="W100" s="3" t="str">
        <f>VLOOKUP($H$2,Casing!$A$4:$A$60,1,FALSE)</f>
        <v>Lower</v>
      </c>
      <c r="X100" s="14" t="str">
        <f t="shared" si="3"/>
        <v>001</v>
      </c>
      <c r="Y100" s="3" t="str">
        <f>IFERROR(VLOOKUP(F100,Func!$A$4:$G$1500,2,FALSE),"none")</f>
        <v>none</v>
      </c>
      <c r="Z100" s="3" t="e">
        <f>VLOOKUP(I100,Resources!$A$2:$AA$1503,18,FALSE)</f>
        <v>#N/A</v>
      </c>
      <c r="AA100" s="3" t="str">
        <f>IFERROR(VLOOKUP(B100,Orgs!$A$4:$G$1500,2,FALSE),"none")</f>
        <v>none</v>
      </c>
      <c r="AB100" s="3" t="str">
        <f>IFERROR(VLOOKUP(C100,UnitsDepts!$A$4:$G$1500,2,FALSE),"none")</f>
        <v>none</v>
      </c>
      <c r="AC100" s="3" t="str">
        <f>IFERROR(VLOOKUP(D100,ProjAppSvc!$A$4:$G$1500,2,FALSE),"none")</f>
        <v>none</v>
      </c>
    </row>
    <row r="101" spans="1:29" x14ac:dyDescent="0.45">
      <c r="A101" s="14" t="s">
        <v>23</v>
      </c>
      <c r="B101" s="14"/>
      <c r="C101" s="14"/>
      <c r="D101" s="14"/>
      <c r="H101" s="8"/>
      <c r="I101" s="3"/>
      <c r="J101" s="3" t="str">
        <f t="shared" si="4"/>
        <v/>
      </c>
      <c r="K101" s="3" t="str">
        <f>IF(ISNUMBER(SEARCH("-",V101)),IFERROR(IF($H$2="Lower", LOWER(ComputeResourceName(Z101,#REF!,#REF!,G101,N101,O101,P101,Q101,S101,T101,V101,A101)), UPPER(ComputeResourceName(Z101,#REF!,#REF!,G101,N101,O101,P101,Q101,S101,T101,V101,A101))),""),SUBSTITUTE(IFERROR(IF($H$2="Lower", LOWER(ComputeResourceName(#REF!,#REF!,#REF!,G101,N101,O101,P101,Q101,S101,T101,V101,A101)), UPPER(ComputeResourceName(#REF!,#REF!,#REF!,G101,N101,O101,P101,Q101,S101,T101,V101,A101))),""), "-",""))</f>
        <v/>
      </c>
      <c r="L101" s="3" t="str">
        <f xml:space="preserve"> IF(K101="","",  IFERROR(VLOOKUP(I101,Resources!$B$1:$H$1503,5,FALSE)-LEN(K101),0))</f>
        <v/>
      </c>
      <c r="M101" s="3" t="str">
        <f>IF(K101="","",IFERROR(matches(K101,VLOOKUP(I101,Resources!$A$2:$AA$1503,16,FALSE)),FALSE))</f>
        <v/>
      </c>
      <c r="N101" s="3" t="e">
        <f>VLOOKUP(E101,Enviroments!$A$3:$D$59,1,FALSE)</f>
        <v>#N/A</v>
      </c>
      <c r="O101" s="3" t="e">
        <f>VLOOKUP(E101,Enviroments!$A$3:$D$59,2,FALSE)</f>
        <v>#N/A</v>
      </c>
      <c r="P101" s="3" t="e">
        <f>VLOOKUP(E101,Enviroments!$A$3:$D$59,3,FALSE)</f>
        <v>#N/A</v>
      </c>
      <c r="Q101" s="3" t="e">
        <f>VLOOKUP(E101,Enviroments!$A$3:$D$59,4,FALSE)</f>
        <v>#N/A</v>
      </c>
      <c r="R101" s="3" t="e">
        <f>VLOOKUP(H101,AzureRegions!$A$4:$B$1493,1,FALSE)</f>
        <v>#N/A</v>
      </c>
      <c r="S101" s="3" t="e">
        <f>VLOOKUP(H101,AzureRegions!$A$4:$B$1493,2,FALSE)</f>
        <v>#N/A</v>
      </c>
      <c r="T101" s="3" t="e">
        <f>VLOOKUP(H101,AzureRegions!$A$4:$C$1493,3,FALSE)</f>
        <v>#N/A</v>
      </c>
      <c r="U101" s="3" t="e">
        <f>VLOOKUP(I101,Resources!$A$2:$AA$1503,2,FALSE)</f>
        <v>#N/A</v>
      </c>
      <c r="V101" s="3" t="e">
        <f>VLOOKUP(I101,Resources!$A$2:$H$1503,6,FALSE)</f>
        <v>#N/A</v>
      </c>
      <c r="W101" s="3" t="str">
        <f>VLOOKUP($H$2,Casing!$A$4:$A$60,1,FALSE)</f>
        <v>Lower</v>
      </c>
      <c r="X101" s="14" t="str">
        <f t="shared" si="3"/>
        <v>001</v>
      </c>
      <c r="Y101" s="3" t="str">
        <f>IFERROR(VLOOKUP(F101,Func!$A$4:$G$1500,2,FALSE),"none")</f>
        <v>none</v>
      </c>
      <c r="Z101" s="3" t="e">
        <f>VLOOKUP(I101,Resources!$A$2:$AA$1503,18,FALSE)</f>
        <v>#N/A</v>
      </c>
      <c r="AA101" s="3" t="str">
        <f>IFERROR(VLOOKUP(B101,Orgs!$A$4:$G$1500,2,FALSE),"none")</f>
        <v>none</v>
      </c>
      <c r="AB101" s="3" t="str">
        <f>IFERROR(VLOOKUP(C101,UnitsDepts!$A$4:$G$1500,2,FALSE),"none")</f>
        <v>none</v>
      </c>
      <c r="AC101" s="3" t="str">
        <f>IFERROR(VLOOKUP(D101,ProjAppSvc!$A$4:$G$1500,2,FALSE),"none")</f>
        <v>none</v>
      </c>
    </row>
    <row r="102" spans="1:29" x14ac:dyDescent="0.45">
      <c r="A102" s="14" t="s">
        <v>23</v>
      </c>
      <c r="B102" s="14"/>
      <c r="C102" s="14"/>
      <c r="D102" s="14"/>
      <c r="H102" s="8"/>
      <c r="I102" s="3"/>
      <c r="J102" s="3" t="str">
        <f t="shared" si="4"/>
        <v/>
      </c>
      <c r="K102" s="3" t="str">
        <f>IF(ISNUMBER(SEARCH("-",V102)),IFERROR(IF($H$2="Lower", LOWER(ComputeResourceName(Z102,#REF!,#REF!,G102,N102,O102,P102,Q102,S102,T102,V102,A102)), UPPER(ComputeResourceName(Z102,#REF!,#REF!,G102,N102,O102,P102,Q102,S102,T102,V102,A102))),""),SUBSTITUTE(IFERROR(IF($H$2="Lower", LOWER(ComputeResourceName(#REF!,#REF!,#REF!,G102,N102,O102,P102,Q102,S102,T102,V102,A102)), UPPER(ComputeResourceName(#REF!,#REF!,#REF!,G102,N102,O102,P102,Q102,S102,T102,V102,A102))),""), "-",""))</f>
        <v/>
      </c>
      <c r="L102" s="3" t="str">
        <f xml:space="preserve"> IF(K102="","",  IFERROR(VLOOKUP(I102,Resources!$B$1:$H$1503,5,FALSE)-LEN(K102),0))</f>
        <v/>
      </c>
      <c r="M102" s="3" t="str">
        <f>IF(K102="","",IFERROR(matches(K102,VLOOKUP(I102,Resources!$A$2:$AA$1503,16,FALSE)),FALSE))</f>
        <v/>
      </c>
      <c r="N102" s="3" t="e">
        <f>VLOOKUP(E102,Enviroments!$A$3:$D$59,1,FALSE)</f>
        <v>#N/A</v>
      </c>
      <c r="O102" s="3" t="e">
        <f>VLOOKUP(E102,Enviroments!$A$3:$D$59,2,FALSE)</f>
        <v>#N/A</v>
      </c>
      <c r="P102" s="3" t="e">
        <f>VLOOKUP(E102,Enviroments!$A$3:$D$59,3,FALSE)</f>
        <v>#N/A</v>
      </c>
      <c r="Q102" s="3" t="e">
        <f>VLOOKUP(E102,Enviroments!$A$3:$D$59,4,FALSE)</f>
        <v>#N/A</v>
      </c>
      <c r="R102" s="3" t="e">
        <f>VLOOKUP(H102,AzureRegions!$A$4:$B$1493,1,FALSE)</f>
        <v>#N/A</v>
      </c>
      <c r="S102" s="3" t="e">
        <f>VLOOKUP(H102,AzureRegions!$A$4:$B$1493,2,FALSE)</f>
        <v>#N/A</v>
      </c>
      <c r="T102" s="3" t="e">
        <f>VLOOKUP(H102,AzureRegions!$A$4:$C$1493,3,FALSE)</f>
        <v>#N/A</v>
      </c>
      <c r="U102" s="3" t="e">
        <f>VLOOKUP(I102,Resources!$A$2:$AA$1503,2,FALSE)</f>
        <v>#N/A</v>
      </c>
      <c r="V102" s="3" t="e">
        <f>VLOOKUP(I102,Resources!$A$2:$H$1503,6,FALSE)</f>
        <v>#N/A</v>
      </c>
      <c r="W102" s="3" t="str">
        <f>VLOOKUP($H$2,Casing!$A$4:$A$60,1,FALSE)</f>
        <v>Lower</v>
      </c>
      <c r="X102" s="14" t="str">
        <f t="shared" si="3"/>
        <v>001</v>
      </c>
      <c r="Y102" s="3" t="str">
        <f>IFERROR(VLOOKUP(F102,Func!$A$4:$G$1500,2,FALSE),"none")</f>
        <v>none</v>
      </c>
      <c r="Z102" s="3" t="e">
        <f>VLOOKUP(I102,Resources!$A$2:$AA$1503,18,FALSE)</f>
        <v>#N/A</v>
      </c>
      <c r="AA102" s="3" t="str">
        <f>IFERROR(VLOOKUP(B102,Orgs!$A$4:$G$1500,2,FALSE),"none")</f>
        <v>none</v>
      </c>
      <c r="AB102" s="3" t="str">
        <f>IFERROR(VLOOKUP(C102,UnitsDepts!$A$4:$G$1500,2,FALSE),"none")</f>
        <v>none</v>
      </c>
      <c r="AC102" s="3" t="str">
        <f>IFERROR(VLOOKUP(D102,ProjAppSvc!$A$4:$G$1500,2,FALSE),"none")</f>
        <v>none</v>
      </c>
    </row>
    <row r="103" spans="1:29" x14ac:dyDescent="0.45">
      <c r="A103" s="14" t="s">
        <v>23</v>
      </c>
      <c r="B103" s="14"/>
      <c r="C103" s="14"/>
      <c r="D103" s="14"/>
      <c r="H103" s="8"/>
      <c r="I103" s="3"/>
      <c r="J103" s="3" t="str">
        <f t="shared" si="4"/>
        <v/>
      </c>
      <c r="K103" s="3" t="str">
        <f>IF(ISNUMBER(SEARCH("-",V103)),IFERROR(IF($H$2="Lower", LOWER(ComputeResourceName(Z103,#REF!,#REF!,G103,N103,O103,P103,Q103,S103,T103,V103,A103)), UPPER(ComputeResourceName(Z103,#REF!,#REF!,G103,N103,O103,P103,Q103,S103,T103,V103,A103))),""),SUBSTITUTE(IFERROR(IF($H$2="Lower", LOWER(ComputeResourceName(#REF!,#REF!,#REF!,G103,N103,O103,P103,Q103,S103,T103,V103,A103)), UPPER(ComputeResourceName(#REF!,#REF!,#REF!,G103,N103,O103,P103,Q103,S103,T103,V103,A103))),""), "-",""))</f>
        <v/>
      </c>
      <c r="L103" s="3" t="str">
        <f xml:space="preserve"> IF(K103="","",  IFERROR(VLOOKUP(I103,Resources!$B$1:$H$1503,5,FALSE)-LEN(K103),0))</f>
        <v/>
      </c>
      <c r="M103" s="3" t="str">
        <f>IF(K103="","",IFERROR(matches(K103,VLOOKUP(I103,Resources!$A$2:$AA$1503,16,FALSE)),FALSE))</f>
        <v/>
      </c>
      <c r="N103" s="3" t="e">
        <f>VLOOKUP(E103,Enviroments!$A$3:$D$59,1,FALSE)</f>
        <v>#N/A</v>
      </c>
      <c r="O103" s="3" t="e">
        <f>VLOOKUP(E103,Enviroments!$A$3:$D$59,2,FALSE)</f>
        <v>#N/A</v>
      </c>
      <c r="P103" s="3" t="e">
        <f>VLOOKUP(E103,Enviroments!$A$3:$D$59,3,FALSE)</f>
        <v>#N/A</v>
      </c>
      <c r="Q103" s="3" t="e">
        <f>VLOOKUP(E103,Enviroments!$A$3:$D$59,4,FALSE)</f>
        <v>#N/A</v>
      </c>
      <c r="R103" s="3" t="e">
        <f>VLOOKUP(H103,AzureRegions!$A$4:$B$1493,1,FALSE)</f>
        <v>#N/A</v>
      </c>
      <c r="S103" s="3" t="e">
        <f>VLOOKUP(H103,AzureRegions!$A$4:$B$1493,2,FALSE)</f>
        <v>#N/A</v>
      </c>
      <c r="T103" s="3" t="e">
        <f>VLOOKUP(H103,AzureRegions!$A$4:$C$1493,3,FALSE)</f>
        <v>#N/A</v>
      </c>
      <c r="U103" s="3" t="e">
        <f>VLOOKUP(I103,Resources!$A$2:$AA$1503,2,FALSE)</f>
        <v>#N/A</v>
      </c>
      <c r="V103" s="3" t="e">
        <f>VLOOKUP(I103,Resources!$A$2:$H$1503,6,FALSE)</f>
        <v>#N/A</v>
      </c>
      <c r="W103" s="3" t="str">
        <f>VLOOKUP($H$2,Casing!$A$4:$A$60,1,FALSE)</f>
        <v>Lower</v>
      </c>
      <c r="X103" s="14" t="str">
        <f t="shared" si="3"/>
        <v>001</v>
      </c>
      <c r="Y103" s="3" t="str">
        <f>IFERROR(VLOOKUP(F103,Func!$A$4:$G$1500,2,FALSE),"none")</f>
        <v>none</v>
      </c>
      <c r="Z103" s="3" t="e">
        <f>VLOOKUP(I103,Resources!$A$2:$AA$1503,18,FALSE)</f>
        <v>#N/A</v>
      </c>
      <c r="AA103" s="3" t="str">
        <f>IFERROR(VLOOKUP(B103,Orgs!$A$4:$G$1500,2,FALSE),"none")</f>
        <v>none</v>
      </c>
      <c r="AB103" s="3" t="str">
        <f>IFERROR(VLOOKUP(C103,UnitsDepts!$A$4:$G$1500,2,FALSE),"none")</f>
        <v>none</v>
      </c>
      <c r="AC103" s="3" t="str">
        <f>IFERROR(VLOOKUP(D103,ProjAppSvc!$A$4:$G$1500,2,FALSE),"none")</f>
        <v>none</v>
      </c>
    </row>
    <row r="104" spans="1:29" x14ac:dyDescent="0.45">
      <c r="A104" s="14" t="s">
        <v>23</v>
      </c>
      <c r="B104" s="14"/>
      <c r="C104" s="14"/>
      <c r="D104" s="14"/>
      <c r="H104" s="8"/>
      <c r="I104" s="3"/>
      <c r="J104" s="3" t="str">
        <f t="shared" si="4"/>
        <v/>
      </c>
      <c r="K104" s="3" t="str">
        <f>IF(ISNUMBER(SEARCH("-",V104)),IFERROR(IF($H$2="Lower", LOWER(ComputeResourceName(Z104,#REF!,#REF!,G104,N104,O104,P104,Q104,S104,T104,V104,A104)), UPPER(ComputeResourceName(Z104,#REF!,#REF!,G104,N104,O104,P104,Q104,S104,T104,V104,A104))),""),SUBSTITUTE(IFERROR(IF($H$2="Lower", LOWER(ComputeResourceName(#REF!,#REF!,#REF!,G104,N104,O104,P104,Q104,S104,T104,V104,A104)), UPPER(ComputeResourceName(#REF!,#REF!,#REF!,G104,N104,O104,P104,Q104,S104,T104,V104,A104))),""), "-",""))</f>
        <v/>
      </c>
      <c r="L104" s="3" t="str">
        <f xml:space="preserve"> IF(K104="","",  IFERROR(VLOOKUP(I104,Resources!$B$1:$H$1503,5,FALSE)-LEN(K104),0))</f>
        <v/>
      </c>
      <c r="M104" s="3" t="str">
        <f>IF(K104="","",IFERROR(matches(K104,VLOOKUP(I104,Resources!$A$2:$AA$1503,16,FALSE)),FALSE))</f>
        <v/>
      </c>
      <c r="N104" s="3" t="e">
        <f>VLOOKUP(E104,Enviroments!$A$3:$D$59,1,FALSE)</f>
        <v>#N/A</v>
      </c>
      <c r="O104" s="3" t="e">
        <f>VLOOKUP(E104,Enviroments!$A$3:$D$59,2,FALSE)</f>
        <v>#N/A</v>
      </c>
      <c r="P104" s="3" t="e">
        <f>VLOOKUP(E104,Enviroments!$A$3:$D$59,3,FALSE)</f>
        <v>#N/A</v>
      </c>
      <c r="Q104" s="3" t="e">
        <f>VLOOKUP(E104,Enviroments!$A$3:$D$59,4,FALSE)</f>
        <v>#N/A</v>
      </c>
      <c r="R104" s="3" t="e">
        <f>VLOOKUP(H104,AzureRegions!$A$4:$B$1493,1,FALSE)</f>
        <v>#N/A</v>
      </c>
      <c r="S104" s="3" t="e">
        <f>VLOOKUP(H104,AzureRegions!$A$4:$B$1493,2,FALSE)</f>
        <v>#N/A</v>
      </c>
      <c r="T104" s="3" t="e">
        <f>VLOOKUP(H104,AzureRegions!$A$4:$C$1493,3,FALSE)</f>
        <v>#N/A</v>
      </c>
      <c r="U104" s="3" t="e">
        <f>VLOOKUP(I104,Resources!$A$2:$AA$1503,2,FALSE)</f>
        <v>#N/A</v>
      </c>
      <c r="V104" s="3" t="e">
        <f>VLOOKUP(I104,Resources!$A$2:$H$1503,6,FALSE)</f>
        <v>#N/A</v>
      </c>
      <c r="W104" s="3" t="str">
        <f>VLOOKUP($H$2,Casing!$A$4:$A$60,1,FALSE)</f>
        <v>Lower</v>
      </c>
      <c r="X104" s="14" t="str">
        <f t="shared" si="3"/>
        <v>001</v>
      </c>
      <c r="Y104" s="3" t="str">
        <f>IFERROR(VLOOKUP(F104,Func!$A$4:$G$1500,2,FALSE),"none")</f>
        <v>none</v>
      </c>
      <c r="Z104" s="3" t="e">
        <f>VLOOKUP(I104,Resources!$A$2:$AA$1503,18,FALSE)</f>
        <v>#N/A</v>
      </c>
      <c r="AA104" s="3" t="str">
        <f>IFERROR(VLOOKUP(B104,Orgs!$A$4:$G$1500,2,FALSE),"none")</f>
        <v>none</v>
      </c>
      <c r="AB104" s="3" t="str">
        <f>IFERROR(VLOOKUP(C104,UnitsDepts!$A$4:$G$1500,2,FALSE),"none")</f>
        <v>none</v>
      </c>
      <c r="AC104" s="3" t="str">
        <f>IFERROR(VLOOKUP(D104,ProjAppSvc!$A$4:$G$1500,2,FALSE),"none")</f>
        <v>none</v>
      </c>
    </row>
    <row r="105" spans="1:29" x14ac:dyDescent="0.45">
      <c r="A105" s="14" t="s">
        <v>23</v>
      </c>
      <c r="B105" s="14"/>
      <c r="C105" s="14"/>
      <c r="D105" s="14"/>
      <c r="H105" s="8"/>
      <c r="I105" s="3"/>
      <c r="J105" s="3" t="str">
        <f t="shared" si="4"/>
        <v/>
      </c>
      <c r="K105" s="3" t="str">
        <f>IF(ISNUMBER(SEARCH("-",V105)),IFERROR(IF($H$2="Lower", LOWER(ComputeResourceName(Z105,#REF!,#REF!,G105,N105,O105,P105,Q105,S105,T105,V105,A105)), UPPER(ComputeResourceName(Z105,#REF!,#REF!,G105,N105,O105,P105,Q105,S105,T105,V105,A105))),""),SUBSTITUTE(IFERROR(IF($H$2="Lower", LOWER(ComputeResourceName(#REF!,#REF!,#REF!,G105,N105,O105,P105,Q105,S105,T105,V105,A105)), UPPER(ComputeResourceName(#REF!,#REF!,#REF!,G105,N105,O105,P105,Q105,S105,T105,V105,A105))),""), "-",""))</f>
        <v/>
      </c>
      <c r="L105" s="3" t="str">
        <f xml:space="preserve"> IF(K105="","",  IFERROR(VLOOKUP(I105,Resources!$B$1:$H$1503,5,FALSE)-LEN(K105),0))</f>
        <v/>
      </c>
      <c r="M105" s="3" t="str">
        <f>IF(K105="","",IFERROR(matches(K105,VLOOKUP(I105,Resources!$A$2:$AA$1503,16,FALSE)),FALSE))</f>
        <v/>
      </c>
      <c r="N105" s="3" t="e">
        <f>VLOOKUP(E105,Enviroments!$A$3:$D$59,1,FALSE)</f>
        <v>#N/A</v>
      </c>
      <c r="O105" s="3" t="e">
        <f>VLOOKUP(E105,Enviroments!$A$3:$D$59,2,FALSE)</f>
        <v>#N/A</v>
      </c>
      <c r="P105" s="3" t="e">
        <f>VLOOKUP(E105,Enviroments!$A$3:$D$59,3,FALSE)</f>
        <v>#N/A</v>
      </c>
      <c r="Q105" s="3" t="e">
        <f>VLOOKUP(E105,Enviroments!$A$3:$D$59,4,FALSE)</f>
        <v>#N/A</v>
      </c>
      <c r="R105" s="3" t="e">
        <f>VLOOKUP(H105,AzureRegions!$A$4:$B$1493,1,FALSE)</f>
        <v>#N/A</v>
      </c>
      <c r="S105" s="3" t="e">
        <f>VLOOKUP(H105,AzureRegions!$A$4:$B$1493,2,FALSE)</f>
        <v>#N/A</v>
      </c>
      <c r="T105" s="3" t="e">
        <f>VLOOKUP(H105,AzureRegions!$A$4:$C$1493,3,FALSE)</f>
        <v>#N/A</v>
      </c>
      <c r="U105" s="3" t="e">
        <f>VLOOKUP(I105,Resources!$A$2:$AA$1503,2,FALSE)</f>
        <v>#N/A</v>
      </c>
      <c r="V105" s="3" t="e">
        <f>VLOOKUP(I105,Resources!$A$2:$H$1503,6,FALSE)</f>
        <v>#N/A</v>
      </c>
      <c r="W105" s="3" t="str">
        <f>VLOOKUP($H$2,Casing!$A$4:$A$60,1,FALSE)</f>
        <v>Lower</v>
      </c>
      <c r="X105" s="14" t="str">
        <f t="shared" si="3"/>
        <v>001</v>
      </c>
      <c r="Y105" s="3" t="str">
        <f>IFERROR(VLOOKUP(F105,Func!$A$4:$G$1500,2,FALSE),"none")</f>
        <v>none</v>
      </c>
      <c r="Z105" s="3" t="e">
        <f>VLOOKUP(I105,Resources!$A$2:$AA$1503,18,FALSE)</f>
        <v>#N/A</v>
      </c>
      <c r="AA105" s="3" t="str">
        <f>IFERROR(VLOOKUP(B105,Orgs!$A$4:$G$1500,2,FALSE),"none")</f>
        <v>none</v>
      </c>
      <c r="AB105" s="3" t="str">
        <f>IFERROR(VLOOKUP(C105,UnitsDepts!$A$4:$G$1500,2,FALSE),"none")</f>
        <v>none</v>
      </c>
      <c r="AC105" s="3" t="str">
        <f>IFERROR(VLOOKUP(D105,ProjAppSvc!$A$4:$G$1500,2,FALSE),"none")</f>
        <v>none</v>
      </c>
    </row>
    <row r="106" spans="1:29" x14ac:dyDescent="0.45">
      <c r="A106" s="14" t="s">
        <v>23</v>
      </c>
      <c r="B106" s="14"/>
      <c r="C106" s="14"/>
      <c r="D106" s="14"/>
      <c r="H106" s="8"/>
      <c r="I106" s="3"/>
      <c r="J106" s="3" t="str">
        <f t="shared" si="4"/>
        <v/>
      </c>
      <c r="K106" s="3" t="str">
        <f>IF(ISNUMBER(SEARCH("-",V106)),IFERROR(IF($H$2="Lower", LOWER(ComputeResourceName(Z106,#REF!,#REF!,G106,N106,O106,P106,Q106,S106,T106,V106,A106)), UPPER(ComputeResourceName(Z106,#REF!,#REF!,G106,N106,O106,P106,Q106,S106,T106,V106,A106))),""),SUBSTITUTE(IFERROR(IF($H$2="Lower", LOWER(ComputeResourceName(#REF!,#REF!,#REF!,G106,N106,O106,P106,Q106,S106,T106,V106,A106)), UPPER(ComputeResourceName(#REF!,#REF!,#REF!,G106,N106,O106,P106,Q106,S106,T106,V106,A106))),""), "-",""))</f>
        <v/>
      </c>
      <c r="L106" s="3" t="str">
        <f xml:space="preserve"> IF(K106="","",  IFERROR(VLOOKUP(I106,Resources!$B$1:$H$1503,5,FALSE)-LEN(K106),0))</f>
        <v/>
      </c>
      <c r="M106" s="3" t="str">
        <f>IF(K106="","",IFERROR(matches(K106,VLOOKUP(I106,Resources!$A$2:$AA$1503,16,FALSE)),FALSE))</f>
        <v/>
      </c>
      <c r="N106" s="3" t="e">
        <f>VLOOKUP(E106,Enviroments!$A$3:$D$59,1,FALSE)</f>
        <v>#N/A</v>
      </c>
      <c r="O106" s="3" t="e">
        <f>VLOOKUP(E106,Enviroments!$A$3:$D$59,2,FALSE)</f>
        <v>#N/A</v>
      </c>
      <c r="P106" s="3" t="e">
        <f>VLOOKUP(E106,Enviroments!$A$3:$D$59,3,FALSE)</f>
        <v>#N/A</v>
      </c>
      <c r="Q106" s="3" t="e">
        <f>VLOOKUP(E106,Enviroments!$A$3:$D$59,4,FALSE)</f>
        <v>#N/A</v>
      </c>
      <c r="R106" s="3" t="e">
        <f>VLOOKUP(H106,AzureRegions!$A$4:$B$1493,1,FALSE)</f>
        <v>#N/A</v>
      </c>
      <c r="S106" s="3" t="e">
        <f>VLOOKUP(H106,AzureRegions!$A$4:$B$1493,2,FALSE)</f>
        <v>#N/A</v>
      </c>
      <c r="T106" s="3" t="e">
        <f>VLOOKUP(H106,AzureRegions!$A$4:$C$1493,3,FALSE)</f>
        <v>#N/A</v>
      </c>
      <c r="U106" s="3" t="e">
        <f>VLOOKUP(I106,Resources!$A$2:$AA$1503,2,FALSE)</f>
        <v>#N/A</v>
      </c>
      <c r="V106" s="3" t="e">
        <f>VLOOKUP(I106,Resources!$A$2:$H$1503,6,FALSE)</f>
        <v>#N/A</v>
      </c>
      <c r="W106" s="3" t="str">
        <f>VLOOKUP($H$2,Casing!$A$4:$A$60,1,FALSE)</f>
        <v>Lower</v>
      </c>
      <c r="X106" s="14" t="str">
        <f t="shared" si="3"/>
        <v>001</v>
      </c>
      <c r="Y106" s="3" t="str">
        <f>IFERROR(VLOOKUP(F106,Func!$A$4:$G$1500,2,FALSE),"none")</f>
        <v>none</v>
      </c>
      <c r="Z106" s="3" t="e">
        <f>VLOOKUP(I106,Resources!$A$2:$AA$1503,18,FALSE)</f>
        <v>#N/A</v>
      </c>
      <c r="AA106" s="3" t="str">
        <f>IFERROR(VLOOKUP(B106,Orgs!$A$4:$G$1500,2,FALSE),"none")</f>
        <v>none</v>
      </c>
      <c r="AB106" s="3" t="str">
        <f>IFERROR(VLOOKUP(C106,UnitsDepts!$A$4:$G$1500,2,FALSE),"none")</f>
        <v>none</v>
      </c>
      <c r="AC106" s="3" t="str">
        <f>IFERROR(VLOOKUP(D106,ProjAppSvc!$A$4:$G$1500,2,FALSE),"none")</f>
        <v>none</v>
      </c>
    </row>
    <row r="107" spans="1:29" x14ac:dyDescent="0.45">
      <c r="A107" s="14" t="s">
        <v>23</v>
      </c>
      <c r="B107" s="14"/>
      <c r="C107" s="14"/>
      <c r="D107" s="14"/>
      <c r="H107" s="8"/>
      <c r="I107" s="3"/>
      <c r="J107" s="3" t="str">
        <f t="shared" si="4"/>
        <v/>
      </c>
      <c r="K107" s="3" t="str">
        <f>IF(ISNUMBER(SEARCH("-",V107)),IFERROR(IF($H$2="Lower", LOWER(ComputeResourceName(Z107,#REF!,#REF!,G107,N107,O107,P107,Q107,S107,T107,V107,A107)), UPPER(ComputeResourceName(Z107,#REF!,#REF!,G107,N107,O107,P107,Q107,S107,T107,V107,A107))),""),SUBSTITUTE(IFERROR(IF($H$2="Lower", LOWER(ComputeResourceName(#REF!,#REF!,#REF!,G107,N107,O107,P107,Q107,S107,T107,V107,A107)), UPPER(ComputeResourceName(#REF!,#REF!,#REF!,G107,N107,O107,P107,Q107,S107,T107,V107,A107))),""), "-",""))</f>
        <v/>
      </c>
      <c r="L107" s="3" t="str">
        <f xml:space="preserve"> IF(K107="","",  IFERROR(VLOOKUP(I107,Resources!$B$1:$H$1503,5,FALSE)-LEN(K107),0))</f>
        <v/>
      </c>
      <c r="M107" s="3" t="str">
        <f>IF(K107="","",IFERROR(matches(K107,VLOOKUP(I107,Resources!$A$2:$AA$1503,16,FALSE)),FALSE))</f>
        <v/>
      </c>
      <c r="N107" s="3" t="e">
        <f>VLOOKUP(E107,Enviroments!$A$3:$D$59,1,FALSE)</f>
        <v>#N/A</v>
      </c>
      <c r="O107" s="3" t="e">
        <f>VLOOKUP(E107,Enviroments!$A$3:$D$59,2,FALSE)</f>
        <v>#N/A</v>
      </c>
      <c r="P107" s="3" t="e">
        <f>VLOOKUP(E107,Enviroments!$A$3:$D$59,3,FALSE)</f>
        <v>#N/A</v>
      </c>
      <c r="Q107" s="3" t="e">
        <f>VLOOKUP(E107,Enviroments!$A$3:$D$59,4,FALSE)</f>
        <v>#N/A</v>
      </c>
      <c r="R107" s="3" t="e">
        <f>VLOOKUP(H107,AzureRegions!$A$4:$B$1493,1,FALSE)</f>
        <v>#N/A</v>
      </c>
      <c r="S107" s="3" t="e">
        <f>VLOOKUP(H107,AzureRegions!$A$4:$B$1493,2,FALSE)</f>
        <v>#N/A</v>
      </c>
      <c r="T107" s="3" t="e">
        <f>VLOOKUP(H107,AzureRegions!$A$4:$C$1493,3,FALSE)</f>
        <v>#N/A</v>
      </c>
      <c r="U107" s="3" t="e">
        <f>VLOOKUP(I107,Resources!$A$2:$AA$1503,2,FALSE)</f>
        <v>#N/A</v>
      </c>
      <c r="V107" s="3" t="e">
        <f>VLOOKUP(I107,Resources!$A$2:$H$1503,6,FALSE)</f>
        <v>#N/A</v>
      </c>
      <c r="W107" s="3" t="str">
        <f>VLOOKUP($H$2,Casing!$A$4:$A$60,1,FALSE)</f>
        <v>Lower</v>
      </c>
      <c r="X107" s="14" t="str">
        <f t="shared" si="3"/>
        <v>001</v>
      </c>
      <c r="Y107" s="3" t="str">
        <f>IFERROR(VLOOKUP(F107,Func!$A$4:$G$1500,2,FALSE),"none")</f>
        <v>none</v>
      </c>
      <c r="Z107" s="3" t="e">
        <f>VLOOKUP(I107,Resources!$A$2:$AA$1503,18,FALSE)</f>
        <v>#N/A</v>
      </c>
      <c r="AA107" s="3" t="str">
        <f>IFERROR(VLOOKUP(B107,Orgs!$A$4:$G$1500,2,FALSE),"none")</f>
        <v>none</v>
      </c>
      <c r="AB107" s="3" t="str">
        <f>IFERROR(VLOOKUP(C107,UnitsDepts!$A$4:$G$1500,2,FALSE),"none")</f>
        <v>none</v>
      </c>
      <c r="AC107" s="3" t="str">
        <f>IFERROR(VLOOKUP(D107,ProjAppSvc!$A$4:$G$1500,2,FALSE),"none")</f>
        <v>none</v>
      </c>
    </row>
    <row r="108" spans="1:29" x14ac:dyDescent="0.45">
      <c r="A108" s="14" t="s">
        <v>23</v>
      </c>
      <c r="B108" s="14"/>
      <c r="C108" s="14"/>
      <c r="D108" s="14"/>
      <c r="H108" s="8"/>
      <c r="I108" s="3"/>
      <c r="J108" s="3" t="str">
        <f t="shared" si="4"/>
        <v/>
      </c>
      <c r="K108" s="3" t="str">
        <f>IF(ISNUMBER(SEARCH("-",V108)),IFERROR(IF($H$2="Lower", LOWER(ComputeResourceName(Z108,#REF!,#REF!,G108,N108,O108,P108,Q108,S108,T108,V108,A108)), UPPER(ComputeResourceName(Z108,#REF!,#REF!,G108,N108,O108,P108,Q108,S108,T108,V108,A108))),""),SUBSTITUTE(IFERROR(IF($H$2="Lower", LOWER(ComputeResourceName(#REF!,#REF!,#REF!,G108,N108,O108,P108,Q108,S108,T108,V108,A108)), UPPER(ComputeResourceName(#REF!,#REF!,#REF!,G108,N108,O108,P108,Q108,S108,T108,V108,A108))),""), "-",""))</f>
        <v/>
      </c>
      <c r="L108" s="3" t="str">
        <f xml:space="preserve"> IF(K108="","",  IFERROR(VLOOKUP(I108,Resources!$B$1:$H$1503,5,FALSE)-LEN(K108),0))</f>
        <v/>
      </c>
      <c r="M108" s="3" t="str">
        <f>IF(K108="","",IFERROR(matches(K108,VLOOKUP(I108,Resources!$A$2:$AA$1503,16,FALSE)),FALSE))</f>
        <v/>
      </c>
      <c r="N108" s="3" t="e">
        <f>VLOOKUP(E108,Enviroments!$A$3:$D$59,1,FALSE)</f>
        <v>#N/A</v>
      </c>
      <c r="O108" s="3" t="e">
        <f>VLOOKUP(E108,Enviroments!$A$3:$D$59,2,FALSE)</f>
        <v>#N/A</v>
      </c>
      <c r="P108" s="3" t="e">
        <f>VLOOKUP(E108,Enviroments!$A$3:$D$59,3,FALSE)</f>
        <v>#N/A</v>
      </c>
      <c r="Q108" s="3" t="e">
        <f>VLOOKUP(E108,Enviroments!$A$3:$D$59,4,FALSE)</f>
        <v>#N/A</v>
      </c>
      <c r="R108" s="3" t="e">
        <f>VLOOKUP(H108,AzureRegions!$A$4:$B$1493,1,FALSE)</f>
        <v>#N/A</v>
      </c>
      <c r="S108" s="3" t="e">
        <f>VLOOKUP(H108,AzureRegions!$A$4:$B$1493,2,FALSE)</f>
        <v>#N/A</v>
      </c>
      <c r="T108" s="3" t="e">
        <f>VLOOKUP(H108,AzureRegions!$A$4:$C$1493,3,FALSE)</f>
        <v>#N/A</v>
      </c>
      <c r="U108" s="3" t="e">
        <f>VLOOKUP(I108,Resources!$A$2:$AA$1503,2,FALSE)</f>
        <v>#N/A</v>
      </c>
      <c r="V108" s="3" t="e">
        <f>VLOOKUP(I108,Resources!$A$2:$H$1503,6,FALSE)</f>
        <v>#N/A</v>
      </c>
      <c r="W108" s="3" t="str">
        <f>VLOOKUP($H$2,Casing!$A$4:$A$60,1,FALSE)</f>
        <v>Lower</v>
      </c>
      <c r="X108" s="14" t="str">
        <f t="shared" si="3"/>
        <v>001</v>
      </c>
      <c r="Y108" s="3" t="str">
        <f>IFERROR(VLOOKUP(F108,Func!$A$4:$G$1500,2,FALSE),"none")</f>
        <v>none</v>
      </c>
      <c r="Z108" s="3" t="e">
        <f>VLOOKUP(I108,Resources!$A$2:$AA$1503,18,FALSE)</f>
        <v>#N/A</v>
      </c>
      <c r="AA108" s="3" t="str">
        <f>IFERROR(VLOOKUP(B108,Orgs!$A$4:$G$1500,2,FALSE),"none")</f>
        <v>none</v>
      </c>
      <c r="AB108" s="3" t="str">
        <f>IFERROR(VLOOKUP(C108,UnitsDepts!$A$4:$G$1500,2,FALSE),"none")</f>
        <v>none</v>
      </c>
      <c r="AC108" s="3" t="str">
        <f>IFERROR(VLOOKUP(D108,ProjAppSvc!$A$4:$G$1500,2,FALSE),"none")</f>
        <v>none</v>
      </c>
    </row>
    <row r="109" spans="1:29" x14ac:dyDescent="0.45">
      <c r="A109" s="14" t="s">
        <v>23</v>
      </c>
      <c r="B109" s="14"/>
      <c r="C109" s="14"/>
      <c r="D109" s="14"/>
      <c r="H109" s="8"/>
      <c r="I109" s="3"/>
      <c r="J109" s="3" t="str">
        <f t="shared" si="4"/>
        <v/>
      </c>
      <c r="K109" s="3" t="str">
        <f>IF(ISNUMBER(SEARCH("-",V109)),IFERROR(IF($H$2="Lower", LOWER(ComputeResourceName(Z109,#REF!,#REF!,G109,N109,O109,P109,Q109,S109,T109,V109,A109)), UPPER(ComputeResourceName(Z109,#REF!,#REF!,G109,N109,O109,P109,Q109,S109,T109,V109,A109))),""),SUBSTITUTE(IFERROR(IF($H$2="Lower", LOWER(ComputeResourceName(#REF!,#REF!,#REF!,G109,N109,O109,P109,Q109,S109,T109,V109,A109)), UPPER(ComputeResourceName(#REF!,#REF!,#REF!,G109,N109,O109,P109,Q109,S109,T109,V109,A109))),""), "-",""))</f>
        <v/>
      </c>
      <c r="L109" s="3" t="str">
        <f xml:space="preserve"> IF(K109="","",  IFERROR(VLOOKUP(I109,Resources!$B$1:$H$1503,5,FALSE)-LEN(K109),0))</f>
        <v/>
      </c>
      <c r="M109" s="3" t="str">
        <f>IF(K109="","",IFERROR(matches(K109,VLOOKUP(I109,Resources!$A$2:$AA$1503,16,FALSE)),FALSE))</f>
        <v/>
      </c>
      <c r="N109" s="3" t="e">
        <f>VLOOKUP(E109,Enviroments!$A$3:$D$59,1,FALSE)</f>
        <v>#N/A</v>
      </c>
      <c r="O109" s="3" t="e">
        <f>VLOOKUP(E109,Enviroments!$A$3:$D$59,2,FALSE)</f>
        <v>#N/A</v>
      </c>
      <c r="P109" s="3" t="e">
        <f>VLOOKUP(E109,Enviroments!$A$3:$D$59,3,FALSE)</f>
        <v>#N/A</v>
      </c>
      <c r="Q109" s="3" t="e">
        <f>VLOOKUP(E109,Enviroments!$A$3:$D$59,4,FALSE)</f>
        <v>#N/A</v>
      </c>
      <c r="R109" s="3" t="e">
        <f>VLOOKUP(H109,AzureRegions!$A$4:$B$1493,1,FALSE)</f>
        <v>#N/A</v>
      </c>
      <c r="S109" s="3" t="e">
        <f>VLOOKUP(H109,AzureRegions!$A$4:$B$1493,2,FALSE)</f>
        <v>#N/A</v>
      </c>
      <c r="T109" s="3" t="e">
        <f>VLOOKUP(H109,AzureRegions!$A$4:$C$1493,3,FALSE)</f>
        <v>#N/A</v>
      </c>
      <c r="U109" s="3" t="e">
        <f>VLOOKUP(I109,Resources!$A$2:$AA$1503,2,FALSE)</f>
        <v>#N/A</v>
      </c>
      <c r="V109" s="3" t="e">
        <f>VLOOKUP(I109,Resources!$A$2:$H$1503,6,FALSE)</f>
        <v>#N/A</v>
      </c>
      <c r="W109" s="3" t="str">
        <f>VLOOKUP($H$2,Casing!$A$4:$A$60,1,FALSE)</f>
        <v>Lower</v>
      </c>
      <c r="X109" s="14" t="str">
        <f t="shared" si="3"/>
        <v>001</v>
      </c>
      <c r="Y109" s="3" t="str">
        <f>IFERROR(VLOOKUP(F109,Func!$A$4:$G$1500,2,FALSE),"none")</f>
        <v>none</v>
      </c>
      <c r="Z109" s="3" t="e">
        <f>VLOOKUP(I109,Resources!$A$2:$AA$1503,18,FALSE)</f>
        <v>#N/A</v>
      </c>
      <c r="AA109" s="3" t="str">
        <f>IFERROR(VLOOKUP(B109,Orgs!$A$4:$G$1500,2,FALSE),"none")</f>
        <v>none</v>
      </c>
      <c r="AB109" s="3" t="str">
        <f>IFERROR(VLOOKUP(C109,UnitsDepts!$A$4:$G$1500,2,FALSE),"none")</f>
        <v>none</v>
      </c>
      <c r="AC109" s="3" t="str">
        <f>IFERROR(VLOOKUP(D109,ProjAppSvc!$A$4:$G$1500,2,FALSE),"none")</f>
        <v>none</v>
      </c>
    </row>
    <row r="110" spans="1:29" x14ac:dyDescent="0.45">
      <c r="A110" s="14" t="s">
        <v>23</v>
      </c>
      <c r="B110" s="14"/>
      <c r="C110" s="14"/>
      <c r="D110" s="14"/>
      <c r="H110" s="8"/>
      <c r="I110" s="3"/>
      <c r="J110" s="3" t="str">
        <f t="shared" si="4"/>
        <v/>
      </c>
      <c r="K110" s="3" t="str">
        <f>IF(ISNUMBER(SEARCH("-",V110)),IFERROR(IF($H$2="Lower", LOWER(ComputeResourceName(Z110,#REF!,#REF!,G110,N110,O110,P110,Q110,S110,T110,V110,A110)), UPPER(ComputeResourceName(Z110,#REF!,#REF!,G110,N110,O110,P110,Q110,S110,T110,V110,A110))),""),SUBSTITUTE(IFERROR(IF($H$2="Lower", LOWER(ComputeResourceName(#REF!,#REF!,#REF!,G110,N110,O110,P110,Q110,S110,T110,V110,A110)), UPPER(ComputeResourceName(#REF!,#REF!,#REF!,G110,N110,O110,P110,Q110,S110,T110,V110,A110))),""), "-",""))</f>
        <v/>
      </c>
      <c r="L110" s="3" t="str">
        <f xml:space="preserve"> IF(K110="","",  IFERROR(VLOOKUP(I110,Resources!$B$1:$H$1503,5,FALSE)-LEN(K110),0))</f>
        <v/>
      </c>
      <c r="M110" s="3" t="str">
        <f>IF(K110="","",IFERROR(matches(K110,VLOOKUP(I110,Resources!$A$2:$AA$1503,16,FALSE)),FALSE))</f>
        <v/>
      </c>
      <c r="N110" s="3" t="e">
        <f>VLOOKUP(E110,Enviroments!$A$3:$D$59,1,FALSE)</f>
        <v>#N/A</v>
      </c>
      <c r="O110" s="3" t="e">
        <f>VLOOKUP(E110,Enviroments!$A$3:$D$59,2,FALSE)</f>
        <v>#N/A</v>
      </c>
      <c r="P110" s="3" t="e">
        <f>VLOOKUP(E110,Enviroments!$A$3:$D$59,3,FALSE)</f>
        <v>#N/A</v>
      </c>
      <c r="Q110" s="3" t="e">
        <f>VLOOKUP(E110,Enviroments!$A$3:$D$59,4,FALSE)</f>
        <v>#N/A</v>
      </c>
      <c r="R110" s="3" t="e">
        <f>VLOOKUP(H110,AzureRegions!$A$4:$B$1493,1,FALSE)</f>
        <v>#N/A</v>
      </c>
      <c r="S110" s="3" t="e">
        <f>VLOOKUP(H110,AzureRegions!$A$4:$B$1493,2,FALSE)</f>
        <v>#N/A</v>
      </c>
      <c r="T110" s="3" t="e">
        <f>VLOOKUP(H110,AzureRegions!$A$4:$C$1493,3,FALSE)</f>
        <v>#N/A</v>
      </c>
      <c r="U110" s="3" t="e">
        <f>VLOOKUP(I110,Resources!$A$2:$AA$1503,2,FALSE)</f>
        <v>#N/A</v>
      </c>
      <c r="V110" s="3" t="e">
        <f>VLOOKUP(I110,Resources!$A$2:$H$1503,6,FALSE)</f>
        <v>#N/A</v>
      </c>
      <c r="W110" s="3" t="str">
        <f>VLOOKUP($H$2,Casing!$A$4:$A$60,1,FALSE)</f>
        <v>Lower</v>
      </c>
      <c r="X110" s="14" t="str">
        <f t="shared" si="3"/>
        <v>001</v>
      </c>
      <c r="Y110" s="3" t="str">
        <f>IFERROR(VLOOKUP(F110,Func!$A$4:$G$1500,2,FALSE),"none")</f>
        <v>none</v>
      </c>
      <c r="Z110" s="3" t="e">
        <f>VLOOKUP(I110,Resources!$A$2:$AA$1503,18,FALSE)</f>
        <v>#N/A</v>
      </c>
      <c r="AA110" s="3" t="str">
        <f>IFERROR(VLOOKUP(B110,Orgs!$A$4:$G$1500,2,FALSE),"none")</f>
        <v>none</v>
      </c>
      <c r="AB110" s="3" t="str">
        <f>IFERROR(VLOOKUP(C110,UnitsDepts!$A$4:$G$1500,2,FALSE),"none")</f>
        <v>none</v>
      </c>
      <c r="AC110" s="3" t="str">
        <f>IFERROR(VLOOKUP(D110,ProjAppSvc!$A$4:$G$1500,2,FALSE),"none")</f>
        <v>none</v>
      </c>
    </row>
    <row r="111" spans="1:29" x14ac:dyDescent="0.45">
      <c r="A111" s="14" t="s">
        <v>23</v>
      </c>
      <c r="B111" s="14"/>
      <c r="C111" s="14"/>
      <c r="D111" s="14"/>
      <c r="H111" s="8"/>
      <c r="I111" s="3"/>
      <c r="J111" s="3" t="str">
        <f t="shared" si="4"/>
        <v/>
      </c>
      <c r="K111" s="3" t="str">
        <f>IF(ISNUMBER(SEARCH("-",V111)),IFERROR(IF($H$2="Lower", LOWER(ComputeResourceName(Z111,#REF!,#REF!,G111,N111,O111,P111,Q111,S111,T111,V111,A111)), UPPER(ComputeResourceName(Z111,#REF!,#REF!,G111,N111,O111,P111,Q111,S111,T111,V111,A111))),""),SUBSTITUTE(IFERROR(IF($H$2="Lower", LOWER(ComputeResourceName(#REF!,#REF!,#REF!,G111,N111,O111,P111,Q111,S111,T111,V111,A111)), UPPER(ComputeResourceName(#REF!,#REF!,#REF!,G111,N111,O111,P111,Q111,S111,T111,V111,A111))),""), "-",""))</f>
        <v/>
      </c>
      <c r="L111" s="3" t="str">
        <f xml:space="preserve"> IF(K111="","",  IFERROR(VLOOKUP(I111,Resources!$B$1:$H$1503,5,FALSE)-LEN(K111),0))</f>
        <v/>
      </c>
      <c r="M111" s="3" t="str">
        <f>IF(K111="","",IFERROR(matches(K111,VLOOKUP(I111,Resources!$A$2:$AA$1503,16,FALSE)),FALSE))</f>
        <v/>
      </c>
      <c r="N111" s="3" t="e">
        <f>VLOOKUP(E111,Enviroments!$A$3:$D$59,1,FALSE)</f>
        <v>#N/A</v>
      </c>
      <c r="O111" s="3" t="e">
        <f>VLOOKUP(E111,Enviroments!$A$3:$D$59,2,FALSE)</f>
        <v>#N/A</v>
      </c>
      <c r="P111" s="3" t="e">
        <f>VLOOKUP(E111,Enviroments!$A$3:$D$59,3,FALSE)</f>
        <v>#N/A</v>
      </c>
      <c r="Q111" s="3" t="e">
        <f>VLOOKUP(E111,Enviroments!$A$3:$D$59,4,FALSE)</f>
        <v>#N/A</v>
      </c>
      <c r="R111" s="3" t="e">
        <f>VLOOKUP(H111,AzureRegions!$A$4:$B$1493,1,FALSE)</f>
        <v>#N/A</v>
      </c>
      <c r="S111" s="3" t="e">
        <f>VLOOKUP(H111,AzureRegions!$A$4:$B$1493,2,FALSE)</f>
        <v>#N/A</v>
      </c>
      <c r="T111" s="3" t="e">
        <f>VLOOKUP(H111,AzureRegions!$A$4:$C$1493,3,FALSE)</f>
        <v>#N/A</v>
      </c>
      <c r="U111" s="3" t="e">
        <f>VLOOKUP(I111,Resources!$A$2:$AA$1503,2,FALSE)</f>
        <v>#N/A</v>
      </c>
      <c r="V111" s="3" t="e">
        <f>VLOOKUP(I111,Resources!$A$2:$H$1503,6,FALSE)</f>
        <v>#N/A</v>
      </c>
      <c r="W111" s="3" t="str">
        <f>VLOOKUP($H$2,Casing!$A$4:$A$60,1,FALSE)</f>
        <v>Lower</v>
      </c>
      <c r="X111" s="14" t="str">
        <f t="shared" si="3"/>
        <v>001</v>
      </c>
      <c r="Y111" s="3" t="str">
        <f>IFERROR(VLOOKUP(F111,Func!$A$4:$G$1500,2,FALSE),"none")</f>
        <v>none</v>
      </c>
      <c r="Z111" s="3" t="e">
        <f>VLOOKUP(I111,Resources!$A$2:$AA$1503,18,FALSE)</f>
        <v>#N/A</v>
      </c>
      <c r="AA111" s="3" t="str">
        <f>IFERROR(VLOOKUP(B111,Orgs!$A$4:$G$1500,2,FALSE),"none")</f>
        <v>none</v>
      </c>
      <c r="AB111" s="3" t="str">
        <f>IFERROR(VLOOKUP(C111,UnitsDepts!$A$4:$G$1500,2,FALSE),"none")</f>
        <v>none</v>
      </c>
      <c r="AC111" s="3" t="str">
        <f>IFERROR(VLOOKUP(D111,ProjAppSvc!$A$4:$G$1500,2,FALSE),"none")</f>
        <v>none</v>
      </c>
    </row>
    <row r="112" spans="1:29" x14ac:dyDescent="0.45">
      <c r="A112" s="14" t="s">
        <v>23</v>
      </c>
      <c r="B112" s="14"/>
      <c r="C112" s="14"/>
      <c r="D112" s="14"/>
      <c r="H112" s="8"/>
      <c r="I112" s="3"/>
      <c r="J112" s="3" t="str">
        <f t="shared" si="4"/>
        <v/>
      </c>
      <c r="K112" s="3" t="str">
        <f>IF(ISNUMBER(SEARCH("-",V112)),IFERROR(IF($H$2="Lower", LOWER(ComputeResourceName(Z112,#REF!,#REF!,G112,N112,O112,P112,Q112,S112,T112,V112,A112)), UPPER(ComputeResourceName(Z112,#REF!,#REF!,G112,N112,O112,P112,Q112,S112,T112,V112,A112))),""),SUBSTITUTE(IFERROR(IF($H$2="Lower", LOWER(ComputeResourceName(#REF!,#REF!,#REF!,G112,N112,O112,P112,Q112,S112,T112,V112,A112)), UPPER(ComputeResourceName(#REF!,#REF!,#REF!,G112,N112,O112,P112,Q112,S112,T112,V112,A112))),""), "-",""))</f>
        <v/>
      </c>
      <c r="L112" s="3" t="str">
        <f xml:space="preserve"> IF(K112="","",  IFERROR(VLOOKUP(I112,Resources!$B$1:$H$1503,5,FALSE)-LEN(K112),0))</f>
        <v/>
      </c>
      <c r="M112" s="3" t="str">
        <f>IF(K112="","",IFERROR(matches(K112,VLOOKUP(I112,Resources!$A$2:$AA$1503,16,FALSE)),FALSE))</f>
        <v/>
      </c>
      <c r="N112" s="3" t="e">
        <f>VLOOKUP(E112,Enviroments!$A$3:$D$59,1,FALSE)</f>
        <v>#N/A</v>
      </c>
      <c r="O112" s="3" t="e">
        <f>VLOOKUP(E112,Enviroments!$A$3:$D$59,2,FALSE)</f>
        <v>#N/A</v>
      </c>
      <c r="P112" s="3" t="e">
        <f>VLOOKUP(E112,Enviroments!$A$3:$D$59,3,FALSE)</f>
        <v>#N/A</v>
      </c>
      <c r="Q112" s="3" t="e">
        <f>VLOOKUP(E112,Enviroments!$A$3:$D$59,4,FALSE)</f>
        <v>#N/A</v>
      </c>
      <c r="R112" s="3" t="e">
        <f>VLOOKUP(H112,AzureRegions!$A$4:$B$1493,1,FALSE)</f>
        <v>#N/A</v>
      </c>
      <c r="S112" s="3" t="e">
        <f>VLOOKUP(H112,AzureRegions!$A$4:$B$1493,2,FALSE)</f>
        <v>#N/A</v>
      </c>
      <c r="T112" s="3" t="e">
        <f>VLOOKUP(H112,AzureRegions!$A$4:$C$1493,3,FALSE)</f>
        <v>#N/A</v>
      </c>
      <c r="U112" s="3" t="e">
        <f>VLOOKUP(I112,Resources!$A$2:$AA$1503,2,FALSE)</f>
        <v>#N/A</v>
      </c>
      <c r="V112" s="3" t="e">
        <f>VLOOKUP(I112,Resources!$A$2:$H$1503,6,FALSE)</f>
        <v>#N/A</v>
      </c>
      <c r="W112" s="3" t="str">
        <f>VLOOKUP($H$2,Casing!$A$4:$A$60,1,FALSE)</f>
        <v>Lower</v>
      </c>
      <c r="X112" s="14" t="str">
        <f t="shared" si="3"/>
        <v>001</v>
      </c>
      <c r="Y112" s="3" t="str">
        <f>IFERROR(VLOOKUP(F112,Func!$A$4:$G$1500,2,FALSE),"none")</f>
        <v>none</v>
      </c>
      <c r="Z112" s="3" t="e">
        <f>VLOOKUP(I112,Resources!$A$2:$AA$1503,18,FALSE)</f>
        <v>#N/A</v>
      </c>
      <c r="AA112" s="3" t="str">
        <f>IFERROR(VLOOKUP(B112,Orgs!$A$4:$G$1500,2,FALSE),"none")</f>
        <v>none</v>
      </c>
      <c r="AB112" s="3" t="str">
        <f>IFERROR(VLOOKUP(C112,UnitsDepts!$A$4:$G$1500,2,FALSE),"none")</f>
        <v>none</v>
      </c>
      <c r="AC112" s="3" t="str">
        <f>IFERROR(VLOOKUP(D112,ProjAppSvc!$A$4:$G$1500,2,FALSE),"none")</f>
        <v>none</v>
      </c>
    </row>
    <row r="113" spans="1:29" x14ac:dyDescent="0.45">
      <c r="A113" s="14" t="s">
        <v>23</v>
      </c>
      <c r="B113" s="14"/>
      <c r="C113" s="14"/>
      <c r="D113" s="14"/>
      <c r="H113" s="8"/>
      <c r="I113" s="3"/>
      <c r="J113" s="3" t="str">
        <f t="shared" si="4"/>
        <v/>
      </c>
      <c r="K113" s="3" t="str">
        <f>IF(ISNUMBER(SEARCH("-",V113)),IFERROR(IF($H$2="Lower", LOWER(ComputeResourceName(Z113,#REF!,#REF!,G113,N113,O113,P113,Q113,S113,T113,V113,A113)), UPPER(ComputeResourceName(Z113,#REF!,#REF!,G113,N113,O113,P113,Q113,S113,T113,V113,A113))),""),SUBSTITUTE(IFERROR(IF($H$2="Lower", LOWER(ComputeResourceName(#REF!,#REF!,#REF!,G113,N113,O113,P113,Q113,S113,T113,V113,A113)), UPPER(ComputeResourceName(#REF!,#REF!,#REF!,G113,N113,O113,P113,Q113,S113,T113,V113,A113))),""), "-",""))</f>
        <v/>
      </c>
      <c r="L113" s="3" t="str">
        <f xml:space="preserve"> IF(K113="","",  IFERROR(VLOOKUP(I113,Resources!$B$1:$H$1503,5,FALSE)-LEN(K113),0))</f>
        <v/>
      </c>
      <c r="M113" s="3" t="str">
        <f>IF(K113="","",IFERROR(matches(K113,VLOOKUP(I113,Resources!$A$2:$AA$1503,16,FALSE)),FALSE))</f>
        <v/>
      </c>
      <c r="N113" s="3" t="e">
        <f>VLOOKUP(E113,Enviroments!$A$3:$D$59,1,FALSE)</f>
        <v>#N/A</v>
      </c>
      <c r="O113" s="3" t="e">
        <f>VLOOKUP(E113,Enviroments!$A$3:$D$59,2,FALSE)</f>
        <v>#N/A</v>
      </c>
      <c r="P113" s="3" t="e">
        <f>VLOOKUP(E113,Enviroments!$A$3:$D$59,3,FALSE)</f>
        <v>#N/A</v>
      </c>
      <c r="Q113" s="3" t="e">
        <f>VLOOKUP(E113,Enviroments!$A$3:$D$59,4,FALSE)</f>
        <v>#N/A</v>
      </c>
      <c r="R113" s="3" t="e">
        <f>VLOOKUP(H113,AzureRegions!$A$4:$B$1493,1,FALSE)</f>
        <v>#N/A</v>
      </c>
      <c r="S113" s="3" t="e">
        <f>VLOOKUP(H113,AzureRegions!$A$4:$B$1493,2,FALSE)</f>
        <v>#N/A</v>
      </c>
      <c r="T113" s="3" t="e">
        <f>VLOOKUP(H113,AzureRegions!$A$4:$C$1493,3,FALSE)</f>
        <v>#N/A</v>
      </c>
      <c r="U113" s="3" t="e">
        <f>VLOOKUP(I113,Resources!$A$2:$AA$1503,2,FALSE)</f>
        <v>#N/A</v>
      </c>
      <c r="V113" s="3" t="e">
        <f>VLOOKUP(I113,Resources!$A$2:$H$1503,6,FALSE)</f>
        <v>#N/A</v>
      </c>
      <c r="W113" s="3" t="str">
        <f>VLOOKUP($H$2,Casing!$A$4:$A$60,1,FALSE)</f>
        <v>Lower</v>
      </c>
      <c r="X113" s="14" t="str">
        <f t="shared" si="3"/>
        <v>001</v>
      </c>
      <c r="Y113" s="3" t="str">
        <f>IFERROR(VLOOKUP(F113,Func!$A$4:$G$1500,2,FALSE),"none")</f>
        <v>none</v>
      </c>
      <c r="Z113" s="3" t="e">
        <f>VLOOKUP(I113,Resources!$A$2:$AA$1503,18,FALSE)</f>
        <v>#N/A</v>
      </c>
      <c r="AA113" s="3" t="str">
        <f>IFERROR(VLOOKUP(B113,Orgs!$A$4:$G$1500,2,FALSE),"none")</f>
        <v>none</v>
      </c>
      <c r="AB113" s="3" t="str">
        <f>IFERROR(VLOOKUP(C113,UnitsDepts!$A$4:$G$1500,2,FALSE),"none")</f>
        <v>none</v>
      </c>
      <c r="AC113" s="3" t="str">
        <f>IFERROR(VLOOKUP(D113,ProjAppSvc!$A$4:$G$1500,2,FALSE),"none")</f>
        <v>none</v>
      </c>
    </row>
    <row r="114" spans="1:29" x14ac:dyDescent="0.45">
      <c r="A114" s="14" t="s">
        <v>23</v>
      </c>
      <c r="B114" s="14"/>
      <c r="C114" s="14"/>
      <c r="D114" s="14"/>
      <c r="H114" s="8"/>
      <c r="I114" s="3"/>
      <c r="J114" s="3" t="str">
        <f t="shared" si="4"/>
        <v/>
      </c>
      <c r="K114" s="3" t="str">
        <f>IF(ISNUMBER(SEARCH("-",V114)),IFERROR(IF($H$2="Lower", LOWER(ComputeResourceName(Z114,#REF!,#REF!,G114,N114,O114,P114,Q114,S114,T114,V114,A114)), UPPER(ComputeResourceName(Z114,#REF!,#REF!,G114,N114,O114,P114,Q114,S114,T114,V114,A114))),""),SUBSTITUTE(IFERROR(IF($H$2="Lower", LOWER(ComputeResourceName(#REF!,#REF!,#REF!,G114,N114,O114,P114,Q114,S114,T114,V114,A114)), UPPER(ComputeResourceName(#REF!,#REF!,#REF!,G114,N114,O114,P114,Q114,S114,T114,V114,A114))),""), "-",""))</f>
        <v/>
      </c>
      <c r="L114" s="3" t="str">
        <f xml:space="preserve"> IF(K114="","",  IFERROR(VLOOKUP(I114,Resources!$B$1:$H$1503,5,FALSE)-LEN(K114),0))</f>
        <v/>
      </c>
      <c r="M114" s="3" t="str">
        <f>IF(K114="","",IFERROR(matches(K114,VLOOKUP(I114,Resources!$A$2:$AA$1503,16,FALSE)),FALSE))</f>
        <v/>
      </c>
      <c r="N114" s="3" t="e">
        <f>VLOOKUP(E114,Enviroments!$A$3:$D$59,1,FALSE)</f>
        <v>#N/A</v>
      </c>
      <c r="O114" s="3" t="e">
        <f>VLOOKUP(E114,Enviroments!$A$3:$D$59,2,FALSE)</f>
        <v>#N/A</v>
      </c>
      <c r="P114" s="3" t="e">
        <f>VLOOKUP(E114,Enviroments!$A$3:$D$59,3,FALSE)</f>
        <v>#N/A</v>
      </c>
      <c r="Q114" s="3" t="e">
        <f>VLOOKUP(E114,Enviroments!$A$3:$D$59,4,FALSE)</f>
        <v>#N/A</v>
      </c>
      <c r="R114" s="3" t="e">
        <f>VLOOKUP(H114,AzureRegions!$A$4:$B$1493,1,FALSE)</f>
        <v>#N/A</v>
      </c>
      <c r="S114" s="3" t="e">
        <f>VLOOKUP(H114,AzureRegions!$A$4:$B$1493,2,FALSE)</f>
        <v>#N/A</v>
      </c>
      <c r="T114" s="3" t="e">
        <f>VLOOKUP(H114,AzureRegions!$A$4:$C$1493,3,FALSE)</f>
        <v>#N/A</v>
      </c>
      <c r="U114" s="3" t="e">
        <f>VLOOKUP(I114,Resources!$A$2:$AA$1503,2,FALSE)</f>
        <v>#N/A</v>
      </c>
      <c r="V114" s="3" t="e">
        <f>VLOOKUP(I114,Resources!$A$2:$H$1503,6,FALSE)</f>
        <v>#N/A</v>
      </c>
      <c r="W114" s="3" t="str">
        <f>VLOOKUP($H$2,Casing!$A$4:$A$60,1,FALSE)</f>
        <v>Lower</v>
      </c>
      <c r="X114" s="14" t="str">
        <f t="shared" si="3"/>
        <v>001</v>
      </c>
      <c r="Y114" s="3" t="str">
        <f>IFERROR(VLOOKUP(F114,Func!$A$4:$G$1500,2,FALSE),"none")</f>
        <v>none</v>
      </c>
      <c r="Z114" s="3" t="e">
        <f>VLOOKUP(I114,Resources!$A$2:$AA$1503,18,FALSE)</f>
        <v>#N/A</v>
      </c>
      <c r="AA114" s="3" t="str">
        <f>IFERROR(VLOOKUP(B114,Orgs!$A$4:$G$1500,2,FALSE),"none")</f>
        <v>none</v>
      </c>
      <c r="AB114" s="3" t="str">
        <f>IFERROR(VLOOKUP(C114,UnitsDepts!$A$4:$G$1500,2,FALSE),"none")</f>
        <v>none</v>
      </c>
      <c r="AC114" s="3" t="str">
        <f>IFERROR(VLOOKUP(D114,ProjAppSvc!$A$4:$G$1500,2,FALSE),"none")</f>
        <v>none</v>
      </c>
    </row>
    <row r="115" spans="1:29" x14ac:dyDescent="0.45">
      <c r="A115" s="14" t="s">
        <v>23</v>
      </c>
      <c r="B115" s="14"/>
      <c r="C115" s="14"/>
      <c r="D115" s="14"/>
      <c r="H115" s="8"/>
      <c r="I115" s="3"/>
      <c r="J115" s="3" t="str">
        <f t="shared" si="4"/>
        <v/>
      </c>
      <c r="K115" s="3" t="str">
        <f>IF(ISNUMBER(SEARCH("-",V115)),IFERROR(IF($H$2="Lower", LOWER(ComputeResourceName(Z115,#REF!,#REF!,G115,N115,O115,P115,Q115,S115,T115,V115,A115)), UPPER(ComputeResourceName(Z115,#REF!,#REF!,G115,N115,O115,P115,Q115,S115,T115,V115,A115))),""),SUBSTITUTE(IFERROR(IF($H$2="Lower", LOWER(ComputeResourceName(#REF!,#REF!,#REF!,G115,N115,O115,P115,Q115,S115,T115,V115,A115)), UPPER(ComputeResourceName(#REF!,#REF!,#REF!,G115,N115,O115,P115,Q115,S115,T115,V115,A115))),""), "-",""))</f>
        <v/>
      </c>
      <c r="L115" s="3" t="str">
        <f xml:space="preserve"> IF(K115="","",  IFERROR(VLOOKUP(I115,Resources!$B$1:$H$1503,5,FALSE)-LEN(K115),0))</f>
        <v/>
      </c>
      <c r="M115" s="3" t="str">
        <f>IF(K115="","",IFERROR(matches(K115,VLOOKUP(I115,Resources!$A$2:$AA$1503,16,FALSE)),FALSE))</f>
        <v/>
      </c>
      <c r="N115" s="3" t="e">
        <f>VLOOKUP(E115,Enviroments!$A$3:$D$59,1,FALSE)</f>
        <v>#N/A</v>
      </c>
      <c r="O115" s="3" t="e">
        <f>VLOOKUP(E115,Enviroments!$A$3:$D$59,2,FALSE)</f>
        <v>#N/A</v>
      </c>
      <c r="P115" s="3" t="e">
        <f>VLOOKUP(E115,Enviroments!$A$3:$D$59,3,FALSE)</f>
        <v>#N/A</v>
      </c>
      <c r="Q115" s="3" t="e">
        <f>VLOOKUP(E115,Enviroments!$A$3:$D$59,4,FALSE)</f>
        <v>#N/A</v>
      </c>
      <c r="R115" s="3" t="e">
        <f>VLOOKUP(H115,AzureRegions!$A$4:$B$1493,1,FALSE)</f>
        <v>#N/A</v>
      </c>
      <c r="S115" s="3" t="e">
        <f>VLOOKUP(H115,AzureRegions!$A$4:$B$1493,2,FALSE)</f>
        <v>#N/A</v>
      </c>
      <c r="T115" s="3" t="e">
        <f>VLOOKUP(H115,AzureRegions!$A$4:$C$1493,3,FALSE)</f>
        <v>#N/A</v>
      </c>
      <c r="U115" s="3" t="e">
        <f>VLOOKUP(I115,Resources!$A$2:$AA$1503,2,FALSE)</f>
        <v>#N/A</v>
      </c>
      <c r="V115" s="3" t="e">
        <f>VLOOKUP(I115,Resources!$A$2:$H$1503,6,FALSE)</f>
        <v>#N/A</v>
      </c>
      <c r="W115" s="3" t="str">
        <f>VLOOKUP($H$2,Casing!$A$4:$A$60,1,FALSE)</f>
        <v>Lower</v>
      </c>
      <c r="X115" s="14" t="str">
        <f t="shared" si="3"/>
        <v>001</v>
      </c>
      <c r="Y115" s="3" t="str">
        <f>IFERROR(VLOOKUP(F115,Func!$A$4:$G$1500,2,FALSE),"none")</f>
        <v>none</v>
      </c>
      <c r="Z115" s="3" t="e">
        <f>VLOOKUP(I115,Resources!$A$2:$AA$1503,18,FALSE)</f>
        <v>#N/A</v>
      </c>
      <c r="AA115" s="3" t="str">
        <f>IFERROR(VLOOKUP(B115,Orgs!$A$4:$G$1500,2,FALSE),"none")</f>
        <v>none</v>
      </c>
      <c r="AB115" s="3" t="str">
        <f>IFERROR(VLOOKUP(C115,UnitsDepts!$A$4:$G$1500,2,FALSE),"none")</f>
        <v>none</v>
      </c>
      <c r="AC115" s="3" t="str">
        <f>IFERROR(VLOOKUP(D115,ProjAppSvc!$A$4:$G$1500,2,FALSE),"none")</f>
        <v>none</v>
      </c>
    </row>
    <row r="116" spans="1:29" x14ac:dyDescent="0.45">
      <c r="A116" s="14" t="s">
        <v>23</v>
      </c>
      <c r="B116" s="14"/>
      <c r="C116" s="14"/>
      <c r="D116" s="14"/>
      <c r="H116" s="8"/>
      <c r="I116" s="3"/>
      <c r="J116" s="3" t="str">
        <f t="shared" si="4"/>
        <v/>
      </c>
      <c r="K116" s="3" t="str">
        <f>IF(ISNUMBER(SEARCH("-",V116)),IFERROR(IF($H$2="Lower", LOWER(ComputeResourceName(Z116,#REF!,#REF!,G116,N116,O116,P116,Q116,S116,T116,V116,A116)), UPPER(ComputeResourceName(Z116,#REF!,#REF!,G116,N116,O116,P116,Q116,S116,T116,V116,A116))),""),SUBSTITUTE(IFERROR(IF($H$2="Lower", LOWER(ComputeResourceName(#REF!,#REF!,#REF!,G116,N116,O116,P116,Q116,S116,T116,V116,A116)), UPPER(ComputeResourceName(#REF!,#REF!,#REF!,G116,N116,O116,P116,Q116,S116,T116,V116,A116))),""), "-",""))</f>
        <v/>
      </c>
      <c r="L116" s="3" t="str">
        <f xml:space="preserve"> IF(K116="","",  IFERROR(VLOOKUP(I116,Resources!$B$1:$H$1503,5,FALSE)-LEN(K116),0))</f>
        <v/>
      </c>
      <c r="M116" s="3" t="str">
        <f>IF(K116="","",IFERROR(matches(K116,VLOOKUP(I116,Resources!$A$2:$AA$1503,16,FALSE)),FALSE))</f>
        <v/>
      </c>
      <c r="N116" s="3" t="e">
        <f>VLOOKUP(E116,Enviroments!$A$3:$D$59,1,FALSE)</f>
        <v>#N/A</v>
      </c>
      <c r="O116" s="3" t="e">
        <f>VLOOKUP(E116,Enviroments!$A$3:$D$59,2,FALSE)</f>
        <v>#N/A</v>
      </c>
      <c r="P116" s="3" t="e">
        <f>VLOOKUP(E116,Enviroments!$A$3:$D$59,3,FALSE)</f>
        <v>#N/A</v>
      </c>
      <c r="Q116" s="3" t="e">
        <f>VLOOKUP(E116,Enviroments!$A$3:$D$59,4,FALSE)</f>
        <v>#N/A</v>
      </c>
      <c r="R116" s="3" t="e">
        <f>VLOOKUP(H116,AzureRegions!$A$4:$B$1493,1,FALSE)</f>
        <v>#N/A</v>
      </c>
      <c r="S116" s="3" t="e">
        <f>VLOOKUP(H116,AzureRegions!$A$4:$B$1493,2,FALSE)</f>
        <v>#N/A</v>
      </c>
      <c r="T116" s="3" t="e">
        <f>VLOOKUP(H116,AzureRegions!$A$4:$C$1493,3,FALSE)</f>
        <v>#N/A</v>
      </c>
      <c r="U116" s="3" t="e">
        <f>VLOOKUP(I116,Resources!$A$2:$AA$1503,2,FALSE)</f>
        <v>#N/A</v>
      </c>
      <c r="V116" s="3" t="e">
        <f>VLOOKUP(I116,Resources!$A$2:$H$1503,6,FALSE)</f>
        <v>#N/A</v>
      </c>
      <c r="W116" s="3" t="str">
        <f>VLOOKUP($H$2,Casing!$A$4:$A$60,1,FALSE)</f>
        <v>Lower</v>
      </c>
      <c r="X116" s="14" t="str">
        <f t="shared" si="3"/>
        <v>001</v>
      </c>
      <c r="Y116" s="3" t="str">
        <f>IFERROR(VLOOKUP(F116,Func!$A$4:$G$1500,2,FALSE),"none")</f>
        <v>none</v>
      </c>
      <c r="Z116" s="3" t="e">
        <f>VLOOKUP(I116,Resources!$A$2:$AA$1503,18,FALSE)</f>
        <v>#N/A</v>
      </c>
      <c r="AA116" s="3" t="str">
        <f>IFERROR(VLOOKUP(B116,Orgs!$A$4:$G$1500,2,FALSE),"none")</f>
        <v>none</v>
      </c>
      <c r="AB116" s="3" t="str">
        <f>IFERROR(VLOOKUP(C116,UnitsDepts!$A$4:$G$1500,2,FALSE),"none")</f>
        <v>none</v>
      </c>
      <c r="AC116" s="3" t="str">
        <f>IFERROR(VLOOKUP(D116,ProjAppSvc!$A$4:$G$1500,2,FALSE),"none")</f>
        <v>none</v>
      </c>
    </row>
    <row r="117" spans="1:29" x14ac:dyDescent="0.45">
      <c r="A117" s="14" t="s">
        <v>23</v>
      </c>
      <c r="B117" s="14"/>
      <c r="C117" s="14"/>
      <c r="D117" s="14"/>
      <c r="H117" s="8"/>
      <c r="I117" s="3"/>
      <c r="J117" s="3" t="str">
        <f t="shared" si="4"/>
        <v/>
      </c>
      <c r="K117" s="3" t="str">
        <f>IF(ISNUMBER(SEARCH("-",V117)),IFERROR(IF($H$2="Lower", LOWER(ComputeResourceName(Z117,#REF!,#REF!,G117,N117,O117,P117,Q117,S117,T117,V117,A117)), UPPER(ComputeResourceName(Z117,#REF!,#REF!,G117,N117,O117,P117,Q117,S117,T117,V117,A117))),""),SUBSTITUTE(IFERROR(IF($H$2="Lower", LOWER(ComputeResourceName(#REF!,#REF!,#REF!,G117,N117,O117,P117,Q117,S117,T117,V117,A117)), UPPER(ComputeResourceName(#REF!,#REF!,#REF!,G117,N117,O117,P117,Q117,S117,T117,V117,A117))),""), "-",""))</f>
        <v/>
      </c>
      <c r="L117" s="3" t="str">
        <f xml:space="preserve"> IF(K117="","",  IFERROR(VLOOKUP(I117,Resources!$B$1:$H$1503,5,FALSE)-LEN(K117),0))</f>
        <v/>
      </c>
      <c r="M117" s="3" t="str">
        <f>IF(K117="","",IFERROR(matches(K117,VLOOKUP(I117,Resources!$A$2:$AA$1503,16,FALSE)),FALSE))</f>
        <v/>
      </c>
      <c r="N117" s="3" t="e">
        <f>VLOOKUP(E117,Enviroments!$A$3:$D$59,1,FALSE)</f>
        <v>#N/A</v>
      </c>
      <c r="O117" s="3" t="e">
        <f>VLOOKUP(E117,Enviroments!$A$3:$D$59,2,FALSE)</f>
        <v>#N/A</v>
      </c>
      <c r="P117" s="3" t="e">
        <f>VLOOKUP(E117,Enviroments!$A$3:$D$59,3,FALSE)</f>
        <v>#N/A</v>
      </c>
      <c r="Q117" s="3" t="e">
        <f>VLOOKUP(E117,Enviroments!$A$3:$D$59,4,FALSE)</f>
        <v>#N/A</v>
      </c>
      <c r="R117" s="3" t="e">
        <f>VLOOKUP(H117,AzureRegions!$A$4:$B$1493,1,FALSE)</f>
        <v>#N/A</v>
      </c>
      <c r="S117" s="3" t="e">
        <f>VLOOKUP(H117,AzureRegions!$A$4:$B$1493,2,FALSE)</f>
        <v>#N/A</v>
      </c>
      <c r="T117" s="3" t="e">
        <f>VLOOKUP(H117,AzureRegions!$A$4:$C$1493,3,FALSE)</f>
        <v>#N/A</v>
      </c>
      <c r="U117" s="3" t="e">
        <f>VLOOKUP(I117,Resources!$A$2:$AA$1503,2,FALSE)</f>
        <v>#N/A</v>
      </c>
      <c r="V117" s="3" t="e">
        <f>VLOOKUP(I117,Resources!$A$2:$H$1503,6,FALSE)</f>
        <v>#N/A</v>
      </c>
      <c r="W117" s="3" t="str">
        <f>VLOOKUP($H$2,Casing!$A$4:$A$60,1,FALSE)</f>
        <v>Lower</v>
      </c>
      <c r="X117" s="14" t="str">
        <f t="shared" si="3"/>
        <v>001</v>
      </c>
      <c r="Y117" s="3" t="str">
        <f>IFERROR(VLOOKUP(F117,Func!$A$4:$G$1500,2,FALSE),"none")</f>
        <v>none</v>
      </c>
      <c r="Z117" s="3" t="e">
        <f>VLOOKUP(I117,Resources!$A$2:$AA$1503,18,FALSE)</f>
        <v>#N/A</v>
      </c>
      <c r="AA117" s="3" t="str">
        <f>IFERROR(VLOOKUP(B117,Orgs!$A$4:$G$1500,2,FALSE),"none")</f>
        <v>none</v>
      </c>
      <c r="AB117" s="3" t="str">
        <f>IFERROR(VLOOKUP(C117,UnitsDepts!$A$4:$G$1500,2,FALSE),"none")</f>
        <v>none</v>
      </c>
      <c r="AC117" s="3" t="str">
        <f>IFERROR(VLOOKUP(D117,ProjAppSvc!$A$4:$G$1500,2,FALSE),"none")</f>
        <v>none</v>
      </c>
    </row>
    <row r="118" spans="1:29" x14ac:dyDescent="0.45">
      <c r="A118" s="14" t="s">
        <v>23</v>
      </c>
      <c r="B118" s="14"/>
      <c r="C118" s="14"/>
      <c r="D118" s="14"/>
      <c r="H118" s="8"/>
      <c r="I118" s="3"/>
      <c r="J118" s="3" t="str">
        <f t="shared" si="4"/>
        <v/>
      </c>
      <c r="K118" s="3" t="str">
        <f>IF(ISNUMBER(SEARCH("-",V118)),IFERROR(IF($H$2="Lower", LOWER(ComputeResourceName(Z118,#REF!,#REF!,G118,N118,O118,P118,Q118,S118,T118,V118,A118)), UPPER(ComputeResourceName(Z118,#REF!,#REF!,G118,N118,O118,P118,Q118,S118,T118,V118,A118))),""),SUBSTITUTE(IFERROR(IF($H$2="Lower", LOWER(ComputeResourceName(#REF!,#REF!,#REF!,G118,N118,O118,P118,Q118,S118,T118,V118,A118)), UPPER(ComputeResourceName(#REF!,#REF!,#REF!,G118,N118,O118,P118,Q118,S118,T118,V118,A118))),""), "-",""))</f>
        <v/>
      </c>
      <c r="L118" s="3" t="str">
        <f xml:space="preserve"> IF(K118="","",  IFERROR(VLOOKUP(I118,Resources!$B$1:$H$1503,5,FALSE)-LEN(K118),0))</f>
        <v/>
      </c>
      <c r="M118" s="3" t="str">
        <f>IF(K118="","",IFERROR(matches(K118,VLOOKUP(I118,Resources!$A$2:$AA$1503,16,FALSE)),FALSE))</f>
        <v/>
      </c>
      <c r="N118" s="3" t="e">
        <f>VLOOKUP(E118,Enviroments!$A$3:$D$59,1,FALSE)</f>
        <v>#N/A</v>
      </c>
      <c r="O118" s="3" t="e">
        <f>VLOOKUP(E118,Enviroments!$A$3:$D$59,2,FALSE)</f>
        <v>#N/A</v>
      </c>
      <c r="P118" s="3" t="e">
        <f>VLOOKUP(E118,Enviroments!$A$3:$D$59,3,FALSE)</f>
        <v>#N/A</v>
      </c>
      <c r="Q118" s="3" t="e">
        <f>VLOOKUP(E118,Enviroments!$A$3:$D$59,4,FALSE)</f>
        <v>#N/A</v>
      </c>
      <c r="R118" s="3" t="e">
        <f>VLOOKUP(H118,AzureRegions!$A$4:$B$1493,1,FALSE)</f>
        <v>#N/A</v>
      </c>
      <c r="S118" s="3" t="e">
        <f>VLOOKUP(H118,AzureRegions!$A$4:$B$1493,2,FALSE)</f>
        <v>#N/A</v>
      </c>
      <c r="T118" s="3" t="e">
        <f>VLOOKUP(H118,AzureRegions!$A$4:$C$1493,3,FALSE)</f>
        <v>#N/A</v>
      </c>
      <c r="U118" s="3" t="e">
        <f>VLOOKUP(I118,Resources!$A$2:$AA$1503,2,FALSE)</f>
        <v>#N/A</v>
      </c>
      <c r="V118" s="3" t="e">
        <f>VLOOKUP(I118,Resources!$A$2:$H$1503,6,FALSE)</f>
        <v>#N/A</v>
      </c>
      <c r="W118" s="3" t="str">
        <f>VLOOKUP($H$2,Casing!$A$4:$A$60,1,FALSE)</f>
        <v>Lower</v>
      </c>
      <c r="X118" s="14" t="str">
        <f t="shared" si="3"/>
        <v>001</v>
      </c>
      <c r="Y118" s="3" t="str">
        <f>IFERROR(VLOOKUP(F118,Func!$A$4:$G$1500,2,FALSE),"none")</f>
        <v>none</v>
      </c>
      <c r="Z118" s="3" t="e">
        <f>VLOOKUP(I118,Resources!$A$2:$AA$1503,18,FALSE)</f>
        <v>#N/A</v>
      </c>
      <c r="AA118" s="3" t="str">
        <f>IFERROR(VLOOKUP(B118,Orgs!$A$4:$G$1500,2,FALSE),"none")</f>
        <v>none</v>
      </c>
      <c r="AB118" s="3" t="str">
        <f>IFERROR(VLOOKUP(C118,UnitsDepts!$A$4:$G$1500,2,FALSE),"none")</f>
        <v>none</v>
      </c>
      <c r="AC118" s="3" t="str">
        <f>IFERROR(VLOOKUP(D118,ProjAppSvc!$A$4:$G$1500,2,FALSE),"none")</f>
        <v>none</v>
      </c>
    </row>
    <row r="119" spans="1:29" x14ac:dyDescent="0.45">
      <c r="A119" s="14" t="s">
        <v>23</v>
      </c>
      <c r="B119" s="14"/>
      <c r="C119" s="14"/>
      <c r="D119" s="14"/>
      <c r="H119" s="8"/>
      <c r="I119" s="3"/>
      <c r="J119" s="3" t="str">
        <f t="shared" si="4"/>
        <v/>
      </c>
      <c r="K119" s="3" t="str">
        <f>IF(ISNUMBER(SEARCH("-",V119)),IFERROR(IF($H$2="Lower", LOWER(ComputeResourceName(Z119,#REF!,#REF!,G119,N119,O119,P119,Q119,S119,T119,V119,A119)), UPPER(ComputeResourceName(Z119,#REF!,#REF!,G119,N119,O119,P119,Q119,S119,T119,V119,A119))),""),SUBSTITUTE(IFERROR(IF($H$2="Lower", LOWER(ComputeResourceName(#REF!,#REF!,#REF!,G119,N119,O119,P119,Q119,S119,T119,V119,A119)), UPPER(ComputeResourceName(#REF!,#REF!,#REF!,G119,N119,O119,P119,Q119,S119,T119,V119,A119))),""), "-",""))</f>
        <v/>
      </c>
      <c r="L119" s="3" t="str">
        <f xml:space="preserve"> IF(K119="","",  IFERROR(VLOOKUP(I119,Resources!$B$1:$H$1503,5,FALSE)-LEN(K119),0))</f>
        <v/>
      </c>
      <c r="M119" s="3" t="str">
        <f>IF(K119="","",IFERROR(matches(K119,VLOOKUP(I119,Resources!$A$2:$AA$1503,16,FALSE)),FALSE))</f>
        <v/>
      </c>
      <c r="N119" s="3" t="e">
        <f>VLOOKUP(E119,Enviroments!$A$3:$D$59,1,FALSE)</f>
        <v>#N/A</v>
      </c>
      <c r="O119" s="3" t="e">
        <f>VLOOKUP(E119,Enviroments!$A$3:$D$59,2,FALSE)</f>
        <v>#N/A</v>
      </c>
      <c r="P119" s="3" t="e">
        <f>VLOOKUP(E119,Enviroments!$A$3:$D$59,3,FALSE)</f>
        <v>#N/A</v>
      </c>
      <c r="Q119" s="3" t="e">
        <f>VLOOKUP(E119,Enviroments!$A$3:$D$59,4,FALSE)</f>
        <v>#N/A</v>
      </c>
      <c r="R119" s="3" t="e">
        <f>VLOOKUP(H119,AzureRegions!$A$4:$B$1493,1,FALSE)</f>
        <v>#N/A</v>
      </c>
      <c r="S119" s="3" t="e">
        <f>VLOOKUP(H119,AzureRegions!$A$4:$B$1493,2,FALSE)</f>
        <v>#N/A</v>
      </c>
      <c r="T119" s="3" t="e">
        <f>VLOOKUP(H119,AzureRegions!$A$4:$C$1493,3,FALSE)</f>
        <v>#N/A</v>
      </c>
      <c r="U119" s="3" t="e">
        <f>VLOOKUP(I119,Resources!$A$2:$AA$1503,2,FALSE)</f>
        <v>#N/A</v>
      </c>
      <c r="V119" s="3" t="e">
        <f>VLOOKUP(I119,Resources!$A$2:$H$1503,6,FALSE)</f>
        <v>#N/A</v>
      </c>
      <c r="W119" s="3" t="str">
        <f>VLOOKUP($H$2,Casing!$A$4:$A$60,1,FALSE)</f>
        <v>Lower</v>
      </c>
      <c r="X119" s="14" t="str">
        <f t="shared" si="3"/>
        <v>001</v>
      </c>
      <c r="Y119" s="3" t="str">
        <f>IFERROR(VLOOKUP(F119,Func!$A$4:$G$1500,2,FALSE),"none")</f>
        <v>none</v>
      </c>
      <c r="Z119" s="3" t="e">
        <f>VLOOKUP(I119,Resources!$A$2:$AA$1503,18,FALSE)</f>
        <v>#N/A</v>
      </c>
      <c r="AA119" s="3" t="str">
        <f>IFERROR(VLOOKUP(B119,Orgs!$A$4:$G$1500,2,FALSE),"none")</f>
        <v>none</v>
      </c>
      <c r="AB119" s="3" t="str">
        <f>IFERROR(VLOOKUP(C119,UnitsDepts!$A$4:$G$1500,2,FALSE),"none")</f>
        <v>none</v>
      </c>
      <c r="AC119" s="3" t="str">
        <f>IFERROR(VLOOKUP(D119,ProjAppSvc!$A$4:$G$1500,2,FALSE),"none")</f>
        <v>none</v>
      </c>
    </row>
    <row r="120" spans="1:29" x14ac:dyDescent="0.45">
      <c r="A120" s="14" t="s">
        <v>23</v>
      </c>
      <c r="B120" s="14"/>
      <c r="C120" s="14"/>
      <c r="D120" s="14"/>
      <c r="H120" s="8"/>
      <c r="I120" s="3"/>
      <c r="J120" s="3" t="str">
        <f t="shared" si="4"/>
        <v/>
      </c>
      <c r="K120" s="3" t="str">
        <f>IF(ISNUMBER(SEARCH("-",V120)),IFERROR(IF($H$2="Lower", LOWER(ComputeResourceName(Z120,#REF!,#REF!,G120,N120,O120,P120,Q120,S120,T120,V120,A120)), UPPER(ComputeResourceName(Z120,#REF!,#REF!,G120,N120,O120,P120,Q120,S120,T120,V120,A120))),""),SUBSTITUTE(IFERROR(IF($H$2="Lower", LOWER(ComputeResourceName(#REF!,#REF!,#REF!,G120,N120,O120,P120,Q120,S120,T120,V120,A120)), UPPER(ComputeResourceName(#REF!,#REF!,#REF!,G120,N120,O120,P120,Q120,S120,T120,V120,A120))),""), "-",""))</f>
        <v/>
      </c>
      <c r="L120" s="3" t="str">
        <f xml:space="preserve"> IF(K120="","",  IFERROR(VLOOKUP(I120,Resources!$B$1:$H$1503,5,FALSE)-LEN(K120),0))</f>
        <v/>
      </c>
      <c r="M120" s="3" t="str">
        <f>IF(K120="","",IFERROR(matches(K120,VLOOKUP(I120,Resources!$A$2:$AA$1503,16,FALSE)),FALSE))</f>
        <v/>
      </c>
      <c r="N120" s="3" t="e">
        <f>VLOOKUP(E120,Enviroments!$A$3:$D$59,1,FALSE)</f>
        <v>#N/A</v>
      </c>
      <c r="O120" s="3" t="e">
        <f>VLOOKUP(E120,Enviroments!$A$3:$D$59,2,FALSE)</f>
        <v>#N/A</v>
      </c>
      <c r="P120" s="3" t="e">
        <f>VLOOKUP(E120,Enviroments!$A$3:$D$59,3,FALSE)</f>
        <v>#N/A</v>
      </c>
      <c r="Q120" s="3" t="e">
        <f>VLOOKUP(E120,Enviroments!$A$3:$D$59,4,FALSE)</f>
        <v>#N/A</v>
      </c>
      <c r="R120" s="3" t="e">
        <f>VLOOKUP(H120,AzureRegions!$A$4:$B$1493,1,FALSE)</f>
        <v>#N/A</v>
      </c>
      <c r="S120" s="3" t="e">
        <f>VLOOKUP(H120,AzureRegions!$A$4:$B$1493,2,FALSE)</f>
        <v>#N/A</v>
      </c>
      <c r="T120" s="3" t="e">
        <f>VLOOKUP(H120,AzureRegions!$A$4:$C$1493,3,FALSE)</f>
        <v>#N/A</v>
      </c>
      <c r="U120" s="3" t="e">
        <f>VLOOKUP(I120,Resources!$A$2:$AA$1503,2,FALSE)</f>
        <v>#N/A</v>
      </c>
      <c r="V120" s="3" t="e">
        <f>VLOOKUP(I120,Resources!$A$2:$H$1503,6,FALSE)</f>
        <v>#N/A</v>
      </c>
      <c r="W120" s="3" t="str">
        <f>VLOOKUP($H$2,Casing!$A$4:$A$60,1,FALSE)</f>
        <v>Lower</v>
      </c>
      <c r="X120" s="14" t="str">
        <f t="shared" si="3"/>
        <v>001</v>
      </c>
      <c r="Y120" s="3" t="str">
        <f>IFERROR(VLOOKUP(F120,Func!$A$4:$G$1500,2,FALSE),"none")</f>
        <v>none</v>
      </c>
      <c r="Z120" s="3" t="e">
        <f>VLOOKUP(I120,Resources!$A$2:$AA$1503,18,FALSE)</f>
        <v>#N/A</v>
      </c>
      <c r="AA120" s="3" t="str">
        <f>IFERROR(VLOOKUP(B120,Orgs!$A$4:$G$1500,2,FALSE),"none")</f>
        <v>none</v>
      </c>
      <c r="AB120" s="3" t="str">
        <f>IFERROR(VLOOKUP(C120,UnitsDepts!$A$4:$G$1500,2,FALSE),"none")</f>
        <v>none</v>
      </c>
      <c r="AC120" s="3" t="str">
        <f>IFERROR(VLOOKUP(D120,ProjAppSvc!$A$4:$G$1500,2,FALSE),"none")</f>
        <v>none</v>
      </c>
    </row>
    <row r="121" spans="1:29" x14ac:dyDescent="0.45">
      <c r="A121" s="14" t="s">
        <v>23</v>
      </c>
      <c r="B121" s="14"/>
      <c r="C121" s="14"/>
      <c r="D121" s="14"/>
      <c r="H121" s="8"/>
      <c r="I121" s="3"/>
      <c r="J121" s="3" t="str">
        <f t="shared" si="4"/>
        <v/>
      </c>
      <c r="K121" s="3" t="str">
        <f>IF(ISNUMBER(SEARCH("-",V121)),IFERROR(IF($H$2="Lower", LOWER(ComputeResourceName(Z121,#REF!,#REF!,G121,N121,O121,P121,Q121,S121,T121,V121,A121)), UPPER(ComputeResourceName(Z121,#REF!,#REF!,G121,N121,O121,P121,Q121,S121,T121,V121,A121))),""),SUBSTITUTE(IFERROR(IF($H$2="Lower", LOWER(ComputeResourceName(#REF!,#REF!,#REF!,G121,N121,O121,P121,Q121,S121,T121,V121,A121)), UPPER(ComputeResourceName(#REF!,#REF!,#REF!,G121,N121,O121,P121,Q121,S121,T121,V121,A121))),""), "-",""))</f>
        <v/>
      </c>
      <c r="L121" s="3" t="str">
        <f xml:space="preserve"> IF(K121="","",  IFERROR(VLOOKUP(I121,Resources!$B$1:$H$1503,5,FALSE)-LEN(K121),0))</f>
        <v/>
      </c>
      <c r="M121" s="3" t="str">
        <f>IF(K121="","",IFERROR(matches(K121,VLOOKUP(I121,Resources!$A$2:$AA$1503,16,FALSE)),FALSE))</f>
        <v/>
      </c>
      <c r="N121" s="3" t="e">
        <f>VLOOKUP(E121,Enviroments!$A$3:$D$59,1,FALSE)</f>
        <v>#N/A</v>
      </c>
      <c r="O121" s="3" t="e">
        <f>VLOOKUP(E121,Enviroments!$A$3:$D$59,2,FALSE)</f>
        <v>#N/A</v>
      </c>
      <c r="P121" s="3" t="e">
        <f>VLOOKUP(E121,Enviroments!$A$3:$D$59,3,FALSE)</f>
        <v>#N/A</v>
      </c>
      <c r="Q121" s="3" t="e">
        <f>VLOOKUP(E121,Enviroments!$A$3:$D$59,4,FALSE)</f>
        <v>#N/A</v>
      </c>
      <c r="R121" s="3" t="e">
        <f>VLOOKUP(H121,AzureRegions!$A$4:$B$1493,1,FALSE)</f>
        <v>#N/A</v>
      </c>
      <c r="S121" s="3" t="e">
        <f>VLOOKUP(H121,AzureRegions!$A$4:$B$1493,2,FALSE)</f>
        <v>#N/A</v>
      </c>
      <c r="T121" s="3" t="e">
        <f>VLOOKUP(H121,AzureRegions!$A$4:$C$1493,3,FALSE)</f>
        <v>#N/A</v>
      </c>
      <c r="U121" s="3" t="e">
        <f>VLOOKUP(I121,Resources!$A$2:$AA$1503,2,FALSE)</f>
        <v>#N/A</v>
      </c>
      <c r="V121" s="3" t="e">
        <f>VLOOKUP(I121,Resources!$A$2:$H$1503,6,FALSE)</f>
        <v>#N/A</v>
      </c>
      <c r="W121" s="3" t="str">
        <f>VLOOKUP($H$2,Casing!$A$4:$A$60,1,FALSE)</f>
        <v>Lower</v>
      </c>
      <c r="X121" s="14" t="str">
        <f t="shared" si="3"/>
        <v>001</v>
      </c>
      <c r="Y121" s="3" t="str">
        <f>IFERROR(VLOOKUP(F121,Func!$A$4:$G$1500,2,FALSE),"none")</f>
        <v>none</v>
      </c>
      <c r="Z121" s="3" t="e">
        <f>VLOOKUP(I121,Resources!$A$2:$AA$1503,18,FALSE)</f>
        <v>#N/A</v>
      </c>
      <c r="AA121" s="3" t="str">
        <f>IFERROR(VLOOKUP(B121,Orgs!$A$4:$G$1500,2,FALSE),"none")</f>
        <v>none</v>
      </c>
      <c r="AB121" s="3" t="str">
        <f>IFERROR(VLOOKUP(C121,UnitsDepts!$A$4:$G$1500,2,FALSE),"none")</f>
        <v>none</v>
      </c>
      <c r="AC121" s="3" t="str">
        <f>IFERROR(VLOOKUP(D121,ProjAppSvc!$A$4:$G$1500,2,FALSE),"none")</f>
        <v>none</v>
      </c>
    </row>
    <row r="122" spans="1:29" x14ac:dyDescent="0.45">
      <c r="A122" s="14" t="s">
        <v>23</v>
      </c>
      <c r="B122" s="14"/>
      <c r="C122" s="14"/>
      <c r="D122" s="14"/>
      <c r="H122" s="8"/>
      <c r="I122" s="3"/>
      <c r="J122" s="3" t="str">
        <f t="shared" si="4"/>
        <v/>
      </c>
      <c r="K122" s="3" t="str">
        <f>IF(ISNUMBER(SEARCH("-",V122)),IFERROR(IF($H$2="Lower", LOWER(ComputeResourceName(Z122,#REF!,#REF!,G122,N122,O122,P122,Q122,S122,T122,V122,A122)), UPPER(ComputeResourceName(Z122,#REF!,#REF!,G122,N122,O122,P122,Q122,S122,T122,V122,A122))),""),SUBSTITUTE(IFERROR(IF($H$2="Lower", LOWER(ComputeResourceName(#REF!,#REF!,#REF!,G122,N122,O122,P122,Q122,S122,T122,V122,A122)), UPPER(ComputeResourceName(#REF!,#REF!,#REF!,G122,N122,O122,P122,Q122,S122,T122,V122,A122))),""), "-",""))</f>
        <v/>
      </c>
      <c r="L122" s="3" t="str">
        <f xml:space="preserve"> IF(K122="","",  IFERROR(VLOOKUP(I122,Resources!$B$1:$H$1503,5,FALSE)-LEN(K122),0))</f>
        <v/>
      </c>
      <c r="M122" s="3" t="str">
        <f>IF(K122="","",IFERROR(matches(K122,VLOOKUP(I122,Resources!$A$2:$AA$1503,16,FALSE)),FALSE))</f>
        <v/>
      </c>
      <c r="N122" s="3" t="e">
        <f>VLOOKUP(E122,Enviroments!$A$3:$D$59,1,FALSE)</f>
        <v>#N/A</v>
      </c>
      <c r="O122" s="3" t="e">
        <f>VLOOKUP(E122,Enviroments!$A$3:$D$59,2,FALSE)</f>
        <v>#N/A</v>
      </c>
      <c r="P122" s="3" t="e">
        <f>VLOOKUP(E122,Enviroments!$A$3:$D$59,3,FALSE)</f>
        <v>#N/A</v>
      </c>
      <c r="Q122" s="3" t="e">
        <f>VLOOKUP(E122,Enviroments!$A$3:$D$59,4,FALSE)</f>
        <v>#N/A</v>
      </c>
      <c r="R122" s="3" t="e">
        <f>VLOOKUP(H122,AzureRegions!$A$4:$B$1493,1,FALSE)</f>
        <v>#N/A</v>
      </c>
      <c r="S122" s="3" t="e">
        <f>VLOOKUP(H122,AzureRegions!$A$4:$B$1493,2,FALSE)</f>
        <v>#N/A</v>
      </c>
      <c r="T122" s="3" t="e">
        <f>VLOOKUP(H122,AzureRegions!$A$4:$C$1493,3,FALSE)</f>
        <v>#N/A</v>
      </c>
      <c r="U122" s="3" t="e">
        <f>VLOOKUP(I122,Resources!$A$2:$AA$1503,2,FALSE)</f>
        <v>#N/A</v>
      </c>
      <c r="V122" s="3" t="e">
        <f>VLOOKUP(I122,Resources!$A$2:$H$1503,6,FALSE)</f>
        <v>#N/A</v>
      </c>
      <c r="W122" s="3" t="str">
        <f>VLOOKUP($H$2,Casing!$A$4:$A$60,1,FALSE)</f>
        <v>Lower</v>
      </c>
      <c r="X122" s="14" t="str">
        <f t="shared" si="3"/>
        <v>001</v>
      </c>
      <c r="Y122" s="3" t="str">
        <f>IFERROR(VLOOKUP(F122,Func!$A$4:$G$1500,2,FALSE),"none")</f>
        <v>none</v>
      </c>
      <c r="Z122" s="3" t="e">
        <f>VLOOKUP(I122,Resources!$A$2:$AA$1503,18,FALSE)</f>
        <v>#N/A</v>
      </c>
      <c r="AA122" s="3" t="str">
        <f>IFERROR(VLOOKUP(B122,Orgs!$A$4:$G$1500,2,FALSE),"none")</f>
        <v>none</v>
      </c>
      <c r="AB122" s="3" t="str">
        <f>IFERROR(VLOOKUP(C122,UnitsDepts!$A$4:$G$1500,2,FALSE),"none")</f>
        <v>none</v>
      </c>
      <c r="AC122" s="3" t="str">
        <f>IFERROR(VLOOKUP(D122,ProjAppSvc!$A$4:$G$1500,2,FALSE),"none")</f>
        <v>none</v>
      </c>
    </row>
    <row r="123" spans="1:29" x14ac:dyDescent="0.45">
      <c r="A123" s="14" t="s">
        <v>23</v>
      </c>
      <c r="B123" s="14"/>
      <c r="C123" s="14"/>
      <c r="D123" s="14"/>
      <c r="H123" s="8"/>
      <c r="I123" s="3"/>
      <c r="J123" s="3" t="str">
        <f t="shared" si="4"/>
        <v/>
      </c>
      <c r="K123" s="3" t="str">
        <f>IF(ISNUMBER(SEARCH("-",V123)),IFERROR(IF($H$2="Lower", LOWER(ComputeResourceName(Z123,#REF!,#REF!,G123,N123,O123,P123,Q123,S123,T123,V123,A123)), UPPER(ComputeResourceName(Z123,#REF!,#REF!,G123,N123,O123,P123,Q123,S123,T123,V123,A123))),""),SUBSTITUTE(IFERROR(IF($H$2="Lower", LOWER(ComputeResourceName(#REF!,#REF!,#REF!,G123,N123,O123,P123,Q123,S123,T123,V123,A123)), UPPER(ComputeResourceName(#REF!,#REF!,#REF!,G123,N123,O123,P123,Q123,S123,T123,V123,A123))),""), "-",""))</f>
        <v/>
      </c>
      <c r="L123" s="3" t="str">
        <f xml:space="preserve"> IF(K123="","",  IFERROR(VLOOKUP(I123,Resources!$B$1:$H$1503,5,FALSE)-LEN(K123),0))</f>
        <v/>
      </c>
      <c r="M123" s="3" t="str">
        <f>IF(K123="","",IFERROR(matches(K123,VLOOKUP(I123,Resources!$A$2:$AA$1503,16,FALSE)),FALSE))</f>
        <v/>
      </c>
      <c r="N123" s="3" t="e">
        <f>VLOOKUP(E123,Enviroments!$A$3:$D$59,1,FALSE)</f>
        <v>#N/A</v>
      </c>
      <c r="O123" s="3" t="e">
        <f>VLOOKUP(E123,Enviroments!$A$3:$D$59,2,FALSE)</f>
        <v>#N/A</v>
      </c>
      <c r="P123" s="3" t="e">
        <f>VLOOKUP(E123,Enviroments!$A$3:$D$59,3,FALSE)</f>
        <v>#N/A</v>
      </c>
      <c r="Q123" s="3" t="e">
        <f>VLOOKUP(E123,Enviroments!$A$3:$D$59,4,FALSE)</f>
        <v>#N/A</v>
      </c>
      <c r="R123" s="3" t="e">
        <f>VLOOKUP(H123,AzureRegions!$A$4:$B$1493,1,FALSE)</f>
        <v>#N/A</v>
      </c>
      <c r="S123" s="3" t="e">
        <f>VLOOKUP(H123,AzureRegions!$A$4:$B$1493,2,FALSE)</f>
        <v>#N/A</v>
      </c>
      <c r="T123" s="3" t="e">
        <f>VLOOKUP(H123,AzureRegions!$A$4:$C$1493,3,FALSE)</f>
        <v>#N/A</v>
      </c>
      <c r="U123" s="3" t="e">
        <f>VLOOKUP(I123,Resources!$A$2:$AA$1503,2,FALSE)</f>
        <v>#N/A</v>
      </c>
      <c r="V123" s="3" t="e">
        <f>VLOOKUP(I123,Resources!$A$2:$H$1503,6,FALSE)</f>
        <v>#N/A</v>
      </c>
      <c r="W123" s="3" t="str">
        <f>VLOOKUP($H$2,Casing!$A$4:$A$60,1,FALSE)</f>
        <v>Lower</v>
      </c>
      <c r="X123" s="14" t="str">
        <f t="shared" si="3"/>
        <v>001</v>
      </c>
      <c r="Y123" s="3" t="str">
        <f>IFERROR(VLOOKUP(F123,Func!$A$4:$G$1500,2,FALSE),"none")</f>
        <v>none</v>
      </c>
      <c r="Z123" s="3" t="e">
        <f>VLOOKUP(I123,Resources!$A$2:$AA$1503,18,FALSE)</f>
        <v>#N/A</v>
      </c>
      <c r="AA123" s="3" t="str">
        <f>IFERROR(VLOOKUP(B123,Orgs!$A$4:$G$1500,2,FALSE),"none")</f>
        <v>none</v>
      </c>
      <c r="AB123" s="3" t="str">
        <f>IFERROR(VLOOKUP(C123,UnitsDepts!$A$4:$G$1500,2,FALSE),"none")</f>
        <v>none</v>
      </c>
      <c r="AC123" s="3" t="str">
        <f>IFERROR(VLOOKUP(D123,ProjAppSvc!$A$4:$G$1500,2,FALSE),"none")</f>
        <v>none</v>
      </c>
    </row>
    <row r="124" spans="1:29" x14ac:dyDescent="0.45">
      <c r="A124" s="14" t="s">
        <v>23</v>
      </c>
      <c r="B124" s="14"/>
      <c r="C124" s="14"/>
      <c r="D124" s="14"/>
      <c r="H124" s="8"/>
      <c r="I124" s="3"/>
      <c r="J124" s="3" t="str">
        <f t="shared" si="4"/>
        <v/>
      </c>
      <c r="K124" s="3" t="str">
        <f>IF(ISNUMBER(SEARCH("-",V124)),IFERROR(IF($H$2="Lower", LOWER(ComputeResourceName(Z124,#REF!,#REF!,G124,N124,O124,P124,Q124,S124,T124,V124,A124)), UPPER(ComputeResourceName(Z124,#REF!,#REF!,G124,N124,O124,P124,Q124,S124,T124,V124,A124))),""),SUBSTITUTE(IFERROR(IF($H$2="Lower", LOWER(ComputeResourceName(#REF!,#REF!,#REF!,G124,N124,O124,P124,Q124,S124,T124,V124,A124)), UPPER(ComputeResourceName(#REF!,#REF!,#REF!,G124,N124,O124,P124,Q124,S124,T124,V124,A124))),""), "-",""))</f>
        <v/>
      </c>
      <c r="L124" s="3" t="str">
        <f xml:space="preserve"> IF(K124="","",  IFERROR(VLOOKUP(I124,Resources!$B$1:$H$1503,5,FALSE)-LEN(K124),0))</f>
        <v/>
      </c>
      <c r="M124" s="3" t="str">
        <f>IF(K124="","",IFERROR(matches(K124,VLOOKUP(I124,Resources!$A$2:$AA$1503,16,FALSE)),FALSE))</f>
        <v/>
      </c>
      <c r="N124" s="3" t="e">
        <f>VLOOKUP(E124,Enviroments!$A$3:$D$59,1,FALSE)</f>
        <v>#N/A</v>
      </c>
      <c r="O124" s="3" t="e">
        <f>VLOOKUP(E124,Enviroments!$A$3:$D$59,2,FALSE)</f>
        <v>#N/A</v>
      </c>
      <c r="P124" s="3" t="e">
        <f>VLOOKUP(E124,Enviroments!$A$3:$D$59,3,FALSE)</f>
        <v>#N/A</v>
      </c>
      <c r="Q124" s="3" t="e">
        <f>VLOOKUP(E124,Enviroments!$A$3:$D$59,4,FALSE)</f>
        <v>#N/A</v>
      </c>
      <c r="R124" s="3" t="e">
        <f>VLOOKUP(H124,AzureRegions!$A$4:$B$1493,1,FALSE)</f>
        <v>#N/A</v>
      </c>
      <c r="S124" s="3" t="e">
        <f>VLOOKUP(H124,AzureRegions!$A$4:$B$1493,2,FALSE)</f>
        <v>#N/A</v>
      </c>
      <c r="T124" s="3" t="e">
        <f>VLOOKUP(H124,AzureRegions!$A$4:$C$1493,3,FALSE)</f>
        <v>#N/A</v>
      </c>
      <c r="U124" s="3" t="e">
        <f>VLOOKUP(I124,Resources!$A$2:$AA$1503,2,FALSE)</f>
        <v>#N/A</v>
      </c>
      <c r="V124" s="3" t="e">
        <f>VLOOKUP(I124,Resources!$A$2:$H$1503,6,FALSE)</f>
        <v>#N/A</v>
      </c>
      <c r="W124" s="3" t="str">
        <f>VLOOKUP($H$2,Casing!$A$4:$A$60,1,FALSE)</f>
        <v>Lower</v>
      </c>
      <c r="X124" s="14" t="str">
        <f t="shared" si="3"/>
        <v>001</v>
      </c>
      <c r="Y124" s="3" t="str">
        <f>IFERROR(VLOOKUP(F124,Func!$A$4:$G$1500,2,FALSE),"none")</f>
        <v>none</v>
      </c>
      <c r="Z124" s="3" t="e">
        <f>VLOOKUP(I124,Resources!$A$2:$AA$1503,18,FALSE)</f>
        <v>#N/A</v>
      </c>
      <c r="AA124" s="3" t="str">
        <f>IFERROR(VLOOKUP(B124,Orgs!$A$4:$G$1500,2,FALSE),"none")</f>
        <v>none</v>
      </c>
      <c r="AB124" s="3" t="str">
        <f>IFERROR(VLOOKUP(C124,UnitsDepts!$A$4:$G$1500,2,FALSE),"none")</f>
        <v>none</v>
      </c>
      <c r="AC124" s="3" t="str">
        <f>IFERROR(VLOOKUP(D124,ProjAppSvc!$A$4:$G$1500,2,FALSE),"none")</f>
        <v>none</v>
      </c>
    </row>
    <row r="125" spans="1:29" x14ac:dyDescent="0.45">
      <c r="A125" s="14" t="s">
        <v>23</v>
      </c>
      <c r="B125" s="14"/>
      <c r="C125" s="14"/>
      <c r="D125" s="14"/>
      <c r="H125" s="8"/>
      <c r="I125" s="3"/>
      <c r="J125" s="3" t="str">
        <f t="shared" si="4"/>
        <v/>
      </c>
      <c r="K125" s="3" t="str">
        <f>IF(ISNUMBER(SEARCH("-",V125)),IFERROR(IF($H$2="Lower", LOWER(ComputeResourceName(Z125,#REF!,#REF!,G125,N125,O125,P125,Q125,S125,T125,V125,A125)), UPPER(ComputeResourceName(Z125,#REF!,#REF!,G125,N125,O125,P125,Q125,S125,T125,V125,A125))),""),SUBSTITUTE(IFERROR(IF($H$2="Lower", LOWER(ComputeResourceName(#REF!,#REF!,#REF!,G125,N125,O125,P125,Q125,S125,T125,V125,A125)), UPPER(ComputeResourceName(#REF!,#REF!,#REF!,G125,N125,O125,P125,Q125,S125,T125,V125,A125))),""), "-",""))</f>
        <v/>
      </c>
      <c r="L125" s="3" t="str">
        <f xml:space="preserve"> IF(K125="","",  IFERROR(VLOOKUP(I125,Resources!$B$1:$H$1503,5,FALSE)-LEN(K125),0))</f>
        <v/>
      </c>
      <c r="M125" s="3" t="str">
        <f>IF(K125="","",IFERROR(matches(K125,VLOOKUP(I125,Resources!$A$2:$AA$1503,16,FALSE)),FALSE))</f>
        <v/>
      </c>
      <c r="N125" s="3" t="e">
        <f>VLOOKUP(E125,Enviroments!$A$3:$D$59,1,FALSE)</f>
        <v>#N/A</v>
      </c>
      <c r="O125" s="3" t="e">
        <f>VLOOKUP(E125,Enviroments!$A$3:$D$59,2,FALSE)</f>
        <v>#N/A</v>
      </c>
      <c r="P125" s="3" t="e">
        <f>VLOOKUP(E125,Enviroments!$A$3:$D$59,3,FALSE)</f>
        <v>#N/A</v>
      </c>
      <c r="Q125" s="3" t="e">
        <f>VLOOKUP(E125,Enviroments!$A$3:$D$59,4,FALSE)</f>
        <v>#N/A</v>
      </c>
      <c r="R125" s="3" t="e">
        <f>VLOOKUP(H125,AzureRegions!$A$4:$B$1493,1,FALSE)</f>
        <v>#N/A</v>
      </c>
      <c r="S125" s="3" t="e">
        <f>VLOOKUP(H125,AzureRegions!$A$4:$B$1493,2,FALSE)</f>
        <v>#N/A</v>
      </c>
      <c r="T125" s="3" t="e">
        <f>VLOOKUP(H125,AzureRegions!$A$4:$C$1493,3,FALSE)</f>
        <v>#N/A</v>
      </c>
      <c r="U125" s="3" t="e">
        <f>VLOOKUP(I125,Resources!$A$2:$AA$1503,2,FALSE)</f>
        <v>#N/A</v>
      </c>
      <c r="V125" s="3" t="e">
        <f>VLOOKUP(I125,Resources!$A$2:$H$1503,6,FALSE)</f>
        <v>#N/A</v>
      </c>
      <c r="W125" s="3" t="str">
        <f>VLOOKUP($H$2,Casing!$A$4:$A$60,1,FALSE)</f>
        <v>Lower</v>
      </c>
      <c r="X125" s="14" t="str">
        <f t="shared" si="3"/>
        <v>001</v>
      </c>
      <c r="Y125" s="3" t="str">
        <f>IFERROR(VLOOKUP(F125,Func!$A$4:$G$1500,2,FALSE),"none")</f>
        <v>none</v>
      </c>
      <c r="Z125" s="3" t="e">
        <f>VLOOKUP(I125,Resources!$A$2:$AA$1503,18,FALSE)</f>
        <v>#N/A</v>
      </c>
      <c r="AA125" s="3" t="str">
        <f>IFERROR(VLOOKUP(B125,Orgs!$A$4:$G$1500,2,FALSE),"none")</f>
        <v>none</v>
      </c>
      <c r="AB125" s="3" t="str">
        <f>IFERROR(VLOOKUP(C125,UnitsDepts!$A$4:$G$1500,2,FALSE),"none")</f>
        <v>none</v>
      </c>
      <c r="AC125" s="3" t="str">
        <f>IFERROR(VLOOKUP(D125,ProjAppSvc!$A$4:$G$1500,2,FALSE),"none")</f>
        <v>none</v>
      </c>
    </row>
    <row r="126" spans="1:29" x14ac:dyDescent="0.45">
      <c r="A126" s="14" t="s">
        <v>23</v>
      </c>
      <c r="B126" s="14"/>
      <c r="C126" s="14"/>
      <c r="D126" s="14"/>
      <c r="H126" s="8"/>
      <c r="I126" s="3"/>
      <c r="J126" s="3" t="str">
        <f t="shared" si="4"/>
        <v/>
      </c>
      <c r="K126" s="3" t="str">
        <f>IF(ISNUMBER(SEARCH("-",V126)),IFERROR(IF($H$2="Lower", LOWER(ComputeResourceName(Z126,#REF!,#REF!,G126,N126,O126,P126,Q126,S126,T126,V126,A126)), UPPER(ComputeResourceName(Z126,#REF!,#REF!,G126,N126,O126,P126,Q126,S126,T126,V126,A126))),""),SUBSTITUTE(IFERROR(IF($H$2="Lower", LOWER(ComputeResourceName(#REF!,#REF!,#REF!,G126,N126,O126,P126,Q126,S126,T126,V126,A126)), UPPER(ComputeResourceName(#REF!,#REF!,#REF!,G126,N126,O126,P126,Q126,S126,T126,V126,A126))),""), "-",""))</f>
        <v/>
      </c>
      <c r="L126" s="3" t="str">
        <f xml:space="preserve"> IF(K126="","",  IFERROR(VLOOKUP(I126,Resources!$B$1:$H$1503,5,FALSE)-LEN(K126),0))</f>
        <v/>
      </c>
      <c r="M126" s="3" t="str">
        <f>IF(K126="","",IFERROR(matches(K126,VLOOKUP(I126,Resources!$A$2:$AA$1503,16,FALSE)),FALSE))</f>
        <v/>
      </c>
      <c r="N126" s="3" t="e">
        <f>VLOOKUP(E126,Enviroments!$A$3:$D$59,1,FALSE)</f>
        <v>#N/A</v>
      </c>
      <c r="O126" s="3" t="e">
        <f>VLOOKUP(E126,Enviroments!$A$3:$D$59,2,FALSE)</f>
        <v>#N/A</v>
      </c>
      <c r="P126" s="3" t="e">
        <f>VLOOKUP(E126,Enviroments!$A$3:$D$59,3,FALSE)</f>
        <v>#N/A</v>
      </c>
      <c r="Q126" s="3" t="e">
        <f>VLOOKUP(E126,Enviroments!$A$3:$D$59,4,FALSE)</f>
        <v>#N/A</v>
      </c>
      <c r="R126" s="3" t="e">
        <f>VLOOKUP(H126,AzureRegions!$A$4:$B$1493,1,FALSE)</f>
        <v>#N/A</v>
      </c>
      <c r="S126" s="3" t="e">
        <f>VLOOKUP(H126,AzureRegions!$A$4:$B$1493,2,FALSE)</f>
        <v>#N/A</v>
      </c>
      <c r="T126" s="3" t="e">
        <f>VLOOKUP(H126,AzureRegions!$A$4:$C$1493,3,FALSE)</f>
        <v>#N/A</v>
      </c>
      <c r="U126" s="3" t="e">
        <f>VLOOKUP(I126,Resources!$A$2:$AA$1503,2,FALSE)</f>
        <v>#N/A</v>
      </c>
      <c r="V126" s="3" t="e">
        <f>VLOOKUP(I126,Resources!$A$2:$H$1503,6,FALSE)</f>
        <v>#N/A</v>
      </c>
      <c r="W126" s="3" t="str">
        <f>VLOOKUP($H$2,Casing!$A$4:$A$60,1,FALSE)</f>
        <v>Lower</v>
      </c>
      <c r="X126" s="14" t="str">
        <f t="shared" si="3"/>
        <v>001</v>
      </c>
      <c r="Y126" s="3" t="str">
        <f>IFERROR(VLOOKUP(F126,Func!$A$4:$G$1500,2,FALSE),"none")</f>
        <v>none</v>
      </c>
      <c r="Z126" s="3" t="e">
        <f>VLOOKUP(I126,Resources!$A$2:$AA$1503,18,FALSE)</f>
        <v>#N/A</v>
      </c>
      <c r="AA126" s="3" t="str">
        <f>IFERROR(VLOOKUP(B126,Orgs!$A$4:$G$1500,2,FALSE),"none")</f>
        <v>none</v>
      </c>
      <c r="AB126" s="3" t="str">
        <f>IFERROR(VLOOKUP(C126,UnitsDepts!$A$4:$G$1500,2,FALSE),"none")</f>
        <v>none</v>
      </c>
      <c r="AC126" s="3" t="str">
        <f>IFERROR(VLOOKUP(D126,ProjAppSvc!$A$4:$G$1500,2,FALSE),"none")</f>
        <v>none</v>
      </c>
    </row>
    <row r="127" spans="1:29" x14ac:dyDescent="0.45">
      <c r="A127" s="14" t="s">
        <v>23</v>
      </c>
      <c r="B127" s="14"/>
      <c r="C127" s="14"/>
      <c r="D127" s="14"/>
      <c r="H127" s="8"/>
      <c r="I127" s="3"/>
      <c r="J127" s="3" t="str">
        <f t="shared" si="4"/>
        <v/>
      </c>
      <c r="K127" s="3" t="str">
        <f>IF(ISNUMBER(SEARCH("-",V127)),IFERROR(IF($H$2="Lower", LOWER(ComputeResourceName(Z127,#REF!,#REF!,G127,N127,O127,P127,Q127,S127,T127,V127,A127)), UPPER(ComputeResourceName(Z127,#REF!,#REF!,G127,N127,O127,P127,Q127,S127,T127,V127,A127))),""),SUBSTITUTE(IFERROR(IF($H$2="Lower", LOWER(ComputeResourceName(#REF!,#REF!,#REF!,G127,N127,O127,P127,Q127,S127,T127,V127,A127)), UPPER(ComputeResourceName(#REF!,#REF!,#REF!,G127,N127,O127,P127,Q127,S127,T127,V127,A127))),""), "-",""))</f>
        <v/>
      </c>
      <c r="L127" s="3" t="str">
        <f xml:space="preserve"> IF(K127="","",  IFERROR(VLOOKUP(I127,Resources!$B$1:$H$1503,5,FALSE)-LEN(K127),0))</f>
        <v/>
      </c>
      <c r="M127" s="3" t="str">
        <f>IF(K127="","",IFERROR(matches(K127,VLOOKUP(I127,Resources!$A$2:$AA$1503,16,FALSE)),FALSE))</f>
        <v/>
      </c>
      <c r="N127" s="3" t="e">
        <f>VLOOKUP(E127,Enviroments!$A$3:$D$59,1,FALSE)</f>
        <v>#N/A</v>
      </c>
      <c r="O127" s="3" t="e">
        <f>VLOOKUP(E127,Enviroments!$A$3:$D$59,2,FALSE)</f>
        <v>#N/A</v>
      </c>
      <c r="P127" s="3" t="e">
        <f>VLOOKUP(E127,Enviroments!$A$3:$D$59,3,FALSE)</f>
        <v>#N/A</v>
      </c>
      <c r="Q127" s="3" t="e">
        <f>VLOOKUP(E127,Enviroments!$A$3:$D$59,4,FALSE)</f>
        <v>#N/A</v>
      </c>
      <c r="R127" s="3" t="e">
        <f>VLOOKUP(H127,AzureRegions!$A$4:$B$1493,1,FALSE)</f>
        <v>#N/A</v>
      </c>
      <c r="S127" s="3" t="e">
        <f>VLOOKUP(H127,AzureRegions!$A$4:$B$1493,2,FALSE)</f>
        <v>#N/A</v>
      </c>
      <c r="T127" s="3" t="e">
        <f>VLOOKUP(H127,AzureRegions!$A$4:$C$1493,3,FALSE)</f>
        <v>#N/A</v>
      </c>
      <c r="U127" s="3" t="e">
        <f>VLOOKUP(I127,Resources!$A$2:$AA$1503,2,FALSE)</f>
        <v>#N/A</v>
      </c>
      <c r="V127" s="3" t="e">
        <f>VLOOKUP(I127,Resources!$A$2:$H$1503,6,FALSE)</f>
        <v>#N/A</v>
      </c>
      <c r="W127" s="3" t="str">
        <f>VLOOKUP($H$2,Casing!$A$4:$A$60,1,FALSE)</f>
        <v>Lower</v>
      </c>
      <c r="X127" s="14" t="str">
        <f t="shared" si="3"/>
        <v>001</v>
      </c>
      <c r="Y127" s="3" t="str">
        <f>IFERROR(VLOOKUP(F127,Func!$A$4:$G$1500,2,FALSE),"none")</f>
        <v>none</v>
      </c>
      <c r="Z127" s="3" t="e">
        <f>VLOOKUP(I127,Resources!$A$2:$AA$1503,18,FALSE)</f>
        <v>#N/A</v>
      </c>
      <c r="AA127" s="3" t="str">
        <f>IFERROR(VLOOKUP(B127,Orgs!$A$4:$G$1500,2,FALSE),"none")</f>
        <v>none</v>
      </c>
      <c r="AB127" s="3" t="str">
        <f>IFERROR(VLOOKUP(C127,UnitsDepts!$A$4:$G$1500,2,FALSE),"none")</f>
        <v>none</v>
      </c>
      <c r="AC127" s="3" t="str">
        <f>IFERROR(VLOOKUP(D127,ProjAppSvc!$A$4:$G$1500,2,FALSE),"none")</f>
        <v>none</v>
      </c>
    </row>
    <row r="128" spans="1:29" x14ac:dyDescent="0.45">
      <c r="A128" s="14" t="s">
        <v>23</v>
      </c>
      <c r="B128" s="14"/>
      <c r="C128" s="14"/>
      <c r="D128" s="14"/>
      <c r="H128" s="8"/>
      <c r="I128" s="3"/>
      <c r="J128" s="3" t="str">
        <f t="shared" si="4"/>
        <v/>
      </c>
      <c r="K128" s="3" t="str">
        <f>IF(ISNUMBER(SEARCH("-",V128)),IFERROR(IF($H$2="Lower", LOWER(ComputeResourceName(Z128,#REF!,#REF!,G128,N128,O128,P128,Q128,S128,T128,V128,A128)), UPPER(ComputeResourceName(Z128,#REF!,#REF!,G128,N128,O128,P128,Q128,S128,T128,V128,A128))),""),SUBSTITUTE(IFERROR(IF($H$2="Lower", LOWER(ComputeResourceName(#REF!,#REF!,#REF!,G128,N128,O128,P128,Q128,S128,T128,V128,A128)), UPPER(ComputeResourceName(#REF!,#REF!,#REF!,G128,N128,O128,P128,Q128,S128,T128,V128,A128))),""), "-",""))</f>
        <v/>
      </c>
      <c r="L128" s="3" t="str">
        <f xml:space="preserve"> IF(K128="","",  IFERROR(VLOOKUP(I128,Resources!$B$1:$H$1503,5,FALSE)-LEN(K128),0))</f>
        <v/>
      </c>
      <c r="M128" s="3" t="str">
        <f>IF(K128="","",IFERROR(matches(K128,VLOOKUP(I128,Resources!$A$2:$AA$1503,16,FALSE)),FALSE))</f>
        <v/>
      </c>
      <c r="N128" s="3" t="e">
        <f>VLOOKUP(E128,Enviroments!$A$3:$D$59,1,FALSE)</f>
        <v>#N/A</v>
      </c>
      <c r="O128" s="3" t="e">
        <f>VLOOKUP(E128,Enviroments!$A$3:$D$59,2,FALSE)</f>
        <v>#N/A</v>
      </c>
      <c r="P128" s="3" t="e">
        <f>VLOOKUP(E128,Enviroments!$A$3:$D$59,3,FALSE)</f>
        <v>#N/A</v>
      </c>
      <c r="Q128" s="3" t="e">
        <f>VLOOKUP(E128,Enviroments!$A$3:$D$59,4,FALSE)</f>
        <v>#N/A</v>
      </c>
      <c r="R128" s="3" t="e">
        <f>VLOOKUP(H128,AzureRegions!$A$4:$B$1493,1,FALSE)</f>
        <v>#N/A</v>
      </c>
      <c r="S128" s="3" t="e">
        <f>VLOOKUP(H128,AzureRegions!$A$4:$B$1493,2,FALSE)</f>
        <v>#N/A</v>
      </c>
      <c r="T128" s="3" t="e">
        <f>VLOOKUP(H128,AzureRegions!$A$4:$C$1493,3,FALSE)</f>
        <v>#N/A</v>
      </c>
      <c r="U128" s="3" t="e">
        <f>VLOOKUP(I128,Resources!$A$2:$AA$1503,2,FALSE)</f>
        <v>#N/A</v>
      </c>
      <c r="V128" s="3" t="e">
        <f>VLOOKUP(I128,Resources!$A$2:$H$1503,6,FALSE)</f>
        <v>#N/A</v>
      </c>
      <c r="W128" s="3" t="str">
        <f>VLOOKUP($H$2,Casing!$A$4:$A$60,1,FALSE)</f>
        <v>Lower</v>
      </c>
      <c r="X128" s="14" t="str">
        <f t="shared" si="3"/>
        <v>001</v>
      </c>
      <c r="Y128" s="3" t="str">
        <f>IFERROR(VLOOKUP(F128,Func!$A$4:$G$1500,2,FALSE),"none")</f>
        <v>none</v>
      </c>
      <c r="Z128" s="3" t="e">
        <f>VLOOKUP(I128,Resources!$A$2:$AA$1503,18,FALSE)</f>
        <v>#N/A</v>
      </c>
      <c r="AA128" s="3" t="str">
        <f>IFERROR(VLOOKUP(B128,Orgs!$A$4:$G$1500,2,FALSE),"none")</f>
        <v>none</v>
      </c>
      <c r="AB128" s="3" t="str">
        <f>IFERROR(VLOOKUP(C128,UnitsDepts!$A$4:$G$1500,2,FALSE),"none")</f>
        <v>none</v>
      </c>
      <c r="AC128" s="3" t="str">
        <f>IFERROR(VLOOKUP(D128,ProjAppSvc!$A$4:$G$1500,2,FALSE),"none")</f>
        <v>none</v>
      </c>
    </row>
    <row r="129" spans="1:29" x14ac:dyDescent="0.45">
      <c r="A129" s="14" t="s">
        <v>23</v>
      </c>
      <c r="B129" s="14"/>
      <c r="C129" s="14"/>
      <c r="D129" s="14"/>
      <c r="H129" s="8"/>
      <c r="I129" s="3"/>
      <c r="J129" s="3" t="str">
        <f t="shared" si="4"/>
        <v/>
      </c>
      <c r="K129" s="3" t="str">
        <f>IF(ISNUMBER(SEARCH("-",V129)),IFERROR(IF($H$2="Lower", LOWER(ComputeResourceName(Z129,#REF!,#REF!,G129,N129,O129,P129,Q129,S129,T129,V129,A129)), UPPER(ComputeResourceName(Z129,#REF!,#REF!,G129,N129,O129,P129,Q129,S129,T129,V129,A129))),""),SUBSTITUTE(IFERROR(IF($H$2="Lower", LOWER(ComputeResourceName(#REF!,#REF!,#REF!,G129,N129,O129,P129,Q129,S129,T129,V129,A129)), UPPER(ComputeResourceName(#REF!,#REF!,#REF!,G129,N129,O129,P129,Q129,S129,T129,V129,A129))),""), "-",""))</f>
        <v/>
      </c>
      <c r="L129" s="3" t="str">
        <f xml:space="preserve"> IF(K129="","",  IFERROR(VLOOKUP(I129,Resources!$B$1:$H$1503,5,FALSE)-LEN(K129),0))</f>
        <v/>
      </c>
      <c r="M129" s="3" t="str">
        <f>IF(K129="","",IFERROR(matches(K129,VLOOKUP(I129,Resources!$A$2:$AA$1503,16,FALSE)),FALSE))</f>
        <v/>
      </c>
      <c r="N129" s="3" t="e">
        <f>VLOOKUP(E129,Enviroments!$A$3:$D$59,1,FALSE)</f>
        <v>#N/A</v>
      </c>
      <c r="O129" s="3" t="e">
        <f>VLOOKUP(E129,Enviroments!$A$3:$D$59,2,FALSE)</f>
        <v>#N/A</v>
      </c>
      <c r="P129" s="3" t="e">
        <f>VLOOKUP(E129,Enviroments!$A$3:$D$59,3,FALSE)</f>
        <v>#N/A</v>
      </c>
      <c r="Q129" s="3" t="e">
        <f>VLOOKUP(E129,Enviroments!$A$3:$D$59,4,FALSE)</f>
        <v>#N/A</v>
      </c>
      <c r="R129" s="3" t="e">
        <f>VLOOKUP(H129,AzureRegions!$A$4:$B$1493,1,FALSE)</f>
        <v>#N/A</v>
      </c>
      <c r="S129" s="3" t="e">
        <f>VLOOKUP(H129,AzureRegions!$A$4:$B$1493,2,FALSE)</f>
        <v>#N/A</v>
      </c>
      <c r="T129" s="3" t="e">
        <f>VLOOKUP(H129,AzureRegions!$A$4:$C$1493,3,FALSE)</f>
        <v>#N/A</v>
      </c>
      <c r="U129" s="3" t="e">
        <f>VLOOKUP(I129,Resources!$A$2:$AA$1503,2,FALSE)</f>
        <v>#N/A</v>
      </c>
      <c r="V129" s="3" t="e">
        <f>VLOOKUP(I129,Resources!$A$2:$H$1503,6,FALSE)</f>
        <v>#N/A</v>
      </c>
      <c r="W129" s="3" t="str">
        <f>VLOOKUP($H$2,Casing!$A$4:$A$60,1,FALSE)</f>
        <v>Lower</v>
      </c>
      <c r="X129" s="14" t="str">
        <f t="shared" si="3"/>
        <v>001</v>
      </c>
      <c r="Y129" s="3" t="str">
        <f>IFERROR(VLOOKUP(F129,Func!$A$4:$G$1500,2,FALSE),"none")</f>
        <v>none</v>
      </c>
      <c r="Z129" s="3" t="e">
        <f>VLOOKUP(I129,Resources!$A$2:$AA$1503,18,FALSE)</f>
        <v>#N/A</v>
      </c>
      <c r="AA129" s="3" t="str">
        <f>IFERROR(VLOOKUP(B129,Orgs!$A$4:$G$1500,2,FALSE),"none")</f>
        <v>none</v>
      </c>
      <c r="AB129" s="3" t="str">
        <f>IFERROR(VLOOKUP(C129,UnitsDepts!$A$4:$G$1500,2,FALSE),"none")</f>
        <v>none</v>
      </c>
      <c r="AC129" s="3" t="str">
        <f>IFERROR(VLOOKUP(D129,ProjAppSvc!$A$4:$G$1500,2,FALSE),"none")</f>
        <v>none</v>
      </c>
    </row>
    <row r="130" spans="1:29" x14ac:dyDescent="0.45">
      <c r="A130" s="14" t="s">
        <v>23</v>
      </c>
      <c r="B130" s="14"/>
      <c r="C130" s="14"/>
      <c r="D130" s="14"/>
      <c r="H130" s="8"/>
      <c r="I130" s="3"/>
      <c r="J130" s="3" t="str">
        <f t="shared" si="4"/>
        <v/>
      </c>
      <c r="K130" s="3" t="str">
        <f>IF(ISNUMBER(SEARCH("-",V130)),IFERROR(IF($H$2="Lower", LOWER(ComputeResourceName(Z130,#REF!,#REF!,G130,N130,O130,P130,Q130,S130,T130,V130,A130)), UPPER(ComputeResourceName(Z130,#REF!,#REF!,G130,N130,O130,P130,Q130,S130,T130,V130,A130))),""),SUBSTITUTE(IFERROR(IF($H$2="Lower", LOWER(ComputeResourceName(#REF!,#REF!,#REF!,G130,N130,O130,P130,Q130,S130,T130,V130,A130)), UPPER(ComputeResourceName(#REF!,#REF!,#REF!,G130,N130,O130,P130,Q130,S130,T130,V130,A130))),""), "-",""))</f>
        <v/>
      </c>
      <c r="L130" s="3" t="str">
        <f xml:space="preserve"> IF(K130="","",  IFERROR(VLOOKUP(I130,Resources!$B$1:$H$1503,5,FALSE)-LEN(K130),0))</f>
        <v/>
      </c>
      <c r="M130" s="3" t="str">
        <f>IF(K130="","",IFERROR(matches(K130,VLOOKUP(I130,Resources!$A$2:$AA$1503,16,FALSE)),FALSE))</f>
        <v/>
      </c>
      <c r="N130" s="3" t="e">
        <f>VLOOKUP(E130,Enviroments!$A$3:$D$59,1,FALSE)</f>
        <v>#N/A</v>
      </c>
      <c r="O130" s="3" t="e">
        <f>VLOOKUP(E130,Enviroments!$A$3:$D$59,2,FALSE)</f>
        <v>#N/A</v>
      </c>
      <c r="P130" s="3" t="e">
        <f>VLOOKUP(E130,Enviroments!$A$3:$D$59,3,FALSE)</f>
        <v>#N/A</v>
      </c>
      <c r="Q130" s="3" t="e">
        <f>VLOOKUP(E130,Enviroments!$A$3:$D$59,4,FALSE)</f>
        <v>#N/A</v>
      </c>
      <c r="R130" s="3" t="e">
        <f>VLOOKUP(H130,AzureRegions!$A$4:$B$1493,1,FALSE)</f>
        <v>#N/A</v>
      </c>
      <c r="S130" s="3" t="e">
        <f>VLOOKUP(H130,AzureRegions!$A$4:$B$1493,2,FALSE)</f>
        <v>#N/A</v>
      </c>
      <c r="T130" s="3" t="e">
        <f>VLOOKUP(H130,AzureRegions!$A$4:$C$1493,3,FALSE)</f>
        <v>#N/A</v>
      </c>
      <c r="U130" s="3" t="e">
        <f>VLOOKUP(I130,Resources!$A$2:$AA$1503,2,FALSE)</f>
        <v>#N/A</v>
      </c>
      <c r="V130" s="3" t="e">
        <f>VLOOKUP(I130,Resources!$A$2:$H$1503,6,FALSE)</f>
        <v>#N/A</v>
      </c>
      <c r="W130" s="3" t="str">
        <f>VLOOKUP($H$2,Casing!$A$4:$A$60,1,FALSE)</f>
        <v>Lower</v>
      </c>
      <c r="X130" s="14" t="str">
        <f t="shared" si="3"/>
        <v>001</v>
      </c>
      <c r="Y130" s="3" t="str">
        <f>IFERROR(VLOOKUP(F130,Func!$A$4:$G$1500,2,FALSE),"none")</f>
        <v>none</v>
      </c>
      <c r="Z130" s="3" t="e">
        <f>VLOOKUP(I130,Resources!$A$2:$AA$1503,18,FALSE)</f>
        <v>#N/A</v>
      </c>
      <c r="AA130" s="3" t="str">
        <f>IFERROR(VLOOKUP(B130,Orgs!$A$4:$G$1500,2,FALSE),"none")</f>
        <v>none</v>
      </c>
      <c r="AB130" s="3" t="str">
        <f>IFERROR(VLOOKUP(C130,UnitsDepts!$A$4:$G$1500,2,FALSE),"none")</f>
        <v>none</v>
      </c>
      <c r="AC130" s="3" t="str">
        <f>IFERROR(VLOOKUP(D130,ProjAppSvc!$A$4:$G$1500,2,FALSE),"none")</f>
        <v>none</v>
      </c>
    </row>
    <row r="131" spans="1:29" x14ac:dyDescent="0.45">
      <c r="A131" s="14" t="s">
        <v>23</v>
      </c>
      <c r="B131" s="14"/>
      <c r="C131" s="14"/>
      <c r="D131" s="14"/>
      <c r="H131" s="8"/>
      <c r="I131" s="3"/>
      <c r="J131" s="3" t="str">
        <f t="shared" si="4"/>
        <v/>
      </c>
      <c r="K131" s="3" t="str">
        <f>IF(ISNUMBER(SEARCH("-",V131)),IFERROR(IF($H$2="Lower", LOWER(ComputeResourceName(Z131,#REF!,#REF!,G131,N131,O131,P131,Q131,S131,T131,V131,A131)), UPPER(ComputeResourceName(Z131,#REF!,#REF!,G131,N131,O131,P131,Q131,S131,T131,V131,A131))),""),SUBSTITUTE(IFERROR(IF($H$2="Lower", LOWER(ComputeResourceName(#REF!,#REF!,#REF!,G131,N131,O131,P131,Q131,S131,T131,V131,A131)), UPPER(ComputeResourceName(#REF!,#REF!,#REF!,G131,N131,O131,P131,Q131,S131,T131,V131,A131))),""), "-",""))</f>
        <v/>
      </c>
      <c r="L131" s="3" t="str">
        <f xml:space="preserve"> IF(K131="","",  IFERROR(VLOOKUP(I131,Resources!$B$1:$H$1503,5,FALSE)-LEN(K131),0))</f>
        <v/>
      </c>
      <c r="M131" s="3" t="str">
        <f>IF(K131="","",IFERROR(matches(K131,VLOOKUP(I131,Resources!$A$2:$AA$1503,16,FALSE)),FALSE))</f>
        <v/>
      </c>
      <c r="N131" s="3" t="e">
        <f>VLOOKUP(E131,Enviroments!$A$3:$D$59,1,FALSE)</f>
        <v>#N/A</v>
      </c>
      <c r="O131" s="3" t="e">
        <f>VLOOKUP(E131,Enviroments!$A$3:$D$59,2,FALSE)</f>
        <v>#N/A</v>
      </c>
      <c r="P131" s="3" t="e">
        <f>VLOOKUP(E131,Enviroments!$A$3:$D$59,3,FALSE)</f>
        <v>#N/A</v>
      </c>
      <c r="Q131" s="3" t="e">
        <f>VLOOKUP(E131,Enviroments!$A$3:$D$59,4,FALSE)</f>
        <v>#N/A</v>
      </c>
      <c r="R131" s="3" t="e">
        <f>VLOOKUP(H131,AzureRegions!$A$4:$B$1493,1,FALSE)</f>
        <v>#N/A</v>
      </c>
      <c r="S131" s="3" t="e">
        <f>VLOOKUP(H131,AzureRegions!$A$4:$B$1493,2,FALSE)</f>
        <v>#N/A</v>
      </c>
      <c r="T131" s="3" t="e">
        <f>VLOOKUP(H131,AzureRegions!$A$4:$C$1493,3,FALSE)</f>
        <v>#N/A</v>
      </c>
      <c r="U131" s="3" t="e">
        <f>VLOOKUP(I131,Resources!$A$2:$AA$1503,2,FALSE)</f>
        <v>#N/A</v>
      </c>
      <c r="V131" s="3" t="e">
        <f>VLOOKUP(I131,Resources!$A$2:$H$1503,6,FALSE)</f>
        <v>#N/A</v>
      </c>
      <c r="W131" s="3" t="str">
        <f>VLOOKUP($H$2,Casing!$A$4:$A$60,1,FALSE)</f>
        <v>Lower</v>
      </c>
      <c r="X131" s="14" t="str">
        <f t="shared" si="3"/>
        <v>001</v>
      </c>
      <c r="Y131" s="3" t="str">
        <f>IFERROR(VLOOKUP(F131,Func!$A$4:$G$1500,2,FALSE),"none")</f>
        <v>none</v>
      </c>
      <c r="Z131" s="3" t="e">
        <f>VLOOKUP(I131,Resources!$A$2:$AA$1503,18,FALSE)</f>
        <v>#N/A</v>
      </c>
      <c r="AA131" s="3" t="str">
        <f>IFERROR(VLOOKUP(B131,Orgs!$A$4:$G$1500,2,FALSE),"none")</f>
        <v>none</v>
      </c>
      <c r="AB131" s="3" t="str">
        <f>IFERROR(VLOOKUP(C131,UnitsDepts!$A$4:$G$1500,2,FALSE),"none")</f>
        <v>none</v>
      </c>
      <c r="AC131" s="3" t="str">
        <f>IFERROR(VLOOKUP(D131,ProjAppSvc!$A$4:$G$1500,2,FALSE),"none")</f>
        <v>none</v>
      </c>
    </row>
    <row r="132" spans="1:29" x14ac:dyDescent="0.45">
      <c r="A132" s="14" t="s">
        <v>23</v>
      </c>
      <c r="B132" s="14"/>
      <c r="C132" s="14"/>
      <c r="D132" s="14"/>
      <c r="H132" s="8"/>
      <c r="I132" s="3"/>
      <c r="J132" s="3" t="str">
        <f t="shared" si="4"/>
        <v/>
      </c>
      <c r="K132" s="3" t="str">
        <f>IF(ISNUMBER(SEARCH("-",V132)),IFERROR(IF($H$2="Lower", LOWER(ComputeResourceName(Z132,#REF!,#REF!,G132,N132,O132,P132,Q132,S132,T132,V132,A132)), UPPER(ComputeResourceName(Z132,#REF!,#REF!,G132,N132,O132,P132,Q132,S132,T132,V132,A132))),""),SUBSTITUTE(IFERROR(IF($H$2="Lower", LOWER(ComputeResourceName(#REF!,#REF!,#REF!,G132,N132,O132,P132,Q132,S132,T132,V132,A132)), UPPER(ComputeResourceName(#REF!,#REF!,#REF!,G132,N132,O132,P132,Q132,S132,T132,V132,A132))),""), "-",""))</f>
        <v/>
      </c>
      <c r="L132" s="3" t="str">
        <f xml:space="preserve"> IF(K132="","",  IFERROR(VLOOKUP(I132,Resources!$B$1:$H$1503,5,FALSE)-LEN(K132),0))</f>
        <v/>
      </c>
      <c r="M132" s="3" t="str">
        <f>IF(K132="","",IFERROR(matches(K132,VLOOKUP(I132,Resources!$A$2:$AA$1503,16,FALSE)),FALSE))</f>
        <v/>
      </c>
      <c r="N132" s="3" t="e">
        <f>VLOOKUP(E132,Enviroments!$A$3:$D$59,1,FALSE)</f>
        <v>#N/A</v>
      </c>
      <c r="O132" s="3" t="e">
        <f>VLOOKUP(E132,Enviroments!$A$3:$D$59,2,FALSE)</f>
        <v>#N/A</v>
      </c>
      <c r="P132" s="3" t="e">
        <f>VLOOKUP(E132,Enviroments!$A$3:$D$59,3,FALSE)</f>
        <v>#N/A</v>
      </c>
      <c r="Q132" s="3" t="e">
        <f>VLOOKUP(E132,Enviroments!$A$3:$D$59,4,FALSE)</f>
        <v>#N/A</v>
      </c>
      <c r="R132" s="3" t="e">
        <f>VLOOKUP(H132,AzureRegions!$A$4:$B$1493,1,FALSE)</f>
        <v>#N/A</v>
      </c>
      <c r="S132" s="3" t="e">
        <f>VLOOKUP(H132,AzureRegions!$A$4:$B$1493,2,FALSE)</f>
        <v>#N/A</v>
      </c>
      <c r="T132" s="3" t="e">
        <f>VLOOKUP(H132,AzureRegions!$A$4:$C$1493,3,FALSE)</f>
        <v>#N/A</v>
      </c>
      <c r="U132" s="3" t="e">
        <f>VLOOKUP(I132,Resources!$A$2:$AA$1503,2,FALSE)</f>
        <v>#N/A</v>
      </c>
      <c r="V132" s="3" t="e">
        <f>VLOOKUP(I132,Resources!$A$2:$H$1503,6,FALSE)</f>
        <v>#N/A</v>
      </c>
      <c r="W132" s="3" t="str">
        <f>VLOOKUP($H$2,Casing!$A$4:$A$60,1,FALSE)</f>
        <v>Lower</v>
      </c>
      <c r="X132" s="14" t="str">
        <f t="shared" si="3"/>
        <v>001</v>
      </c>
      <c r="Y132" s="3" t="str">
        <f>IFERROR(VLOOKUP(F132,Func!$A$4:$G$1500,2,FALSE),"none")</f>
        <v>none</v>
      </c>
      <c r="Z132" s="3" t="e">
        <f>VLOOKUP(I132,Resources!$A$2:$AA$1503,18,FALSE)</f>
        <v>#N/A</v>
      </c>
      <c r="AA132" s="3" t="str">
        <f>IFERROR(VLOOKUP(B132,Orgs!$A$4:$G$1500,2,FALSE),"none")</f>
        <v>none</v>
      </c>
      <c r="AB132" s="3" t="str">
        <f>IFERROR(VLOOKUP(C132,UnitsDepts!$A$4:$G$1500,2,FALSE),"none")</f>
        <v>none</v>
      </c>
      <c r="AC132" s="3" t="str">
        <f>IFERROR(VLOOKUP(D132,ProjAppSvc!$A$4:$G$1500,2,FALSE),"none")</f>
        <v>none</v>
      </c>
    </row>
    <row r="133" spans="1:29" x14ac:dyDescent="0.45">
      <c r="A133" s="14" t="s">
        <v>23</v>
      </c>
      <c r="B133" s="14"/>
      <c r="C133" s="14"/>
      <c r="D133" s="14"/>
      <c r="H133" s="8"/>
      <c r="I133" s="3"/>
      <c r="J133" s="3" t="str">
        <f t="shared" si="4"/>
        <v/>
      </c>
      <c r="K133" s="3" t="str">
        <f>IF(ISNUMBER(SEARCH("-",V133)),IFERROR(IF($H$2="Lower", LOWER(ComputeResourceName(Z133,#REF!,#REF!,G133,N133,O133,P133,Q133,S133,T133,V133,A133)), UPPER(ComputeResourceName(Z133,#REF!,#REF!,G133,N133,O133,P133,Q133,S133,T133,V133,A133))),""),SUBSTITUTE(IFERROR(IF($H$2="Lower", LOWER(ComputeResourceName(#REF!,#REF!,#REF!,G133,N133,O133,P133,Q133,S133,T133,V133,A133)), UPPER(ComputeResourceName(#REF!,#REF!,#REF!,G133,N133,O133,P133,Q133,S133,T133,V133,A133))),""), "-",""))</f>
        <v/>
      </c>
      <c r="L133" s="3" t="str">
        <f xml:space="preserve"> IF(K133="","",  IFERROR(VLOOKUP(I133,Resources!$B$1:$H$1503,5,FALSE)-LEN(K133),0))</f>
        <v/>
      </c>
      <c r="M133" s="3" t="str">
        <f>IF(K133="","",IFERROR(matches(K133,VLOOKUP(I133,Resources!$A$2:$AA$1503,16,FALSE)),FALSE))</f>
        <v/>
      </c>
      <c r="N133" s="3" t="e">
        <f>VLOOKUP(E133,Enviroments!$A$3:$D$59,1,FALSE)</f>
        <v>#N/A</v>
      </c>
      <c r="O133" s="3" t="e">
        <f>VLOOKUP(E133,Enviroments!$A$3:$D$59,2,FALSE)</f>
        <v>#N/A</v>
      </c>
      <c r="P133" s="3" t="e">
        <f>VLOOKUP(E133,Enviroments!$A$3:$D$59,3,FALSE)</f>
        <v>#N/A</v>
      </c>
      <c r="Q133" s="3" t="e">
        <f>VLOOKUP(E133,Enviroments!$A$3:$D$59,4,FALSE)</f>
        <v>#N/A</v>
      </c>
      <c r="R133" s="3" t="e">
        <f>VLOOKUP(H133,AzureRegions!$A$4:$B$1493,1,FALSE)</f>
        <v>#N/A</v>
      </c>
      <c r="S133" s="3" t="e">
        <f>VLOOKUP(H133,AzureRegions!$A$4:$B$1493,2,FALSE)</f>
        <v>#N/A</v>
      </c>
      <c r="T133" s="3" t="e">
        <f>VLOOKUP(H133,AzureRegions!$A$4:$C$1493,3,FALSE)</f>
        <v>#N/A</v>
      </c>
      <c r="U133" s="3" t="e">
        <f>VLOOKUP(I133,Resources!$A$2:$AA$1503,2,FALSE)</f>
        <v>#N/A</v>
      </c>
      <c r="V133" s="3" t="e">
        <f>VLOOKUP(I133,Resources!$A$2:$H$1503,6,FALSE)</f>
        <v>#N/A</v>
      </c>
      <c r="W133" s="3" t="str">
        <f>VLOOKUP($H$2,Casing!$A$4:$A$60,1,FALSE)</f>
        <v>Lower</v>
      </c>
      <c r="X133" s="14" t="str">
        <f t="shared" si="3"/>
        <v>001</v>
      </c>
      <c r="Y133" s="3" t="str">
        <f>IFERROR(VLOOKUP(F133,Func!$A$4:$G$1500,2,FALSE),"none")</f>
        <v>none</v>
      </c>
      <c r="Z133" s="3" t="e">
        <f>VLOOKUP(I133,Resources!$A$2:$AA$1503,18,FALSE)</f>
        <v>#N/A</v>
      </c>
      <c r="AA133" s="3" t="str">
        <f>IFERROR(VLOOKUP(B133,Orgs!$A$4:$G$1500,2,FALSE),"none")</f>
        <v>none</v>
      </c>
      <c r="AB133" s="3" t="str">
        <f>IFERROR(VLOOKUP(C133,UnitsDepts!$A$4:$G$1500,2,FALSE),"none")</f>
        <v>none</v>
      </c>
      <c r="AC133" s="3" t="str">
        <f>IFERROR(VLOOKUP(D133,ProjAppSvc!$A$4:$G$1500,2,FALSE),"none")</f>
        <v>none</v>
      </c>
    </row>
    <row r="134" spans="1:29" x14ac:dyDescent="0.45">
      <c r="A134" s="14" t="s">
        <v>23</v>
      </c>
      <c r="B134" s="14"/>
      <c r="C134" s="14"/>
      <c r="D134" s="14"/>
      <c r="H134" s="8"/>
      <c r="I134" s="3"/>
      <c r="J134" s="3" t="str">
        <f t="shared" si="4"/>
        <v/>
      </c>
      <c r="K134" s="3" t="str">
        <f>IF(ISNUMBER(SEARCH("-",V134)),IFERROR(IF($H$2="Lower", LOWER(ComputeResourceName(Z134,#REF!,#REF!,G134,N134,O134,P134,Q134,S134,T134,V134,A134)), UPPER(ComputeResourceName(Z134,#REF!,#REF!,G134,N134,O134,P134,Q134,S134,T134,V134,A134))),""),SUBSTITUTE(IFERROR(IF($H$2="Lower", LOWER(ComputeResourceName(#REF!,#REF!,#REF!,G134,N134,O134,P134,Q134,S134,T134,V134,A134)), UPPER(ComputeResourceName(#REF!,#REF!,#REF!,G134,N134,O134,P134,Q134,S134,T134,V134,A134))),""), "-",""))</f>
        <v/>
      </c>
      <c r="L134" s="3" t="str">
        <f xml:space="preserve"> IF(K134="","",  IFERROR(VLOOKUP(I134,Resources!$B$1:$H$1503,5,FALSE)-LEN(K134),0))</f>
        <v/>
      </c>
      <c r="M134" s="3" t="str">
        <f>IF(K134="","",IFERROR(matches(K134,VLOOKUP(I134,Resources!$A$2:$AA$1503,16,FALSE)),FALSE))</f>
        <v/>
      </c>
      <c r="N134" s="3" t="e">
        <f>VLOOKUP(E134,Enviroments!$A$3:$D$59,1,FALSE)</f>
        <v>#N/A</v>
      </c>
      <c r="O134" s="3" t="e">
        <f>VLOOKUP(E134,Enviroments!$A$3:$D$59,2,FALSE)</f>
        <v>#N/A</v>
      </c>
      <c r="P134" s="3" t="e">
        <f>VLOOKUP(E134,Enviroments!$A$3:$D$59,3,FALSE)</f>
        <v>#N/A</v>
      </c>
      <c r="Q134" s="3" t="e">
        <f>VLOOKUP(E134,Enviroments!$A$3:$D$59,4,FALSE)</f>
        <v>#N/A</v>
      </c>
      <c r="R134" s="3" t="e">
        <f>VLOOKUP(H134,AzureRegions!$A$4:$B$1493,1,FALSE)</f>
        <v>#N/A</v>
      </c>
      <c r="S134" s="3" t="e">
        <f>VLOOKUP(H134,AzureRegions!$A$4:$B$1493,2,FALSE)</f>
        <v>#N/A</v>
      </c>
      <c r="T134" s="3" t="e">
        <f>VLOOKUP(H134,AzureRegions!$A$4:$C$1493,3,FALSE)</f>
        <v>#N/A</v>
      </c>
      <c r="U134" s="3" t="e">
        <f>VLOOKUP(I134,Resources!$A$2:$AA$1503,2,FALSE)</f>
        <v>#N/A</v>
      </c>
      <c r="V134" s="3" t="e">
        <f>VLOOKUP(I134,Resources!$A$2:$H$1503,6,FALSE)</f>
        <v>#N/A</v>
      </c>
      <c r="W134" s="3" t="str">
        <f>VLOOKUP($H$2,Casing!$A$4:$A$60,1,FALSE)</f>
        <v>Lower</v>
      </c>
      <c r="X134" s="14" t="str">
        <f t="shared" si="3"/>
        <v>001</v>
      </c>
      <c r="Y134" s="3" t="str">
        <f>IFERROR(VLOOKUP(F134,Func!$A$4:$G$1500,2,FALSE),"none")</f>
        <v>none</v>
      </c>
      <c r="Z134" s="3" t="e">
        <f>VLOOKUP(I134,Resources!$A$2:$AA$1503,18,FALSE)</f>
        <v>#N/A</v>
      </c>
      <c r="AA134" s="3" t="str">
        <f>IFERROR(VLOOKUP(B134,Orgs!$A$4:$G$1500,2,FALSE),"none")</f>
        <v>none</v>
      </c>
      <c r="AB134" s="3" t="str">
        <f>IFERROR(VLOOKUP(C134,UnitsDepts!$A$4:$G$1500,2,FALSE),"none")</f>
        <v>none</v>
      </c>
      <c r="AC134" s="3" t="str">
        <f>IFERROR(VLOOKUP(D134,ProjAppSvc!$A$4:$G$1500,2,FALSE),"none")</f>
        <v>none</v>
      </c>
    </row>
    <row r="135" spans="1:29" x14ac:dyDescent="0.45">
      <c r="A135" s="14" t="s">
        <v>23</v>
      </c>
      <c r="B135" s="14"/>
      <c r="C135" s="14"/>
      <c r="D135" s="14"/>
      <c r="H135" s="8"/>
      <c r="I135" s="3"/>
      <c r="J135" s="3" t="str">
        <f t="shared" si="4"/>
        <v/>
      </c>
      <c r="K135" s="3" t="str">
        <f>IF(ISNUMBER(SEARCH("-",V135)),IFERROR(IF($H$2="Lower", LOWER(ComputeResourceName(Z135,#REF!,#REF!,G135,N135,O135,P135,Q135,S135,T135,V135,A135)), UPPER(ComputeResourceName(Z135,#REF!,#REF!,G135,N135,O135,P135,Q135,S135,T135,V135,A135))),""),SUBSTITUTE(IFERROR(IF($H$2="Lower", LOWER(ComputeResourceName(#REF!,#REF!,#REF!,G135,N135,O135,P135,Q135,S135,T135,V135,A135)), UPPER(ComputeResourceName(#REF!,#REF!,#REF!,G135,N135,O135,P135,Q135,S135,T135,V135,A135))),""), "-",""))</f>
        <v/>
      </c>
      <c r="L135" s="3" t="str">
        <f xml:space="preserve"> IF(K135="","",  IFERROR(VLOOKUP(I135,Resources!$B$1:$H$1503,5,FALSE)-LEN(K135),0))</f>
        <v/>
      </c>
      <c r="M135" s="3" t="str">
        <f>IF(K135="","",IFERROR(matches(K135,VLOOKUP(I135,Resources!$A$2:$AA$1503,16,FALSE)),FALSE))</f>
        <v/>
      </c>
      <c r="N135" s="3" t="e">
        <f>VLOOKUP(E135,Enviroments!$A$3:$D$59,1,FALSE)</f>
        <v>#N/A</v>
      </c>
      <c r="O135" s="3" t="e">
        <f>VLOOKUP(E135,Enviroments!$A$3:$D$59,2,FALSE)</f>
        <v>#N/A</v>
      </c>
      <c r="P135" s="3" t="e">
        <f>VLOOKUP(E135,Enviroments!$A$3:$D$59,3,FALSE)</f>
        <v>#N/A</v>
      </c>
      <c r="Q135" s="3" t="e">
        <f>VLOOKUP(E135,Enviroments!$A$3:$D$59,4,FALSE)</f>
        <v>#N/A</v>
      </c>
      <c r="R135" s="3" t="e">
        <f>VLOOKUP(H135,AzureRegions!$A$4:$B$1493,1,FALSE)</f>
        <v>#N/A</v>
      </c>
      <c r="S135" s="3" t="e">
        <f>VLOOKUP(H135,AzureRegions!$A$4:$B$1493,2,FALSE)</f>
        <v>#N/A</v>
      </c>
      <c r="T135" s="3" t="e">
        <f>VLOOKUP(H135,AzureRegions!$A$4:$C$1493,3,FALSE)</f>
        <v>#N/A</v>
      </c>
      <c r="U135" s="3" t="e">
        <f>VLOOKUP(I135,Resources!$A$2:$AA$1503,2,FALSE)</f>
        <v>#N/A</v>
      </c>
      <c r="V135" s="3" t="e">
        <f>VLOOKUP(I135,Resources!$A$2:$H$1503,6,FALSE)</f>
        <v>#N/A</v>
      </c>
      <c r="W135" s="3" t="str">
        <f>VLOOKUP($H$2,Casing!$A$4:$A$60,1,FALSE)</f>
        <v>Lower</v>
      </c>
      <c r="X135" s="14" t="str">
        <f t="shared" ref="X135:X189" si="5">A135</f>
        <v>001</v>
      </c>
      <c r="Y135" s="3" t="str">
        <f>IFERROR(VLOOKUP(F135,Func!$A$4:$G$1500,2,FALSE),"none")</f>
        <v>none</v>
      </c>
      <c r="Z135" s="3" t="e">
        <f>VLOOKUP(I135,Resources!$A$2:$AA$1503,18,FALSE)</f>
        <v>#N/A</v>
      </c>
      <c r="AA135" s="3" t="str">
        <f>IFERROR(VLOOKUP(B135,Orgs!$A$4:$G$1500,2,FALSE),"none")</f>
        <v>none</v>
      </c>
      <c r="AB135" s="3" t="str">
        <f>IFERROR(VLOOKUP(C135,UnitsDepts!$A$4:$G$1500,2,FALSE),"none")</f>
        <v>none</v>
      </c>
      <c r="AC135" s="3" t="str">
        <f>IFERROR(VLOOKUP(D135,ProjAppSvc!$A$4:$G$1500,2,FALSE),"none")</f>
        <v>none</v>
      </c>
    </row>
    <row r="136" spans="1:29" x14ac:dyDescent="0.45">
      <c r="A136" s="14" t="s">
        <v>23</v>
      </c>
      <c r="B136" s="14"/>
      <c r="C136" s="14"/>
      <c r="D136" s="14"/>
      <c r="H136" s="8"/>
      <c r="I136" s="3"/>
      <c r="J136" s="3" t="str">
        <f t="shared" si="4"/>
        <v/>
      </c>
      <c r="K136" s="3" t="str">
        <f>IF(ISNUMBER(SEARCH("-",V136)),IFERROR(IF($H$2="Lower", LOWER(ComputeResourceName(Z136,#REF!,#REF!,G136,N136,O136,P136,Q136,S136,T136,V136,A136)), UPPER(ComputeResourceName(Z136,#REF!,#REF!,G136,N136,O136,P136,Q136,S136,T136,V136,A136))),""),SUBSTITUTE(IFERROR(IF($H$2="Lower", LOWER(ComputeResourceName(#REF!,#REF!,#REF!,G136,N136,O136,P136,Q136,S136,T136,V136,A136)), UPPER(ComputeResourceName(#REF!,#REF!,#REF!,G136,N136,O136,P136,Q136,S136,T136,V136,A136))),""), "-",""))</f>
        <v/>
      </c>
      <c r="L136" s="3" t="str">
        <f xml:space="preserve"> IF(K136="","",  IFERROR(VLOOKUP(I136,Resources!$B$1:$H$1503,5,FALSE)-LEN(K136),0))</f>
        <v/>
      </c>
      <c r="M136" s="3" t="str">
        <f>IF(K136="","",IFERROR(matches(K136,VLOOKUP(I136,Resources!$A$2:$AA$1503,16,FALSE)),FALSE))</f>
        <v/>
      </c>
      <c r="N136" s="3" t="e">
        <f>VLOOKUP(E136,Enviroments!$A$3:$D$59,1,FALSE)</f>
        <v>#N/A</v>
      </c>
      <c r="O136" s="3" t="e">
        <f>VLOOKUP(E136,Enviroments!$A$3:$D$59,2,FALSE)</f>
        <v>#N/A</v>
      </c>
      <c r="P136" s="3" t="e">
        <f>VLOOKUP(E136,Enviroments!$A$3:$D$59,3,FALSE)</f>
        <v>#N/A</v>
      </c>
      <c r="Q136" s="3" t="e">
        <f>VLOOKUP(E136,Enviroments!$A$3:$D$59,4,FALSE)</f>
        <v>#N/A</v>
      </c>
      <c r="R136" s="3" t="e">
        <f>VLOOKUP(H136,AzureRegions!$A$4:$B$1493,1,FALSE)</f>
        <v>#N/A</v>
      </c>
      <c r="S136" s="3" t="e">
        <f>VLOOKUP(H136,AzureRegions!$A$4:$B$1493,2,FALSE)</f>
        <v>#N/A</v>
      </c>
      <c r="T136" s="3" t="e">
        <f>VLOOKUP(H136,AzureRegions!$A$4:$C$1493,3,FALSE)</f>
        <v>#N/A</v>
      </c>
      <c r="U136" s="3" t="e">
        <f>VLOOKUP(I136,Resources!$A$2:$AA$1503,2,FALSE)</f>
        <v>#N/A</v>
      </c>
      <c r="V136" s="3" t="e">
        <f>VLOOKUP(I136,Resources!$A$2:$H$1503,6,FALSE)</f>
        <v>#N/A</v>
      </c>
      <c r="W136" s="3" t="str">
        <f>VLOOKUP($H$2,Casing!$A$4:$A$60,1,FALSE)</f>
        <v>Lower</v>
      </c>
      <c r="X136" s="14" t="str">
        <f t="shared" si="5"/>
        <v>001</v>
      </c>
      <c r="Y136" s="3" t="str">
        <f>IFERROR(VLOOKUP(F136,Func!$A$4:$G$1500,2,FALSE),"none")</f>
        <v>none</v>
      </c>
      <c r="Z136" s="3" t="e">
        <f>VLOOKUP(I136,Resources!$A$2:$AA$1503,18,FALSE)</f>
        <v>#N/A</v>
      </c>
      <c r="AA136" s="3" t="str">
        <f>IFERROR(VLOOKUP(B136,Orgs!$A$4:$G$1500,2,FALSE),"none")</f>
        <v>none</v>
      </c>
      <c r="AB136" s="3" t="str">
        <f>IFERROR(VLOOKUP(C136,UnitsDepts!$A$4:$G$1500,2,FALSE),"none")</f>
        <v>none</v>
      </c>
      <c r="AC136" s="3" t="str">
        <f>IFERROR(VLOOKUP(D136,ProjAppSvc!$A$4:$G$1500,2,FALSE),"none")</f>
        <v>none</v>
      </c>
    </row>
    <row r="137" spans="1:29" x14ac:dyDescent="0.45">
      <c r="A137" s="14" t="s">
        <v>23</v>
      </c>
      <c r="B137" s="14"/>
      <c r="C137" s="14"/>
      <c r="D137" s="14"/>
      <c r="H137" s="8"/>
      <c r="I137" s="3"/>
      <c r="J137" s="3" t="str">
        <f t="shared" si="4"/>
        <v/>
      </c>
      <c r="K137" s="3" t="str">
        <f>IF(ISNUMBER(SEARCH("-",V137)),IFERROR(IF($H$2="Lower", LOWER(ComputeResourceName(Z137,#REF!,#REF!,G137,N137,O137,P137,Q137,S137,T137,V137,A137)), UPPER(ComputeResourceName(Z137,#REF!,#REF!,G137,N137,O137,P137,Q137,S137,T137,V137,A137))),""),SUBSTITUTE(IFERROR(IF($H$2="Lower", LOWER(ComputeResourceName(#REF!,#REF!,#REF!,G137,N137,O137,P137,Q137,S137,T137,V137,A137)), UPPER(ComputeResourceName(#REF!,#REF!,#REF!,G137,N137,O137,P137,Q137,S137,T137,V137,A137))),""), "-",""))</f>
        <v/>
      </c>
      <c r="L137" s="3" t="str">
        <f xml:space="preserve"> IF(K137="","",  IFERROR(VLOOKUP(I137,Resources!$B$1:$H$1503,5,FALSE)-LEN(K137),0))</f>
        <v/>
      </c>
      <c r="M137" s="3" t="str">
        <f>IF(K137="","",IFERROR(matches(K137,VLOOKUP(I137,Resources!$A$2:$AA$1503,16,FALSE)),FALSE))</f>
        <v/>
      </c>
      <c r="N137" s="3" t="e">
        <f>VLOOKUP(E137,Enviroments!$A$3:$D$59,1,FALSE)</f>
        <v>#N/A</v>
      </c>
      <c r="O137" s="3" t="e">
        <f>VLOOKUP(E137,Enviroments!$A$3:$D$59,2,FALSE)</f>
        <v>#N/A</v>
      </c>
      <c r="P137" s="3" t="e">
        <f>VLOOKUP(E137,Enviroments!$A$3:$D$59,3,FALSE)</f>
        <v>#N/A</v>
      </c>
      <c r="Q137" s="3" t="e">
        <f>VLOOKUP(E137,Enviroments!$A$3:$D$59,4,FALSE)</f>
        <v>#N/A</v>
      </c>
      <c r="R137" s="3" t="e">
        <f>VLOOKUP(H137,AzureRegions!$A$4:$B$1493,1,FALSE)</f>
        <v>#N/A</v>
      </c>
      <c r="S137" s="3" t="e">
        <f>VLOOKUP(H137,AzureRegions!$A$4:$B$1493,2,FALSE)</f>
        <v>#N/A</v>
      </c>
      <c r="T137" s="3" t="e">
        <f>VLOOKUP(H137,AzureRegions!$A$4:$C$1493,3,FALSE)</f>
        <v>#N/A</v>
      </c>
      <c r="U137" s="3" t="e">
        <f>VLOOKUP(I137,Resources!$A$2:$AA$1503,2,FALSE)</f>
        <v>#N/A</v>
      </c>
      <c r="V137" s="3" t="e">
        <f>VLOOKUP(I137,Resources!$A$2:$H$1503,6,FALSE)</f>
        <v>#N/A</v>
      </c>
      <c r="W137" s="3" t="str">
        <f>VLOOKUP($H$2,Casing!$A$4:$A$60,1,FALSE)</f>
        <v>Lower</v>
      </c>
      <c r="X137" s="14" t="str">
        <f t="shared" si="5"/>
        <v>001</v>
      </c>
      <c r="Y137" s="3" t="str">
        <f>IFERROR(VLOOKUP(F137,Func!$A$4:$G$1500,2,FALSE),"none")</f>
        <v>none</v>
      </c>
      <c r="Z137" s="3" t="e">
        <f>VLOOKUP(I137,Resources!$A$2:$AA$1503,18,FALSE)</f>
        <v>#N/A</v>
      </c>
      <c r="AA137" s="3" t="str">
        <f>IFERROR(VLOOKUP(B137,Orgs!$A$4:$G$1500,2,FALSE),"none")</f>
        <v>none</v>
      </c>
      <c r="AB137" s="3" t="str">
        <f>IFERROR(VLOOKUP(C137,UnitsDepts!$A$4:$G$1500,2,FALSE),"none")</f>
        <v>none</v>
      </c>
      <c r="AC137" s="3" t="str">
        <f>IFERROR(VLOOKUP(D137,ProjAppSvc!$A$4:$G$1500,2,FALSE),"none")</f>
        <v>none</v>
      </c>
    </row>
    <row r="138" spans="1:29" x14ac:dyDescent="0.45">
      <c r="A138" s="14" t="s">
        <v>23</v>
      </c>
      <c r="B138" s="14"/>
      <c r="C138" s="14"/>
      <c r="D138" s="14"/>
      <c r="H138" s="8"/>
      <c r="I138" s="3"/>
      <c r="J138" s="3" t="str">
        <f t="shared" si="4"/>
        <v/>
      </c>
      <c r="K138" s="3" t="str">
        <f>IF(ISNUMBER(SEARCH("-",V138)),IFERROR(IF($H$2="Lower", LOWER(ComputeResourceName(Z138,#REF!,#REF!,G138,N138,O138,P138,Q138,S138,T138,V138,A138)), UPPER(ComputeResourceName(Z138,#REF!,#REF!,G138,N138,O138,P138,Q138,S138,T138,V138,A138))),""),SUBSTITUTE(IFERROR(IF($H$2="Lower", LOWER(ComputeResourceName(#REF!,#REF!,#REF!,G138,N138,O138,P138,Q138,S138,T138,V138,A138)), UPPER(ComputeResourceName(#REF!,#REF!,#REF!,G138,N138,O138,P138,Q138,S138,T138,V138,A138))),""), "-",""))</f>
        <v/>
      </c>
      <c r="L138" s="3" t="str">
        <f xml:space="preserve"> IF(K138="","",  IFERROR(VLOOKUP(I138,Resources!$B$1:$H$1503,5,FALSE)-LEN(K138),0))</f>
        <v/>
      </c>
      <c r="M138" s="3" t="str">
        <f>IF(K138="","",IFERROR(matches(K138,VLOOKUP(I138,Resources!$A$2:$AA$1503,16,FALSE)),FALSE))</f>
        <v/>
      </c>
      <c r="N138" s="3" t="e">
        <f>VLOOKUP(E138,Enviroments!$A$3:$D$59,1,FALSE)</f>
        <v>#N/A</v>
      </c>
      <c r="O138" s="3" t="e">
        <f>VLOOKUP(E138,Enviroments!$A$3:$D$59,2,FALSE)</f>
        <v>#N/A</v>
      </c>
      <c r="P138" s="3" t="e">
        <f>VLOOKUP(E138,Enviroments!$A$3:$D$59,3,FALSE)</f>
        <v>#N/A</v>
      </c>
      <c r="Q138" s="3" t="e">
        <f>VLOOKUP(E138,Enviroments!$A$3:$D$59,4,FALSE)</f>
        <v>#N/A</v>
      </c>
      <c r="R138" s="3" t="e">
        <f>VLOOKUP(H138,AzureRegions!$A$4:$B$1493,1,FALSE)</f>
        <v>#N/A</v>
      </c>
      <c r="S138" s="3" t="e">
        <f>VLOOKUP(H138,AzureRegions!$A$4:$B$1493,2,FALSE)</f>
        <v>#N/A</v>
      </c>
      <c r="T138" s="3" t="e">
        <f>VLOOKUP(H138,AzureRegions!$A$4:$C$1493,3,FALSE)</f>
        <v>#N/A</v>
      </c>
      <c r="U138" s="3" t="e">
        <f>VLOOKUP(I138,Resources!$A$2:$AA$1503,2,FALSE)</f>
        <v>#N/A</v>
      </c>
      <c r="V138" s="3" t="e">
        <f>VLOOKUP(I138,Resources!$A$2:$H$1503,6,FALSE)</f>
        <v>#N/A</v>
      </c>
      <c r="W138" s="3" t="str">
        <f>VLOOKUP($H$2,Casing!$A$4:$A$60,1,FALSE)</f>
        <v>Lower</v>
      </c>
      <c r="X138" s="14" t="str">
        <f t="shared" si="5"/>
        <v>001</v>
      </c>
      <c r="Y138" s="3" t="str">
        <f>IFERROR(VLOOKUP(F138,Func!$A$4:$G$1500,2,FALSE),"none")</f>
        <v>none</v>
      </c>
      <c r="Z138" s="3" t="e">
        <f>VLOOKUP(I138,Resources!$A$2:$AA$1503,18,FALSE)</f>
        <v>#N/A</v>
      </c>
      <c r="AA138" s="3" t="str">
        <f>IFERROR(VLOOKUP(B138,Orgs!$A$4:$G$1500,2,FALSE),"none")</f>
        <v>none</v>
      </c>
      <c r="AB138" s="3" t="str">
        <f>IFERROR(VLOOKUP(C138,UnitsDepts!$A$4:$G$1500,2,FALSE),"none")</f>
        <v>none</v>
      </c>
      <c r="AC138" s="3" t="str">
        <f>IFERROR(VLOOKUP(D138,ProjAppSvc!$A$4:$G$1500,2,FALSE),"none")</f>
        <v>none</v>
      </c>
    </row>
    <row r="139" spans="1:29" x14ac:dyDescent="0.45">
      <c r="A139" s="14" t="s">
        <v>23</v>
      </c>
      <c r="B139" s="14"/>
      <c r="C139" s="14"/>
      <c r="D139" s="14"/>
      <c r="H139" s="8"/>
      <c r="I139" s="3"/>
      <c r="J139" s="3" t="str">
        <f t="shared" si="4"/>
        <v/>
      </c>
      <c r="K139" s="3" t="str">
        <f>IF(ISNUMBER(SEARCH("-",V139)),IFERROR(IF($H$2="Lower", LOWER(ComputeResourceName(Z139,#REF!,#REF!,G139,N139,O139,P139,Q139,S139,T139,V139,A139)), UPPER(ComputeResourceName(Z139,#REF!,#REF!,G139,N139,O139,P139,Q139,S139,T139,V139,A139))),""),SUBSTITUTE(IFERROR(IF($H$2="Lower", LOWER(ComputeResourceName(#REF!,#REF!,#REF!,G139,N139,O139,P139,Q139,S139,T139,V139,A139)), UPPER(ComputeResourceName(#REF!,#REF!,#REF!,G139,N139,O139,P139,Q139,S139,T139,V139,A139))),""), "-",""))</f>
        <v/>
      </c>
      <c r="L139" s="3" t="str">
        <f xml:space="preserve"> IF(K139="","",  IFERROR(VLOOKUP(I139,Resources!$B$1:$H$1503,5,FALSE)-LEN(K139),0))</f>
        <v/>
      </c>
      <c r="M139" s="3" t="str">
        <f>IF(K139="","",IFERROR(matches(K139,VLOOKUP(I139,Resources!$A$2:$AA$1503,16,FALSE)),FALSE))</f>
        <v/>
      </c>
      <c r="N139" s="3" t="e">
        <f>VLOOKUP(E139,Enviroments!$A$3:$D$59,1,FALSE)</f>
        <v>#N/A</v>
      </c>
      <c r="O139" s="3" t="e">
        <f>VLOOKUP(E139,Enviroments!$A$3:$D$59,2,FALSE)</f>
        <v>#N/A</v>
      </c>
      <c r="P139" s="3" t="e">
        <f>VLOOKUP(E139,Enviroments!$A$3:$D$59,3,FALSE)</f>
        <v>#N/A</v>
      </c>
      <c r="Q139" s="3" t="e">
        <f>VLOOKUP(E139,Enviroments!$A$3:$D$59,4,FALSE)</f>
        <v>#N/A</v>
      </c>
      <c r="R139" s="3" t="e">
        <f>VLOOKUP(H139,AzureRegions!$A$4:$B$1493,1,FALSE)</f>
        <v>#N/A</v>
      </c>
      <c r="S139" s="3" t="e">
        <f>VLOOKUP(H139,AzureRegions!$A$4:$B$1493,2,FALSE)</f>
        <v>#N/A</v>
      </c>
      <c r="T139" s="3" t="e">
        <f>VLOOKUP(H139,AzureRegions!$A$4:$C$1493,3,FALSE)</f>
        <v>#N/A</v>
      </c>
      <c r="U139" s="3" t="e">
        <f>VLOOKUP(I139,Resources!$A$2:$AA$1503,2,FALSE)</f>
        <v>#N/A</v>
      </c>
      <c r="V139" s="3" t="e">
        <f>VLOOKUP(I139,Resources!$A$2:$H$1503,6,FALSE)</f>
        <v>#N/A</v>
      </c>
      <c r="W139" s="3" t="str">
        <f>VLOOKUP($H$2,Casing!$A$4:$A$60,1,FALSE)</f>
        <v>Lower</v>
      </c>
      <c r="X139" s="14" t="str">
        <f t="shared" si="5"/>
        <v>001</v>
      </c>
      <c r="Y139" s="3" t="str">
        <f>IFERROR(VLOOKUP(F139,Func!$A$4:$G$1500,2,FALSE),"none")</f>
        <v>none</v>
      </c>
      <c r="Z139" s="3" t="e">
        <f>VLOOKUP(I139,Resources!$A$2:$AA$1503,18,FALSE)</f>
        <v>#N/A</v>
      </c>
      <c r="AA139" s="3" t="str">
        <f>IFERROR(VLOOKUP(B139,Orgs!$A$4:$G$1500,2,FALSE),"none")</f>
        <v>none</v>
      </c>
      <c r="AB139" s="3" t="str">
        <f>IFERROR(VLOOKUP(C139,UnitsDepts!$A$4:$G$1500,2,FALSE),"none")</f>
        <v>none</v>
      </c>
      <c r="AC139" s="3" t="str">
        <f>IFERROR(VLOOKUP(D139,ProjAppSvc!$A$4:$G$1500,2,FALSE),"none")</f>
        <v>none</v>
      </c>
    </row>
    <row r="140" spans="1:29" x14ac:dyDescent="0.45">
      <c r="A140" s="14" t="s">
        <v>23</v>
      </c>
      <c r="B140" s="14"/>
      <c r="C140" s="14"/>
      <c r="D140" s="14"/>
      <c r="H140" s="8"/>
      <c r="I140" s="3"/>
      <c r="J140" s="3" t="str">
        <f t="shared" si="4"/>
        <v/>
      </c>
      <c r="K140" s="3" t="str">
        <f>IF(ISNUMBER(SEARCH("-",V140)),IFERROR(IF($H$2="Lower", LOWER(ComputeResourceName(Z140,#REF!,#REF!,G140,N140,O140,P140,Q140,S140,T140,V140,A140)), UPPER(ComputeResourceName(Z140,#REF!,#REF!,G140,N140,O140,P140,Q140,S140,T140,V140,A140))),""),SUBSTITUTE(IFERROR(IF($H$2="Lower", LOWER(ComputeResourceName(#REF!,#REF!,#REF!,G140,N140,O140,P140,Q140,S140,T140,V140,A140)), UPPER(ComputeResourceName(#REF!,#REF!,#REF!,G140,N140,O140,P140,Q140,S140,T140,V140,A140))),""), "-",""))</f>
        <v/>
      </c>
      <c r="L140" s="3" t="str">
        <f xml:space="preserve"> IF(K140="","",  IFERROR(VLOOKUP(I140,Resources!$B$1:$H$1503,5,FALSE)-LEN(K140),0))</f>
        <v/>
      </c>
      <c r="M140" s="3" t="str">
        <f>IF(K140="","",IFERROR(matches(K140,VLOOKUP(I140,Resources!$A$2:$AA$1503,16,FALSE)),FALSE))</f>
        <v/>
      </c>
      <c r="N140" s="3" t="e">
        <f>VLOOKUP(E140,Enviroments!$A$3:$D$59,1,FALSE)</f>
        <v>#N/A</v>
      </c>
      <c r="O140" s="3" t="e">
        <f>VLOOKUP(E140,Enviroments!$A$3:$D$59,2,FALSE)</f>
        <v>#N/A</v>
      </c>
      <c r="P140" s="3" t="e">
        <f>VLOOKUP(E140,Enviroments!$A$3:$D$59,3,FALSE)</f>
        <v>#N/A</v>
      </c>
      <c r="Q140" s="3" t="e">
        <f>VLOOKUP(E140,Enviroments!$A$3:$D$59,4,FALSE)</f>
        <v>#N/A</v>
      </c>
      <c r="R140" s="3" t="e">
        <f>VLOOKUP(H140,AzureRegions!$A$4:$B$1493,1,FALSE)</f>
        <v>#N/A</v>
      </c>
      <c r="S140" s="3" t="e">
        <f>VLOOKUP(H140,AzureRegions!$A$4:$B$1493,2,FALSE)</f>
        <v>#N/A</v>
      </c>
      <c r="T140" s="3" t="e">
        <f>VLOOKUP(H140,AzureRegions!$A$4:$C$1493,3,FALSE)</f>
        <v>#N/A</v>
      </c>
      <c r="U140" s="3" t="e">
        <f>VLOOKUP(I140,Resources!$A$2:$AA$1503,2,FALSE)</f>
        <v>#N/A</v>
      </c>
      <c r="V140" s="3" t="e">
        <f>VLOOKUP(I140,Resources!$A$2:$H$1503,6,FALSE)</f>
        <v>#N/A</v>
      </c>
      <c r="W140" s="3" t="str">
        <f>VLOOKUP($H$2,Casing!$A$4:$A$60,1,FALSE)</f>
        <v>Lower</v>
      </c>
      <c r="X140" s="14" t="str">
        <f t="shared" si="5"/>
        <v>001</v>
      </c>
      <c r="Y140" s="3" t="str">
        <f>IFERROR(VLOOKUP(F140,Func!$A$4:$G$1500,2,FALSE),"none")</f>
        <v>none</v>
      </c>
      <c r="Z140" s="3" t="e">
        <f>VLOOKUP(I140,Resources!$A$2:$AA$1503,18,FALSE)</f>
        <v>#N/A</v>
      </c>
      <c r="AA140" s="3" t="str">
        <f>IFERROR(VLOOKUP(B140,Orgs!$A$4:$G$1500,2,FALSE),"none")</f>
        <v>none</v>
      </c>
      <c r="AB140" s="3" t="str">
        <f>IFERROR(VLOOKUP(C140,UnitsDepts!$A$4:$G$1500,2,FALSE),"none")</f>
        <v>none</v>
      </c>
      <c r="AC140" s="3" t="str">
        <f>IFERROR(VLOOKUP(D140,ProjAppSvc!$A$4:$G$1500,2,FALSE),"none")</f>
        <v>none</v>
      </c>
    </row>
    <row r="141" spans="1:29" x14ac:dyDescent="0.45">
      <c r="A141" s="14" t="s">
        <v>23</v>
      </c>
      <c r="B141" s="14"/>
      <c r="C141" s="14"/>
      <c r="D141" s="14"/>
      <c r="H141" s="8"/>
      <c r="I141" s="3"/>
      <c r="J141" s="3" t="str">
        <f t="shared" ref="J141:J189" si="6">IFERROR(Z141, "")</f>
        <v/>
      </c>
      <c r="K141" s="3" t="str">
        <f>IF(ISNUMBER(SEARCH("-",V141)),IFERROR(IF($H$2="Lower", LOWER(ComputeResourceName(Z141,#REF!,#REF!,G141,N141,O141,P141,Q141,S141,T141,V141,A141)), UPPER(ComputeResourceName(Z141,#REF!,#REF!,G141,N141,O141,P141,Q141,S141,T141,V141,A141))),""),SUBSTITUTE(IFERROR(IF($H$2="Lower", LOWER(ComputeResourceName(#REF!,#REF!,#REF!,G141,N141,O141,P141,Q141,S141,T141,V141,A141)), UPPER(ComputeResourceName(#REF!,#REF!,#REF!,G141,N141,O141,P141,Q141,S141,T141,V141,A141))),""), "-",""))</f>
        <v/>
      </c>
      <c r="L141" s="3" t="str">
        <f xml:space="preserve"> IF(K141="","",  IFERROR(VLOOKUP(I141,Resources!$B$1:$H$1503,5,FALSE)-LEN(K141),0))</f>
        <v/>
      </c>
      <c r="M141" s="3" t="str">
        <f>IF(K141="","",IFERROR(matches(K141,VLOOKUP(I141,Resources!$A$2:$AA$1503,16,FALSE)),FALSE))</f>
        <v/>
      </c>
      <c r="N141" s="3" t="e">
        <f>VLOOKUP(E141,Enviroments!$A$3:$D$59,1,FALSE)</f>
        <v>#N/A</v>
      </c>
      <c r="O141" s="3" t="e">
        <f>VLOOKUP(E141,Enviroments!$A$3:$D$59,2,FALSE)</f>
        <v>#N/A</v>
      </c>
      <c r="P141" s="3" t="e">
        <f>VLOOKUP(E141,Enviroments!$A$3:$D$59,3,FALSE)</f>
        <v>#N/A</v>
      </c>
      <c r="Q141" s="3" t="e">
        <f>VLOOKUP(E141,Enviroments!$A$3:$D$59,4,FALSE)</f>
        <v>#N/A</v>
      </c>
      <c r="R141" s="3" t="e">
        <f>VLOOKUP(H141,AzureRegions!$A$4:$B$1493,1,FALSE)</f>
        <v>#N/A</v>
      </c>
      <c r="S141" s="3" t="e">
        <f>VLOOKUP(H141,AzureRegions!$A$4:$B$1493,2,FALSE)</f>
        <v>#N/A</v>
      </c>
      <c r="T141" s="3" t="e">
        <f>VLOOKUP(H141,AzureRegions!$A$4:$C$1493,3,FALSE)</f>
        <v>#N/A</v>
      </c>
      <c r="U141" s="3" t="e">
        <f>VLOOKUP(I141,Resources!$A$2:$AA$1503,2,FALSE)</f>
        <v>#N/A</v>
      </c>
      <c r="V141" s="3" t="e">
        <f>VLOOKUP(I141,Resources!$A$2:$H$1503,6,FALSE)</f>
        <v>#N/A</v>
      </c>
      <c r="W141" s="3" t="str">
        <f>VLOOKUP($H$2,Casing!$A$4:$A$60,1,FALSE)</f>
        <v>Lower</v>
      </c>
      <c r="X141" s="14" t="str">
        <f t="shared" si="5"/>
        <v>001</v>
      </c>
      <c r="Y141" s="3" t="str">
        <f>IFERROR(VLOOKUP(F141,Func!$A$4:$G$1500,2,FALSE),"none")</f>
        <v>none</v>
      </c>
      <c r="Z141" s="3" t="e">
        <f>VLOOKUP(I141,Resources!$A$2:$AA$1503,18,FALSE)</f>
        <v>#N/A</v>
      </c>
      <c r="AA141" s="3" t="str">
        <f>IFERROR(VLOOKUP(B141,Orgs!$A$4:$G$1500,2,FALSE),"none")</f>
        <v>none</v>
      </c>
      <c r="AB141" s="3" t="str">
        <f>IFERROR(VLOOKUP(C141,UnitsDepts!$A$4:$G$1500,2,FALSE),"none")</f>
        <v>none</v>
      </c>
      <c r="AC141" s="3" t="str">
        <f>IFERROR(VLOOKUP(D141,ProjAppSvc!$A$4:$G$1500,2,FALSE),"none")</f>
        <v>none</v>
      </c>
    </row>
    <row r="142" spans="1:29" x14ac:dyDescent="0.45">
      <c r="A142" s="14" t="s">
        <v>23</v>
      </c>
      <c r="B142" s="14"/>
      <c r="C142" s="14"/>
      <c r="D142" s="14"/>
      <c r="H142" s="8"/>
      <c r="I142" s="3"/>
      <c r="J142" s="3" t="str">
        <f t="shared" si="6"/>
        <v/>
      </c>
      <c r="K142" s="3" t="str">
        <f>IF(ISNUMBER(SEARCH("-",V142)),IFERROR(IF($H$2="Lower", LOWER(ComputeResourceName(Z142,#REF!,#REF!,G142,N142,O142,P142,Q142,S142,T142,V142,A142)), UPPER(ComputeResourceName(Z142,#REF!,#REF!,G142,N142,O142,P142,Q142,S142,T142,V142,A142))),""),SUBSTITUTE(IFERROR(IF($H$2="Lower", LOWER(ComputeResourceName(#REF!,#REF!,#REF!,G142,N142,O142,P142,Q142,S142,T142,V142,A142)), UPPER(ComputeResourceName(#REF!,#REF!,#REF!,G142,N142,O142,P142,Q142,S142,T142,V142,A142))),""), "-",""))</f>
        <v/>
      </c>
      <c r="L142" s="3" t="str">
        <f xml:space="preserve"> IF(K142="","",  IFERROR(VLOOKUP(I142,Resources!$B$1:$H$1503,5,FALSE)-LEN(K142),0))</f>
        <v/>
      </c>
      <c r="M142" s="3" t="str">
        <f>IF(K142="","",IFERROR(matches(K142,VLOOKUP(I142,Resources!$A$2:$AA$1503,16,FALSE)),FALSE))</f>
        <v/>
      </c>
      <c r="N142" s="3" t="e">
        <f>VLOOKUP(E142,Enviroments!$A$3:$D$59,1,FALSE)</f>
        <v>#N/A</v>
      </c>
      <c r="O142" s="3" t="e">
        <f>VLOOKUP(E142,Enviroments!$A$3:$D$59,2,FALSE)</f>
        <v>#N/A</v>
      </c>
      <c r="P142" s="3" t="e">
        <f>VLOOKUP(E142,Enviroments!$A$3:$D$59,3,FALSE)</f>
        <v>#N/A</v>
      </c>
      <c r="Q142" s="3" t="e">
        <f>VLOOKUP(E142,Enviroments!$A$3:$D$59,4,FALSE)</f>
        <v>#N/A</v>
      </c>
      <c r="R142" s="3" t="e">
        <f>VLOOKUP(H142,AzureRegions!$A$4:$B$1493,1,FALSE)</f>
        <v>#N/A</v>
      </c>
      <c r="S142" s="3" t="e">
        <f>VLOOKUP(H142,AzureRegions!$A$4:$B$1493,2,FALSE)</f>
        <v>#N/A</v>
      </c>
      <c r="T142" s="3" t="e">
        <f>VLOOKUP(H142,AzureRegions!$A$4:$C$1493,3,FALSE)</f>
        <v>#N/A</v>
      </c>
      <c r="U142" s="3" t="e">
        <f>VLOOKUP(I142,Resources!$A$2:$AA$1503,2,FALSE)</f>
        <v>#N/A</v>
      </c>
      <c r="V142" s="3" t="e">
        <f>VLOOKUP(I142,Resources!$A$2:$H$1503,6,FALSE)</f>
        <v>#N/A</v>
      </c>
      <c r="W142" s="3" t="str">
        <f>VLOOKUP($H$2,Casing!$A$4:$A$60,1,FALSE)</f>
        <v>Lower</v>
      </c>
      <c r="X142" s="14" t="str">
        <f t="shared" si="5"/>
        <v>001</v>
      </c>
      <c r="Y142" s="3" t="str">
        <f>IFERROR(VLOOKUP(F142,Func!$A$4:$G$1500,2,FALSE),"none")</f>
        <v>none</v>
      </c>
      <c r="Z142" s="3" t="e">
        <f>VLOOKUP(I142,Resources!$A$2:$AA$1503,18,FALSE)</f>
        <v>#N/A</v>
      </c>
      <c r="AA142" s="3" t="str">
        <f>IFERROR(VLOOKUP(B142,Orgs!$A$4:$G$1500,2,FALSE),"none")</f>
        <v>none</v>
      </c>
      <c r="AB142" s="3" t="str">
        <f>IFERROR(VLOOKUP(C142,UnitsDepts!$A$4:$G$1500,2,FALSE),"none")</f>
        <v>none</v>
      </c>
      <c r="AC142" s="3" t="str">
        <f>IFERROR(VLOOKUP(D142,ProjAppSvc!$A$4:$G$1500,2,FALSE),"none")</f>
        <v>none</v>
      </c>
    </row>
    <row r="143" spans="1:29" x14ac:dyDescent="0.45">
      <c r="A143" s="14" t="s">
        <v>23</v>
      </c>
      <c r="B143" s="14"/>
      <c r="C143" s="14"/>
      <c r="D143" s="14"/>
      <c r="H143" s="8"/>
      <c r="I143" s="3"/>
      <c r="J143" s="3" t="str">
        <f t="shared" si="6"/>
        <v/>
      </c>
      <c r="K143" s="3" t="str">
        <f>IF(ISNUMBER(SEARCH("-",V143)),IFERROR(IF($H$2="Lower", LOWER(ComputeResourceName(Z143,#REF!,#REF!,G143,N143,O143,P143,Q143,S143,T143,V143,A143)), UPPER(ComputeResourceName(Z143,#REF!,#REF!,G143,N143,O143,P143,Q143,S143,T143,V143,A143))),""),SUBSTITUTE(IFERROR(IF($H$2="Lower", LOWER(ComputeResourceName(#REF!,#REF!,#REF!,G143,N143,O143,P143,Q143,S143,T143,V143,A143)), UPPER(ComputeResourceName(#REF!,#REF!,#REF!,G143,N143,O143,P143,Q143,S143,T143,V143,A143))),""), "-",""))</f>
        <v/>
      </c>
      <c r="L143" s="3" t="str">
        <f xml:space="preserve"> IF(K143="","",  IFERROR(VLOOKUP(I143,Resources!$B$1:$H$1503,5,FALSE)-LEN(K143),0))</f>
        <v/>
      </c>
      <c r="M143" s="3" t="str">
        <f>IF(K143="","",IFERROR(matches(K143,VLOOKUP(I143,Resources!$A$2:$AA$1503,16,FALSE)),FALSE))</f>
        <v/>
      </c>
      <c r="N143" s="3" t="e">
        <f>VLOOKUP(E143,Enviroments!$A$3:$D$59,1,FALSE)</f>
        <v>#N/A</v>
      </c>
      <c r="O143" s="3" t="e">
        <f>VLOOKUP(E143,Enviroments!$A$3:$D$59,2,FALSE)</f>
        <v>#N/A</v>
      </c>
      <c r="P143" s="3" t="e">
        <f>VLOOKUP(E143,Enviroments!$A$3:$D$59,3,FALSE)</f>
        <v>#N/A</v>
      </c>
      <c r="Q143" s="3" t="e">
        <f>VLOOKUP(E143,Enviroments!$A$3:$D$59,4,FALSE)</f>
        <v>#N/A</v>
      </c>
      <c r="R143" s="3" t="e">
        <f>VLOOKUP(H143,AzureRegions!$A$4:$B$1493,1,FALSE)</f>
        <v>#N/A</v>
      </c>
      <c r="S143" s="3" t="e">
        <f>VLOOKUP(H143,AzureRegions!$A$4:$B$1493,2,FALSE)</f>
        <v>#N/A</v>
      </c>
      <c r="T143" s="3" t="e">
        <f>VLOOKUP(H143,AzureRegions!$A$4:$C$1493,3,FALSE)</f>
        <v>#N/A</v>
      </c>
      <c r="U143" s="3" t="e">
        <f>VLOOKUP(I143,Resources!$A$2:$AA$1503,2,FALSE)</f>
        <v>#N/A</v>
      </c>
      <c r="V143" s="3" t="e">
        <f>VLOOKUP(I143,Resources!$A$2:$H$1503,6,FALSE)</f>
        <v>#N/A</v>
      </c>
      <c r="W143" s="3" t="str">
        <f>VLOOKUP($H$2,Casing!$A$4:$A$60,1,FALSE)</f>
        <v>Lower</v>
      </c>
      <c r="X143" s="14" t="str">
        <f t="shared" si="5"/>
        <v>001</v>
      </c>
      <c r="Y143" s="3" t="str">
        <f>IFERROR(VLOOKUP(F143,Func!$A$4:$G$1500,2,FALSE),"none")</f>
        <v>none</v>
      </c>
      <c r="Z143" s="3" t="e">
        <f>VLOOKUP(I143,Resources!$A$2:$AA$1503,18,FALSE)</f>
        <v>#N/A</v>
      </c>
      <c r="AA143" s="3" t="str">
        <f>IFERROR(VLOOKUP(B143,Orgs!$A$4:$G$1500,2,FALSE),"none")</f>
        <v>none</v>
      </c>
      <c r="AB143" s="3" t="str">
        <f>IFERROR(VLOOKUP(C143,UnitsDepts!$A$4:$G$1500,2,FALSE),"none")</f>
        <v>none</v>
      </c>
      <c r="AC143" s="3" t="str">
        <f>IFERROR(VLOOKUP(D143,ProjAppSvc!$A$4:$G$1500,2,FALSE),"none")</f>
        <v>none</v>
      </c>
    </row>
    <row r="144" spans="1:29" x14ac:dyDescent="0.45">
      <c r="A144" s="14" t="s">
        <v>23</v>
      </c>
      <c r="B144" s="14"/>
      <c r="C144" s="14"/>
      <c r="D144" s="14"/>
      <c r="H144" s="8"/>
      <c r="I144" s="3"/>
      <c r="J144" s="3" t="str">
        <f t="shared" si="6"/>
        <v/>
      </c>
      <c r="K144" s="3" t="str">
        <f>IF(ISNUMBER(SEARCH("-",V144)),IFERROR(IF($H$2="Lower", LOWER(ComputeResourceName(Z144,#REF!,#REF!,G144,N144,O144,P144,Q144,S144,T144,V144,A144)), UPPER(ComputeResourceName(Z144,#REF!,#REF!,G144,N144,O144,P144,Q144,S144,T144,V144,A144))),""),SUBSTITUTE(IFERROR(IF($H$2="Lower", LOWER(ComputeResourceName(#REF!,#REF!,#REF!,G144,N144,O144,P144,Q144,S144,T144,V144,A144)), UPPER(ComputeResourceName(#REF!,#REF!,#REF!,G144,N144,O144,P144,Q144,S144,T144,V144,A144))),""), "-",""))</f>
        <v/>
      </c>
      <c r="L144" s="3" t="str">
        <f xml:space="preserve"> IF(K144="","",  IFERROR(VLOOKUP(I144,Resources!$B$1:$H$1503,5,FALSE)-LEN(K144),0))</f>
        <v/>
      </c>
      <c r="M144" s="3" t="str">
        <f>IF(K144="","",IFERROR(matches(K144,VLOOKUP(I144,Resources!$A$2:$AA$1503,16,FALSE)),FALSE))</f>
        <v/>
      </c>
      <c r="N144" s="3" t="e">
        <f>VLOOKUP(E144,Enviroments!$A$3:$D$59,1,FALSE)</f>
        <v>#N/A</v>
      </c>
      <c r="O144" s="3" t="e">
        <f>VLOOKUP(E144,Enviroments!$A$3:$D$59,2,FALSE)</f>
        <v>#N/A</v>
      </c>
      <c r="P144" s="3" t="e">
        <f>VLOOKUP(E144,Enviroments!$A$3:$D$59,3,FALSE)</f>
        <v>#N/A</v>
      </c>
      <c r="Q144" s="3" t="e">
        <f>VLOOKUP(E144,Enviroments!$A$3:$D$59,4,FALSE)</f>
        <v>#N/A</v>
      </c>
      <c r="R144" s="3" t="e">
        <f>VLOOKUP(H144,AzureRegions!$A$4:$B$1493,1,FALSE)</f>
        <v>#N/A</v>
      </c>
      <c r="S144" s="3" t="e">
        <f>VLOOKUP(H144,AzureRegions!$A$4:$B$1493,2,FALSE)</f>
        <v>#N/A</v>
      </c>
      <c r="T144" s="3" t="e">
        <f>VLOOKUP(H144,AzureRegions!$A$4:$C$1493,3,FALSE)</f>
        <v>#N/A</v>
      </c>
      <c r="U144" s="3" t="e">
        <f>VLOOKUP(I144,Resources!$A$2:$AA$1503,2,FALSE)</f>
        <v>#N/A</v>
      </c>
      <c r="V144" s="3" t="e">
        <f>VLOOKUP(I144,Resources!$A$2:$H$1503,6,FALSE)</f>
        <v>#N/A</v>
      </c>
      <c r="W144" s="3" t="str">
        <f>VLOOKUP($H$2,Casing!$A$4:$A$60,1,FALSE)</f>
        <v>Lower</v>
      </c>
      <c r="X144" s="14" t="str">
        <f t="shared" si="5"/>
        <v>001</v>
      </c>
      <c r="Y144" s="3" t="str">
        <f>IFERROR(VLOOKUP(F144,Func!$A$4:$G$1500,2,FALSE),"none")</f>
        <v>none</v>
      </c>
      <c r="Z144" s="3" t="e">
        <f>VLOOKUP(I144,Resources!$A$2:$AA$1503,18,FALSE)</f>
        <v>#N/A</v>
      </c>
      <c r="AA144" s="3" t="str">
        <f>IFERROR(VLOOKUP(B144,Orgs!$A$4:$G$1500,2,FALSE),"none")</f>
        <v>none</v>
      </c>
      <c r="AB144" s="3" t="str">
        <f>IFERROR(VLOOKUP(C144,UnitsDepts!$A$4:$G$1500,2,FALSE),"none")</f>
        <v>none</v>
      </c>
      <c r="AC144" s="3" t="str">
        <f>IFERROR(VLOOKUP(D144,ProjAppSvc!$A$4:$G$1500,2,FALSE),"none")</f>
        <v>none</v>
      </c>
    </row>
    <row r="145" spans="1:29" x14ac:dyDescent="0.45">
      <c r="A145" s="14" t="s">
        <v>23</v>
      </c>
      <c r="B145" s="14"/>
      <c r="C145" s="14"/>
      <c r="D145" s="14"/>
      <c r="H145" s="8"/>
      <c r="I145" s="3"/>
      <c r="J145" s="3" t="str">
        <f t="shared" si="6"/>
        <v/>
      </c>
      <c r="K145" s="3" t="str">
        <f>IF(ISNUMBER(SEARCH("-",V145)),IFERROR(IF($H$2="Lower", LOWER(ComputeResourceName(Z145,#REF!,#REF!,G145,N145,O145,P145,Q145,S145,T145,V145,A145)), UPPER(ComputeResourceName(Z145,#REF!,#REF!,G145,N145,O145,P145,Q145,S145,T145,V145,A145))),""),SUBSTITUTE(IFERROR(IF($H$2="Lower", LOWER(ComputeResourceName(#REF!,#REF!,#REF!,G145,N145,O145,P145,Q145,S145,T145,V145,A145)), UPPER(ComputeResourceName(#REF!,#REF!,#REF!,G145,N145,O145,P145,Q145,S145,T145,V145,A145))),""), "-",""))</f>
        <v/>
      </c>
      <c r="L145" s="3" t="str">
        <f xml:space="preserve"> IF(K145="","",  IFERROR(VLOOKUP(I145,Resources!$B$1:$H$1503,5,FALSE)-LEN(K145),0))</f>
        <v/>
      </c>
      <c r="M145" s="3" t="str">
        <f>IF(K145="","",IFERROR(matches(K145,VLOOKUP(I145,Resources!$A$2:$AA$1503,16,FALSE)),FALSE))</f>
        <v/>
      </c>
      <c r="N145" s="3" t="e">
        <f>VLOOKUP(E145,Enviroments!$A$3:$D$59,1,FALSE)</f>
        <v>#N/A</v>
      </c>
      <c r="O145" s="3" t="e">
        <f>VLOOKUP(E145,Enviroments!$A$3:$D$59,2,FALSE)</f>
        <v>#N/A</v>
      </c>
      <c r="P145" s="3" t="e">
        <f>VLOOKUP(E145,Enviroments!$A$3:$D$59,3,FALSE)</f>
        <v>#N/A</v>
      </c>
      <c r="Q145" s="3" t="e">
        <f>VLOOKUP(E145,Enviroments!$A$3:$D$59,4,FALSE)</f>
        <v>#N/A</v>
      </c>
      <c r="R145" s="3" t="e">
        <f>VLOOKUP(H145,AzureRegions!$A$4:$B$1493,1,FALSE)</f>
        <v>#N/A</v>
      </c>
      <c r="S145" s="3" t="e">
        <f>VLOOKUP(H145,AzureRegions!$A$4:$B$1493,2,FALSE)</f>
        <v>#N/A</v>
      </c>
      <c r="T145" s="3" t="e">
        <f>VLOOKUP(H145,AzureRegions!$A$4:$C$1493,3,FALSE)</f>
        <v>#N/A</v>
      </c>
      <c r="U145" s="3" t="e">
        <f>VLOOKUP(I145,Resources!$A$2:$AA$1503,2,FALSE)</f>
        <v>#N/A</v>
      </c>
      <c r="V145" s="3" t="e">
        <f>VLOOKUP(I145,Resources!$A$2:$H$1503,6,FALSE)</f>
        <v>#N/A</v>
      </c>
      <c r="W145" s="3" t="str">
        <f>VLOOKUP($H$2,Casing!$A$4:$A$60,1,FALSE)</f>
        <v>Lower</v>
      </c>
      <c r="X145" s="14" t="str">
        <f t="shared" si="5"/>
        <v>001</v>
      </c>
      <c r="Y145" s="3" t="str">
        <f>IFERROR(VLOOKUP(F145,Func!$A$4:$G$1500,2,FALSE),"none")</f>
        <v>none</v>
      </c>
      <c r="Z145" s="3" t="e">
        <f>VLOOKUP(I145,Resources!$A$2:$AA$1503,18,FALSE)</f>
        <v>#N/A</v>
      </c>
      <c r="AA145" s="3" t="str">
        <f>IFERROR(VLOOKUP(B145,Orgs!$A$4:$G$1500,2,FALSE),"none")</f>
        <v>none</v>
      </c>
      <c r="AB145" s="3" t="str">
        <f>IFERROR(VLOOKUP(C145,UnitsDepts!$A$4:$G$1500,2,FALSE),"none")</f>
        <v>none</v>
      </c>
      <c r="AC145" s="3" t="str">
        <f>IFERROR(VLOOKUP(D145,ProjAppSvc!$A$4:$G$1500,2,FALSE),"none")</f>
        <v>none</v>
      </c>
    </row>
    <row r="146" spans="1:29" x14ac:dyDescent="0.45">
      <c r="A146" s="14" t="s">
        <v>23</v>
      </c>
      <c r="B146" s="14"/>
      <c r="C146" s="14"/>
      <c r="D146" s="14"/>
      <c r="H146" s="8"/>
      <c r="I146" s="3"/>
      <c r="J146" s="3" t="str">
        <f t="shared" si="6"/>
        <v/>
      </c>
      <c r="K146" s="3" t="str">
        <f>IF(ISNUMBER(SEARCH("-",V146)),IFERROR(IF($H$2="Lower", LOWER(ComputeResourceName(Z146,#REF!,#REF!,G146,N146,O146,P146,Q146,S146,T146,V146,A146)), UPPER(ComputeResourceName(Z146,#REF!,#REF!,G146,N146,O146,P146,Q146,S146,T146,V146,A146))),""),SUBSTITUTE(IFERROR(IF($H$2="Lower", LOWER(ComputeResourceName(#REF!,#REF!,#REF!,G146,N146,O146,P146,Q146,S146,T146,V146,A146)), UPPER(ComputeResourceName(#REF!,#REF!,#REF!,G146,N146,O146,P146,Q146,S146,T146,V146,A146))),""), "-",""))</f>
        <v/>
      </c>
      <c r="L146" s="3" t="str">
        <f xml:space="preserve"> IF(K146="","",  IFERROR(VLOOKUP(I146,Resources!$B$1:$H$1503,5,FALSE)-LEN(K146),0))</f>
        <v/>
      </c>
      <c r="M146" s="3" t="str">
        <f>IF(K146="","",IFERROR(matches(K146,VLOOKUP(I146,Resources!$A$2:$AA$1503,16,FALSE)),FALSE))</f>
        <v/>
      </c>
      <c r="N146" s="3" t="e">
        <f>VLOOKUP(E146,Enviroments!$A$3:$D$59,1,FALSE)</f>
        <v>#N/A</v>
      </c>
      <c r="O146" s="3" t="e">
        <f>VLOOKUP(E146,Enviroments!$A$3:$D$59,2,FALSE)</f>
        <v>#N/A</v>
      </c>
      <c r="P146" s="3" t="e">
        <f>VLOOKUP(E146,Enviroments!$A$3:$D$59,3,FALSE)</f>
        <v>#N/A</v>
      </c>
      <c r="Q146" s="3" t="e">
        <f>VLOOKUP(E146,Enviroments!$A$3:$D$59,4,FALSE)</f>
        <v>#N/A</v>
      </c>
      <c r="R146" s="3" t="e">
        <f>VLOOKUP(H146,AzureRegions!$A$4:$B$1493,1,FALSE)</f>
        <v>#N/A</v>
      </c>
      <c r="S146" s="3" t="e">
        <f>VLOOKUP(H146,AzureRegions!$A$4:$B$1493,2,FALSE)</f>
        <v>#N/A</v>
      </c>
      <c r="T146" s="3" t="e">
        <f>VLOOKUP(H146,AzureRegions!$A$4:$C$1493,3,FALSE)</f>
        <v>#N/A</v>
      </c>
      <c r="U146" s="3" t="e">
        <f>VLOOKUP(I146,Resources!$A$2:$AA$1503,2,FALSE)</f>
        <v>#N/A</v>
      </c>
      <c r="V146" s="3" t="e">
        <f>VLOOKUP(I146,Resources!$A$2:$H$1503,6,FALSE)</f>
        <v>#N/A</v>
      </c>
      <c r="W146" s="3" t="str">
        <f>VLOOKUP($H$2,Casing!$A$4:$A$60,1,FALSE)</f>
        <v>Lower</v>
      </c>
      <c r="X146" s="14" t="str">
        <f t="shared" si="5"/>
        <v>001</v>
      </c>
      <c r="Y146" s="3" t="str">
        <f>IFERROR(VLOOKUP(F146,Func!$A$4:$G$1500,2,FALSE),"none")</f>
        <v>none</v>
      </c>
      <c r="Z146" s="3" t="e">
        <f>VLOOKUP(I146,Resources!$A$2:$AA$1503,18,FALSE)</f>
        <v>#N/A</v>
      </c>
      <c r="AA146" s="3" t="str">
        <f>IFERROR(VLOOKUP(B146,Orgs!$A$4:$G$1500,2,FALSE),"none")</f>
        <v>none</v>
      </c>
      <c r="AB146" s="3" t="str">
        <f>IFERROR(VLOOKUP(C146,UnitsDepts!$A$4:$G$1500,2,FALSE),"none")</f>
        <v>none</v>
      </c>
      <c r="AC146" s="3" t="str">
        <f>IFERROR(VLOOKUP(D146,ProjAppSvc!$A$4:$G$1500,2,FALSE),"none")</f>
        <v>none</v>
      </c>
    </row>
    <row r="147" spans="1:29" x14ac:dyDescent="0.45">
      <c r="A147" s="14" t="s">
        <v>23</v>
      </c>
      <c r="B147" s="14"/>
      <c r="C147" s="14"/>
      <c r="D147" s="14"/>
      <c r="H147" s="8"/>
      <c r="I147" s="3"/>
      <c r="J147" s="3" t="str">
        <f t="shared" si="6"/>
        <v/>
      </c>
      <c r="K147" s="3" t="str">
        <f>IF(ISNUMBER(SEARCH("-",V147)),IFERROR(IF($H$2="Lower", LOWER(ComputeResourceName(Z147,#REF!,#REF!,G147,N147,O147,P147,Q147,S147,T147,V147,A147)), UPPER(ComputeResourceName(Z147,#REF!,#REF!,G147,N147,O147,P147,Q147,S147,T147,V147,A147))),""),SUBSTITUTE(IFERROR(IF($H$2="Lower", LOWER(ComputeResourceName(#REF!,#REF!,#REF!,G147,N147,O147,P147,Q147,S147,T147,V147,A147)), UPPER(ComputeResourceName(#REF!,#REF!,#REF!,G147,N147,O147,P147,Q147,S147,T147,V147,A147))),""), "-",""))</f>
        <v/>
      </c>
      <c r="L147" s="3" t="str">
        <f xml:space="preserve"> IF(K147="","",  IFERROR(VLOOKUP(I147,Resources!$B$1:$H$1503,5,FALSE)-LEN(K147),0))</f>
        <v/>
      </c>
      <c r="M147" s="3" t="str">
        <f>IF(K147="","",IFERROR(matches(K147,VLOOKUP(I147,Resources!$A$2:$AA$1503,16,FALSE)),FALSE))</f>
        <v/>
      </c>
      <c r="N147" s="3" t="e">
        <f>VLOOKUP(E147,Enviroments!$A$3:$D$59,1,FALSE)</f>
        <v>#N/A</v>
      </c>
      <c r="O147" s="3" t="e">
        <f>VLOOKUP(E147,Enviroments!$A$3:$D$59,2,FALSE)</f>
        <v>#N/A</v>
      </c>
      <c r="P147" s="3" t="e">
        <f>VLOOKUP(E147,Enviroments!$A$3:$D$59,3,FALSE)</f>
        <v>#N/A</v>
      </c>
      <c r="Q147" s="3" t="e">
        <f>VLOOKUP(E147,Enviroments!$A$3:$D$59,4,FALSE)</f>
        <v>#N/A</v>
      </c>
      <c r="R147" s="3" t="e">
        <f>VLOOKUP(H147,AzureRegions!$A$4:$B$1493,1,FALSE)</f>
        <v>#N/A</v>
      </c>
      <c r="S147" s="3" t="e">
        <f>VLOOKUP(H147,AzureRegions!$A$4:$B$1493,2,FALSE)</f>
        <v>#N/A</v>
      </c>
      <c r="T147" s="3" t="e">
        <f>VLOOKUP(H147,AzureRegions!$A$4:$C$1493,3,FALSE)</f>
        <v>#N/A</v>
      </c>
      <c r="U147" s="3" t="e">
        <f>VLOOKUP(I147,Resources!$A$2:$AA$1503,2,FALSE)</f>
        <v>#N/A</v>
      </c>
      <c r="V147" s="3" t="e">
        <f>VLOOKUP(I147,Resources!$A$2:$H$1503,6,FALSE)</f>
        <v>#N/A</v>
      </c>
      <c r="W147" s="3" t="str">
        <f>VLOOKUP($H$2,Casing!$A$4:$A$60,1,FALSE)</f>
        <v>Lower</v>
      </c>
      <c r="X147" s="14" t="str">
        <f t="shared" si="5"/>
        <v>001</v>
      </c>
      <c r="Y147" s="3" t="str">
        <f>IFERROR(VLOOKUP(F147,Func!$A$4:$G$1500,2,FALSE),"none")</f>
        <v>none</v>
      </c>
      <c r="Z147" s="3" t="e">
        <f>VLOOKUP(I147,Resources!$A$2:$AA$1503,18,FALSE)</f>
        <v>#N/A</v>
      </c>
      <c r="AA147" s="3" t="str">
        <f>IFERROR(VLOOKUP(B147,Orgs!$A$4:$G$1500,2,FALSE),"none")</f>
        <v>none</v>
      </c>
      <c r="AB147" s="3" t="str">
        <f>IFERROR(VLOOKUP(C147,UnitsDepts!$A$4:$G$1500,2,FALSE),"none")</f>
        <v>none</v>
      </c>
      <c r="AC147" s="3" t="str">
        <f>IFERROR(VLOOKUP(D147,ProjAppSvc!$A$4:$G$1500,2,FALSE),"none")</f>
        <v>none</v>
      </c>
    </row>
    <row r="148" spans="1:29" x14ac:dyDescent="0.45">
      <c r="A148" s="14" t="s">
        <v>23</v>
      </c>
      <c r="B148" s="14"/>
      <c r="C148" s="14"/>
      <c r="D148" s="14"/>
      <c r="H148" s="8"/>
      <c r="I148" s="3"/>
      <c r="J148" s="3" t="str">
        <f t="shared" si="6"/>
        <v/>
      </c>
      <c r="K148" s="3" t="str">
        <f>IF(ISNUMBER(SEARCH("-",V148)),IFERROR(IF($H$2="Lower", LOWER(ComputeResourceName(Z148,#REF!,#REF!,G148,N148,O148,P148,Q148,S148,T148,V148,A148)), UPPER(ComputeResourceName(Z148,#REF!,#REF!,G148,N148,O148,P148,Q148,S148,T148,V148,A148))),""),SUBSTITUTE(IFERROR(IF($H$2="Lower", LOWER(ComputeResourceName(#REF!,#REF!,#REF!,G148,N148,O148,P148,Q148,S148,T148,V148,A148)), UPPER(ComputeResourceName(#REF!,#REF!,#REF!,G148,N148,O148,P148,Q148,S148,T148,V148,A148))),""), "-",""))</f>
        <v/>
      </c>
      <c r="L148" s="3" t="str">
        <f xml:space="preserve"> IF(K148="","",  IFERROR(VLOOKUP(I148,Resources!$B$1:$H$1503,5,FALSE)-LEN(K148),0))</f>
        <v/>
      </c>
      <c r="M148" s="3" t="str">
        <f>IF(K148="","",IFERROR(matches(K148,VLOOKUP(I148,Resources!$A$2:$AA$1503,16,FALSE)),FALSE))</f>
        <v/>
      </c>
      <c r="N148" s="3" t="e">
        <f>VLOOKUP(E148,Enviroments!$A$3:$D$59,1,FALSE)</f>
        <v>#N/A</v>
      </c>
      <c r="O148" s="3" t="e">
        <f>VLOOKUP(E148,Enviroments!$A$3:$D$59,2,FALSE)</f>
        <v>#N/A</v>
      </c>
      <c r="P148" s="3" t="e">
        <f>VLOOKUP(E148,Enviroments!$A$3:$D$59,3,FALSE)</f>
        <v>#N/A</v>
      </c>
      <c r="Q148" s="3" t="e">
        <f>VLOOKUP(E148,Enviroments!$A$3:$D$59,4,FALSE)</f>
        <v>#N/A</v>
      </c>
      <c r="R148" s="3" t="e">
        <f>VLOOKUP(H148,AzureRegions!$A$4:$B$1493,1,FALSE)</f>
        <v>#N/A</v>
      </c>
      <c r="S148" s="3" t="e">
        <f>VLOOKUP(H148,AzureRegions!$A$4:$B$1493,2,FALSE)</f>
        <v>#N/A</v>
      </c>
      <c r="T148" s="3" t="e">
        <f>VLOOKUP(H148,AzureRegions!$A$4:$C$1493,3,FALSE)</f>
        <v>#N/A</v>
      </c>
      <c r="U148" s="3" t="e">
        <f>VLOOKUP(I148,Resources!$A$2:$AA$1503,2,FALSE)</f>
        <v>#N/A</v>
      </c>
      <c r="V148" s="3" t="e">
        <f>VLOOKUP(I148,Resources!$A$2:$H$1503,6,FALSE)</f>
        <v>#N/A</v>
      </c>
      <c r="W148" s="3" t="str">
        <f>VLOOKUP($H$2,Casing!$A$4:$A$60,1,FALSE)</f>
        <v>Lower</v>
      </c>
      <c r="X148" s="14" t="str">
        <f t="shared" si="5"/>
        <v>001</v>
      </c>
      <c r="Y148" s="3" t="str">
        <f>IFERROR(VLOOKUP(F148,Func!$A$4:$G$1500,2,FALSE),"none")</f>
        <v>none</v>
      </c>
      <c r="Z148" s="3" t="e">
        <f>VLOOKUP(I148,Resources!$A$2:$AA$1503,18,FALSE)</f>
        <v>#N/A</v>
      </c>
      <c r="AA148" s="3" t="str">
        <f>IFERROR(VLOOKUP(B148,Orgs!$A$4:$G$1500,2,FALSE),"none")</f>
        <v>none</v>
      </c>
      <c r="AB148" s="3" t="str">
        <f>IFERROR(VLOOKUP(C148,UnitsDepts!$A$4:$G$1500,2,FALSE),"none")</f>
        <v>none</v>
      </c>
      <c r="AC148" s="3" t="str">
        <f>IFERROR(VLOOKUP(D148,ProjAppSvc!$A$4:$G$1500,2,FALSE),"none")</f>
        <v>none</v>
      </c>
    </row>
    <row r="149" spans="1:29" x14ac:dyDescent="0.45">
      <c r="A149" s="14" t="s">
        <v>23</v>
      </c>
      <c r="B149" s="14"/>
      <c r="C149" s="14"/>
      <c r="D149" s="14"/>
      <c r="H149" s="8"/>
      <c r="I149" s="3"/>
      <c r="J149" s="3" t="str">
        <f t="shared" si="6"/>
        <v/>
      </c>
      <c r="K149" s="3" t="str">
        <f>IF(ISNUMBER(SEARCH("-",V149)),IFERROR(IF($H$2="Lower", LOWER(ComputeResourceName(Z149,#REF!,#REF!,G149,N149,O149,P149,Q149,S149,T149,V149,A149)), UPPER(ComputeResourceName(Z149,#REF!,#REF!,G149,N149,O149,P149,Q149,S149,T149,V149,A149))),""),SUBSTITUTE(IFERROR(IF($H$2="Lower", LOWER(ComputeResourceName(#REF!,#REF!,#REF!,G149,N149,O149,P149,Q149,S149,T149,V149,A149)), UPPER(ComputeResourceName(#REF!,#REF!,#REF!,G149,N149,O149,P149,Q149,S149,T149,V149,A149))),""), "-",""))</f>
        <v/>
      </c>
      <c r="L149" s="3" t="str">
        <f xml:space="preserve"> IF(K149="","",  IFERROR(VLOOKUP(I149,Resources!$B$1:$H$1503,5,FALSE)-LEN(K149),0))</f>
        <v/>
      </c>
      <c r="M149" s="3" t="str">
        <f>IF(K149="","",IFERROR(matches(K149,VLOOKUP(I149,Resources!$A$2:$AA$1503,16,FALSE)),FALSE))</f>
        <v/>
      </c>
      <c r="N149" s="3" t="e">
        <f>VLOOKUP(E149,Enviroments!$A$3:$D$59,1,FALSE)</f>
        <v>#N/A</v>
      </c>
      <c r="O149" s="3" t="e">
        <f>VLOOKUP(E149,Enviroments!$A$3:$D$59,2,FALSE)</f>
        <v>#N/A</v>
      </c>
      <c r="P149" s="3" t="e">
        <f>VLOOKUP(E149,Enviroments!$A$3:$D$59,3,FALSE)</f>
        <v>#N/A</v>
      </c>
      <c r="Q149" s="3" t="e">
        <f>VLOOKUP(E149,Enviroments!$A$3:$D$59,4,FALSE)</f>
        <v>#N/A</v>
      </c>
      <c r="R149" s="3" t="e">
        <f>VLOOKUP(H149,AzureRegions!$A$4:$B$1493,1,FALSE)</f>
        <v>#N/A</v>
      </c>
      <c r="S149" s="3" t="e">
        <f>VLOOKUP(H149,AzureRegions!$A$4:$B$1493,2,FALSE)</f>
        <v>#N/A</v>
      </c>
      <c r="T149" s="3" t="e">
        <f>VLOOKUP(H149,AzureRegions!$A$4:$C$1493,3,FALSE)</f>
        <v>#N/A</v>
      </c>
      <c r="U149" s="3" t="e">
        <f>VLOOKUP(I149,Resources!$A$2:$AA$1503,2,FALSE)</f>
        <v>#N/A</v>
      </c>
      <c r="V149" s="3" t="e">
        <f>VLOOKUP(I149,Resources!$A$2:$H$1503,6,FALSE)</f>
        <v>#N/A</v>
      </c>
      <c r="W149" s="3" t="str">
        <f>VLOOKUP($H$2,Casing!$A$4:$A$60,1,FALSE)</f>
        <v>Lower</v>
      </c>
      <c r="X149" s="14" t="str">
        <f t="shared" si="5"/>
        <v>001</v>
      </c>
      <c r="Y149" s="3" t="str">
        <f>IFERROR(VLOOKUP(F149,Func!$A$4:$G$1500,2,FALSE),"none")</f>
        <v>none</v>
      </c>
      <c r="Z149" s="3" t="e">
        <f>VLOOKUP(I149,Resources!$A$2:$AA$1503,18,FALSE)</f>
        <v>#N/A</v>
      </c>
      <c r="AA149" s="3" t="str">
        <f>IFERROR(VLOOKUP(B149,Orgs!$A$4:$G$1500,2,FALSE),"none")</f>
        <v>none</v>
      </c>
      <c r="AB149" s="3" t="str">
        <f>IFERROR(VLOOKUP(C149,UnitsDepts!$A$4:$G$1500,2,FALSE),"none")</f>
        <v>none</v>
      </c>
      <c r="AC149" s="3" t="str">
        <f>IFERROR(VLOOKUP(D149,ProjAppSvc!$A$4:$G$1500,2,FALSE),"none")</f>
        <v>none</v>
      </c>
    </row>
    <row r="150" spans="1:29" x14ac:dyDescent="0.45">
      <c r="A150" s="14" t="s">
        <v>23</v>
      </c>
      <c r="B150" s="14"/>
      <c r="C150" s="14"/>
      <c r="D150" s="14"/>
      <c r="H150" s="8"/>
      <c r="I150" s="3"/>
      <c r="J150" s="3" t="str">
        <f t="shared" si="6"/>
        <v/>
      </c>
      <c r="K150" s="3" t="str">
        <f>IF(ISNUMBER(SEARCH("-",V150)),IFERROR(IF($H$2="Lower", LOWER(ComputeResourceName(Z150,#REF!,#REF!,G150,N150,O150,P150,Q150,S150,T150,V150,A150)), UPPER(ComputeResourceName(Z150,#REF!,#REF!,G150,N150,O150,P150,Q150,S150,T150,V150,A150))),""),SUBSTITUTE(IFERROR(IF($H$2="Lower", LOWER(ComputeResourceName(#REF!,#REF!,#REF!,G150,N150,O150,P150,Q150,S150,T150,V150,A150)), UPPER(ComputeResourceName(#REF!,#REF!,#REF!,G150,N150,O150,P150,Q150,S150,T150,V150,A150))),""), "-",""))</f>
        <v/>
      </c>
      <c r="L150" s="3" t="str">
        <f xml:space="preserve"> IF(K150="","",  IFERROR(VLOOKUP(I150,Resources!$B$1:$H$1503,5,FALSE)-LEN(K150),0))</f>
        <v/>
      </c>
      <c r="M150" s="3" t="str">
        <f>IF(K150="","",IFERROR(matches(K150,VLOOKUP(I150,Resources!$A$2:$AA$1503,16,FALSE)),FALSE))</f>
        <v/>
      </c>
      <c r="N150" s="3" t="e">
        <f>VLOOKUP(E150,Enviroments!$A$3:$D$59,1,FALSE)</f>
        <v>#N/A</v>
      </c>
      <c r="O150" s="3" t="e">
        <f>VLOOKUP(E150,Enviroments!$A$3:$D$59,2,FALSE)</f>
        <v>#N/A</v>
      </c>
      <c r="P150" s="3" t="e">
        <f>VLOOKUP(E150,Enviroments!$A$3:$D$59,3,FALSE)</f>
        <v>#N/A</v>
      </c>
      <c r="Q150" s="3" t="e">
        <f>VLOOKUP(E150,Enviroments!$A$3:$D$59,4,FALSE)</f>
        <v>#N/A</v>
      </c>
      <c r="R150" s="3" t="e">
        <f>VLOOKUP(H150,AzureRegions!$A$4:$B$1493,1,FALSE)</f>
        <v>#N/A</v>
      </c>
      <c r="S150" s="3" t="e">
        <f>VLOOKUP(H150,AzureRegions!$A$4:$B$1493,2,FALSE)</f>
        <v>#N/A</v>
      </c>
      <c r="T150" s="3" t="e">
        <f>VLOOKUP(H150,AzureRegions!$A$4:$C$1493,3,FALSE)</f>
        <v>#N/A</v>
      </c>
      <c r="U150" s="3" t="e">
        <f>VLOOKUP(I150,Resources!$A$2:$AA$1503,2,FALSE)</f>
        <v>#N/A</v>
      </c>
      <c r="V150" s="3" t="e">
        <f>VLOOKUP(I150,Resources!$A$2:$H$1503,6,FALSE)</f>
        <v>#N/A</v>
      </c>
      <c r="W150" s="3" t="str">
        <f>VLOOKUP($H$2,Casing!$A$4:$A$60,1,FALSE)</f>
        <v>Lower</v>
      </c>
      <c r="X150" s="14" t="str">
        <f t="shared" si="5"/>
        <v>001</v>
      </c>
      <c r="Y150" s="3" t="str">
        <f>IFERROR(VLOOKUP(F150,Func!$A$4:$G$1500,2,FALSE),"none")</f>
        <v>none</v>
      </c>
      <c r="Z150" s="3" t="e">
        <f>VLOOKUP(I150,Resources!$A$2:$AA$1503,18,FALSE)</f>
        <v>#N/A</v>
      </c>
      <c r="AA150" s="3" t="str">
        <f>IFERROR(VLOOKUP(B150,Orgs!$A$4:$G$1500,2,FALSE),"none")</f>
        <v>none</v>
      </c>
      <c r="AB150" s="3" t="str">
        <f>IFERROR(VLOOKUP(C150,UnitsDepts!$A$4:$G$1500,2,FALSE),"none")</f>
        <v>none</v>
      </c>
      <c r="AC150" s="3" t="str">
        <f>IFERROR(VLOOKUP(D150,ProjAppSvc!$A$4:$G$1500,2,FALSE),"none")</f>
        <v>none</v>
      </c>
    </row>
    <row r="151" spans="1:29" x14ac:dyDescent="0.45">
      <c r="A151" s="14" t="s">
        <v>23</v>
      </c>
      <c r="B151" s="14"/>
      <c r="C151" s="14"/>
      <c r="D151" s="14"/>
      <c r="H151" s="8"/>
      <c r="I151" s="3"/>
      <c r="J151" s="3" t="str">
        <f t="shared" si="6"/>
        <v/>
      </c>
      <c r="K151" s="3" t="str">
        <f>IF(ISNUMBER(SEARCH("-",V151)),IFERROR(IF($H$2="Lower", LOWER(ComputeResourceName(Z151,#REF!,#REF!,G151,N151,O151,P151,Q151,S151,T151,V151,A151)), UPPER(ComputeResourceName(Z151,#REF!,#REF!,G151,N151,O151,P151,Q151,S151,T151,V151,A151))),""),SUBSTITUTE(IFERROR(IF($H$2="Lower", LOWER(ComputeResourceName(#REF!,#REF!,#REF!,G151,N151,O151,P151,Q151,S151,T151,V151,A151)), UPPER(ComputeResourceName(#REF!,#REF!,#REF!,G151,N151,O151,P151,Q151,S151,T151,V151,A151))),""), "-",""))</f>
        <v/>
      </c>
      <c r="L151" s="3" t="str">
        <f xml:space="preserve"> IF(K151="","",  IFERROR(VLOOKUP(I151,Resources!$B$1:$H$1503,5,FALSE)-LEN(K151),0))</f>
        <v/>
      </c>
      <c r="M151" s="3" t="str">
        <f>IF(K151="","",IFERROR(matches(K151,VLOOKUP(I151,Resources!$A$2:$AA$1503,16,FALSE)),FALSE))</f>
        <v/>
      </c>
      <c r="N151" s="3" t="e">
        <f>VLOOKUP(E151,Enviroments!$A$3:$D$59,1,FALSE)</f>
        <v>#N/A</v>
      </c>
      <c r="O151" s="3" t="e">
        <f>VLOOKUP(E151,Enviroments!$A$3:$D$59,2,FALSE)</f>
        <v>#N/A</v>
      </c>
      <c r="P151" s="3" t="e">
        <f>VLOOKUP(E151,Enviroments!$A$3:$D$59,3,FALSE)</f>
        <v>#N/A</v>
      </c>
      <c r="Q151" s="3" t="e">
        <f>VLOOKUP(E151,Enviroments!$A$3:$D$59,4,FALSE)</f>
        <v>#N/A</v>
      </c>
      <c r="R151" s="3" t="e">
        <f>VLOOKUP(H151,AzureRegions!$A$4:$B$1493,1,FALSE)</f>
        <v>#N/A</v>
      </c>
      <c r="S151" s="3" t="e">
        <f>VLOOKUP(H151,AzureRegions!$A$4:$B$1493,2,FALSE)</f>
        <v>#N/A</v>
      </c>
      <c r="T151" s="3" t="e">
        <f>VLOOKUP(H151,AzureRegions!$A$4:$C$1493,3,FALSE)</f>
        <v>#N/A</v>
      </c>
      <c r="U151" s="3" t="e">
        <f>VLOOKUP(I151,Resources!$A$2:$AA$1503,2,FALSE)</f>
        <v>#N/A</v>
      </c>
      <c r="V151" s="3" t="e">
        <f>VLOOKUP(I151,Resources!$A$2:$H$1503,6,FALSE)</f>
        <v>#N/A</v>
      </c>
      <c r="W151" s="3" t="str">
        <f>VLOOKUP($H$2,Casing!$A$4:$A$60,1,FALSE)</f>
        <v>Lower</v>
      </c>
      <c r="X151" s="14" t="str">
        <f t="shared" si="5"/>
        <v>001</v>
      </c>
      <c r="Y151" s="3" t="str">
        <f>IFERROR(VLOOKUP(F151,Func!$A$4:$G$1500,2,FALSE),"none")</f>
        <v>none</v>
      </c>
      <c r="Z151" s="3" t="e">
        <f>VLOOKUP(I151,Resources!$A$2:$AA$1503,18,FALSE)</f>
        <v>#N/A</v>
      </c>
      <c r="AA151" s="3" t="str">
        <f>IFERROR(VLOOKUP(B151,Orgs!$A$4:$G$1500,2,FALSE),"none")</f>
        <v>none</v>
      </c>
      <c r="AB151" s="3" t="str">
        <f>IFERROR(VLOOKUP(C151,UnitsDepts!$A$4:$G$1500,2,FALSE),"none")</f>
        <v>none</v>
      </c>
      <c r="AC151" s="3" t="str">
        <f>IFERROR(VLOOKUP(D151,ProjAppSvc!$A$4:$G$1500,2,FALSE),"none")</f>
        <v>none</v>
      </c>
    </row>
    <row r="152" spans="1:29" x14ac:dyDescent="0.45">
      <c r="A152" s="14" t="s">
        <v>23</v>
      </c>
      <c r="B152" s="14"/>
      <c r="C152" s="14"/>
      <c r="D152" s="14"/>
      <c r="H152" s="8"/>
      <c r="I152" s="3"/>
      <c r="J152" s="3" t="str">
        <f t="shared" si="6"/>
        <v/>
      </c>
      <c r="K152" s="3" t="str">
        <f>IF(ISNUMBER(SEARCH("-",V152)),IFERROR(IF($H$2="Lower", LOWER(ComputeResourceName(Z152,#REF!,#REF!,G152,N152,O152,P152,Q152,S152,T152,V152,A152)), UPPER(ComputeResourceName(Z152,#REF!,#REF!,G152,N152,O152,P152,Q152,S152,T152,V152,A152))),""),SUBSTITUTE(IFERROR(IF($H$2="Lower", LOWER(ComputeResourceName(#REF!,#REF!,#REF!,G152,N152,O152,P152,Q152,S152,T152,V152,A152)), UPPER(ComputeResourceName(#REF!,#REF!,#REF!,G152,N152,O152,P152,Q152,S152,T152,V152,A152))),""), "-",""))</f>
        <v/>
      </c>
      <c r="L152" s="3" t="str">
        <f xml:space="preserve"> IF(K152="","",  IFERROR(VLOOKUP(I152,Resources!$B$1:$H$1503,5,FALSE)-LEN(K152),0))</f>
        <v/>
      </c>
      <c r="M152" s="3" t="str">
        <f>IF(K152="","",IFERROR(matches(K152,VLOOKUP(I152,Resources!$A$2:$AA$1503,16,FALSE)),FALSE))</f>
        <v/>
      </c>
      <c r="N152" s="3" t="e">
        <f>VLOOKUP(E152,Enviroments!$A$3:$D$59,1,FALSE)</f>
        <v>#N/A</v>
      </c>
      <c r="O152" s="3" t="e">
        <f>VLOOKUP(E152,Enviroments!$A$3:$D$59,2,FALSE)</f>
        <v>#N/A</v>
      </c>
      <c r="P152" s="3" t="e">
        <f>VLOOKUP(E152,Enviroments!$A$3:$D$59,3,FALSE)</f>
        <v>#N/A</v>
      </c>
      <c r="Q152" s="3" t="e">
        <f>VLOOKUP(E152,Enviroments!$A$3:$D$59,4,FALSE)</f>
        <v>#N/A</v>
      </c>
      <c r="R152" s="3" t="e">
        <f>VLOOKUP(H152,AzureRegions!$A$4:$B$1493,1,FALSE)</f>
        <v>#N/A</v>
      </c>
      <c r="S152" s="3" t="e">
        <f>VLOOKUP(H152,AzureRegions!$A$4:$B$1493,2,FALSE)</f>
        <v>#N/A</v>
      </c>
      <c r="T152" s="3" t="e">
        <f>VLOOKUP(H152,AzureRegions!$A$4:$C$1493,3,FALSE)</f>
        <v>#N/A</v>
      </c>
      <c r="U152" s="3" t="e">
        <f>VLOOKUP(I152,Resources!$A$2:$AA$1503,2,FALSE)</f>
        <v>#N/A</v>
      </c>
      <c r="V152" s="3" t="e">
        <f>VLOOKUP(I152,Resources!$A$2:$H$1503,6,FALSE)</f>
        <v>#N/A</v>
      </c>
      <c r="W152" s="3" t="str">
        <f>VLOOKUP($H$2,Casing!$A$4:$A$60,1,FALSE)</f>
        <v>Lower</v>
      </c>
      <c r="X152" s="14" t="str">
        <f t="shared" si="5"/>
        <v>001</v>
      </c>
      <c r="Y152" s="3" t="str">
        <f>IFERROR(VLOOKUP(F152,Func!$A$4:$G$1500,2,FALSE),"none")</f>
        <v>none</v>
      </c>
      <c r="Z152" s="3" t="e">
        <f>VLOOKUP(I152,Resources!$A$2:$AA$1503,18,FALSE)</f>
        <v>#N/A</v>
      </c>
      <c r="AA152" s="3" t="str">
        <f>IFERROR(VLOOKUP(B152,Orgs!$A$4:$G$1500,2,FALSE),"none")</f>
        <v>none</v>
      </c>
      <c r="AB152" s="3" t="str">
        <f>IFERROR(VLOOKUP(C152,UnitsDepts!$A$4:$G$1500,2,FALSE),"none")</f>
        <v>none</v>
      </c>
      <c r="AC152" s="3" t="str">
        <f>IFERROR(VLOOKUP(D152,ProjAppSvc!$A$4:$G$1500,2,FALSE),"none")</f>
        <v>none</v>
      </c>
    </row>
    <row r="153" spans="1:29" x14ac:dyDescent="0.45">
      <c r="A153" s="14" t="s">
        <v>23</v>
      </c>
      <c r="B153" s="14"/>
      <c r="C153" s="14"/>
      <c r="D153" s="14"/>
      <c r="H153" s="8"/>
      <c r="I153" s="3"/>
      <c r="J153" s="3" t="str">
        <f t="shared" si="6"/>
        <v/>
      </c>
      <c r="K153" s="3" t="str">
        <f>IF(ISNUMBER(SEARCH("-",V153)),IFERROR(IF($H$2="Lower", LOWER(ComputeResourceName(Z153,#REF!,#REF!,G153,N153,O153,P153,Q153,S153,T153,V153,A153)), UPPER(ComputeResourceName(Z153,#REF!,#REF!,G153,N153,O153,P153,Q153,S153,T153,V153,A153))),""),SUBSTITUTE(IFERROR(IF($H$2="Lower", LOWER(ComputeResourceName(#REF!,#REF!,#REF!,G153,N153,O153,P153,Q153,S153,T153,V153,A153)), UPPER(ComputeResourceName(#REF!,#REF!,#REF!,G153,N153,O153,P153,Q153,S153,T153,V153,A153))),""), "-",""))</f>
        <v/>
      </c>
      <c r="L153" s="3" t="str">
        <f xml:space="preserve"> IF(K153="","",  IFERROR(VLOOKUP(I153,Resources!$B$1:$H$1503,5,FALSE)-LEN(K153),0))</f>
        <v/>
      </c>
      <c r="M153" s="3" t="str">
        <f>IF(K153="","",IFERROR(matches(K153,VLOOKUP(I153,Resources!$A$2:$AA$1503,16,FALSE)),FALSE))</f>
        <v/>
      </c>
      <c r="N153" s="3" t="e">
        <f>VLOOKUP(E153,Enviroments!$A$3:$D$59,1,FALSE)</f>
        <v>#N/A</v>
      </c>
      <c r="O153" s="3" t="e">
        <f>VLOOKUP(E153,Enviroments!$A$3:$D$59,2,FALSE)</f>
        <v>#N/A</v>
      </c>
      <c r="P153" s="3" t="e">
        <f>VLOOKUP(E153,Enviroments!$A$3:$D$59,3,FALSE)</f>
        <v>#N/A</v>
      </c>
      <c r="Q153" s="3" t="e">
        <f>VLOOKUP(E153,Enviroments!$A$3:$D$59,4,FALSE)</f>
        <v>#N/A</v>
      </c>
      <c r="R153" s="3" t="e">
        <f>VLOOKUP(H153,AzureRegions!$A$4:$B$1493,1,FALSE)</f>
        <v>#N/A</v>
      </c>
      <c r="S153" s="3" t="e">
        <f>VLOOKUP(H153,AzureRegions!$A$4:$B$1493,2,FALSE)</f>
        <v>#N/A</v>
      </c>
      <c r="T153" s="3" t="e">
        <f>VLOOKUP(H153,AzureRegions!$A$4:$C$1493,3,FALSE)</f>
        <v>#N/A</v>
      </c>
      <c r="U153" s="3" t="e">
        <f>VLOOKUP(I153,Resources!$A$2:$AA$1503,2,FALSE)</f>
        <v>#N/A</v>
      </c>
      <c r="V153" s="3" t="e">
        <f>VLOOKUP(I153,Resources!$A$2:$H$1503,6,FALSE)</f>
        <v>#N/A</v>
      </c>
      <c r="W153" s="3" t="str">
        <f>VLOOKUP($H$2,Casing!$A$4:$A$60,1,FALSE)</f>
        <v>Lower</v>
      </c>
      <c r="X153" s="14" t="str">
        <f t="shared" si="5"/>
        <v>001</v>
      </c>
      <c r="Y153" s="3" t="str">
        <f>IFERROR(VLOOKUP(F153,Func!$A$4:$G$1500,2,FALSE),"none")</f>
        <v>none</v>
      </c>
      <c r="Z153" s="3" t="e">
        <f>VLOOKUP(I153,Resources!$A$2:$AA$1503,18,FALSE)</f>
        <v>#N/A</v>
      </c>
      <c r="AA153" s="3" t="str">
        <f>IFERROR(VLOOKUP(B153,Orgs!$A$4:$G$1500,2,FALSE),"none")</f>
        <v>none</v>
      </c>
      <c r="AB153" s="3" t="str">
        <f>IFERROR(VLOOKUP(C153,UnitsDepts!$A$4:$G$1500,2,FALSE),"none")</f>
        <v>none</v>
      </c>
      <c r="AC153" s="3" t="str">
        <f>IFERROR(VLOOKUP(D153,ProjAppSvc!$A$4:$G$1500,2,FALSE),"none")</f>
        <v>none</v>
      </c>
    </row>
    <row r="154" spans="1:29" x14ac:dyDescent="0.45">
      <c r="A154" s="14" t="s">
        <v>23</v>
      </c>
      <c r="B154" s="14"/>
      <c r="C154" s="14"/>
      <c r="D154" s="14"/>
      <c r="H154" s="8"/>
      <c r="I154" s="3"/>
      <c r="J154" s="3" t="str">
        <f t="shared" si="6"/>
        <v/>
      </c>
      <c r="K154" s="3" t="str">
        <f>IF(ISNUMBER(SEARCH("-",V154)),IFERROR(IF($H$2="Lower", LOWER(ComputeResourceName(Z154,#REF!,#REF!,G154,N154,O154,P154,Q154,S154,T154,V154,A154)), UPPER(ComputeResourceName(Z154,#REF!,#REF!,G154,N154,O154,P154,Q154,S154,T154,V154,A154))),""),SUBSTITUTE(IFERROR(IF($H$2="Lower", LOWER(ComputeResourceName(#REF!,#REF!,#REF!,G154,N154,O154,P154,Q154,S154,T154,V154,A154)), UPPER(ComputeResourceName(#REF!,#REF!,#REF!,G154,N154,O154,P154,Q154,S154,T154,V154,A154))),""), "-",""))</f>
        <v/>
      </c>
      <c r="L154" s="3" t="str">
        <f xml:space="preserve"> IF(K154="","",  IFERROR(VLOOKUP(I154,Resources!$B$1:$H$1503,5,FALSE)-LEN(K154),0))</f>
        <v/>
      </c>
      <c r="M154" s="3" t="str">
        <f>IF(K154="","",IFERROR(matches(K154,VLOOKUP(I154,Resources!$A$2:$AA$1503,16,FALSE)),FALSE))</f>
        <v/>
      </c>
      <c r="N154" s="3" t="e">
        <f>VLOOKUP(E154,Enviroments!$A$3:$D$59,1,FALSE)</f>
        <v>#N/A</v>
      </c>
      <c r="O154" s="3" t="e">
        <f>VLOOKUP(E154,Enviroments!$A$3:$D$59,2,FALSE)</f>
        <v>#N/A</v>
      </c>
      <c r="P154" s="3" t="e">
        <f>VLOOKUP(E154,Enviroments!$A$3:$D$59,3,FALSE)</f>
        <v>#N/A</v>
      </c>
      <c r="Q154" s="3" t="e">
        <f>VLOOKUP(E154,Enviroments!$A$3:$D$59,4,FALSE)</f>
        <v>#N/A</v>
      </c>
      <c r="R154" s="3" t="e">
        <f>VLOOKUP(H154,AzureRegions!$A$4:$B$1493,1,FALSE)</f>
        <v>#N/A</v>
      </c>
      <c r="S154" s="3" t="e">
        <f>VLOOKUP(H154,AzureRegions!$A$4:$B$1493,2,FALSE)</f>
        <v>#N/A</v>
      </c>
      <c r="T154" s="3" t="e">
        <f>VLOOKUP(H154,AzureRegions!$A$4:$C$1493,3,FALSE)</f>
        <v>#N/A</v>
      </c>
      <c r="U154" s="3" t="e">
        <f>VLOOKUP(I154,Resources!$A$2:$AA$1503,2,FALSE)</f>
        <v>#N/A</v>
      </c>
      <c r="V154" s="3" t="e">
        <f>VLOOKUP(I154,Resources!$A$2:$H$1503,6,FALSE)</f>
        <v>#N/A</v>
      </c>
      <c r="W154" s="3" t="str">
        <f>VLOOKUP($H$2,Casing!$A$4:$A$60,1,FALSE)</f>
        <v>Lower</v>
      </c>
      <c r="X154" s="14" t="str">
        <f t="shared" si="5"/>
        <v>001</v>
      </c>
      <c r="Y154" s="3" t="str">
        <f>IFERROR(VLOOKUP(F154,Func!$A$4:$G$1500,2,FALSE),"none")</f>
        <v>none</v>
      </c>
      <c r="Z154" s="3" t="e">
        <f>VLOOKUP(I154,Resources!$A$2:$AA$1503,18,FALSE)</f>
        <v>#N/A</v>
      </c>
      <c r="AA154" s="3" t="str">
        <f>IFERROR(VLOOKUP(B154,Orgs!$A$4:$G$1500,2,FALSE),"none")</f>
        <v>none</v>
      </c>
      <c r="AB154" s="3" t="str">
        <f>IFERROR(VLOOKUP(C154,UnitsDepts!$A$4:$G$1500,2,FALSE),"none")</f>
        <v>none</v>
      </c>
      <c r="AC154" s="3" t="str">
        <f>IFERROR(VLOOKUP(D154,ProjAppSvc!$A$4:$G$1500,2,FALSE),"none")</f>
        <v>none</v>
      </c>
    </row>
    <row r="155" spans="1:29" x14ac:dyDescent="0.45">
      <c r="A155" s="14" t="s">
        <v>23</v>
      </c>
      <c r="B155" s="14"/>
      <c r="C155" s="14"/>
      <c r="D155" s="14"/>
      <c r="H155" s="8"/>
      <c r="I155" s="3"/>
      <c r="J155" s="3" t="str">
        <f t="shared" si="6"/>
        <v/>
      </c>
      <c r="K155" s="3" t="str">
        <f>IF(ISNUMBER(SEARCH("-",V155)),IFERROR(IF($H$2="Lower", LOWER(ComputeResourceName(Z155,#REF!,#REF!,G155,N155,O155,P155,Q155,S155,T155,V155,A155)), UPPER(ComputeResourceName(Z155,#REF!,#REF!,G155,N155,O155,P155,Q155,S155,T155,V155,A155))),""),SUBSTITUTE(IFERROR(IF($H$2="Lower", LOWER(ComputeResourceName(#REF!,#REF!,#REF!,G155,N155,O155,P155,Q155,S155,T155,V155,A155)), UPPER(ComputeResourceName(#REF!,#REF!,#REF!,G155,N155,O155,P155,Q155,S155,T155,V155,A155))),""), "-",""))</f>
        <v/>
      </c>
      <c r="L155" s="3" t="str">
        <f xml:space="preserve"> IF(K155="","",  IFERROR(VLOOKUP(I155,Resources!$B$1:$H$1503,5,FALSE)-LEN(K155),0))</f>
        <v/>
      </c>
      <c r="M155" s="3" t="str">
        <f>IF(K155="","",IFERROR(matches(K155,VLOOKUP(I155,Resources!$A$2:$AA$1503,16,FALSE)),FALSE))</f>
        <v/>
      </c>
      <c r="N155" s="3" t="e">
        <f>VLOOKUP(E155,Enviroments!$A$3:$D$59,1,FALSE)</f>
        <v>#N/A</v>
      </c>
      <c r="O155" s="3" t="e">
        <f>VLOOKUP(E155,Enviroments!$A$3:$D$59,2,FALSE)</f>
        <v>#N/A</v>
      </c>
      <c r="P155" s="3" t="e">
        <f>VLOOKUP(E155,Enviroments!$A$3:$D$59,3,FALSE)</f>
        <v>#N/A</v>
      </c>
      <c r="Q155" s="3" t="e">
        <f>VLOOKUP(E155,Enviroments!$A$3:$D$59,4,FALSE)</f>
        <v>#N/A</v>
      </c>
      <c r="R155" s="3" t="e">
        <f>VLOOKUP(H155,AzureRegions!$A$4:$B$1493,1,FALSE)</f>
        <v>#N/A</v>
      </c>
      <c r="S155" s="3" t="e">
        <f>VLOOKUP(H155,AzureRegions!$A$4:$B$1493,2,FALSE)</f>
        <v>#N/A</v>
      </c>
      <c r="T155" s="3" t="e">
        <f>VLOOKUP(H155,AzureRegions!$A$4:$C$1493,3,FALSE)</f>
        <v>#N/A</v>
      </c>
      <c r="U155" s="3" t="e">
        <f>VLOOKUP(I155,Resources!$A$2:$AA$1503,2,FALSE)</f>
        <v>#N/A</v>
      </c>
      <c r="V155" s="3" t="e">
        <f>VLOOKUP(I155,Resources!$A$2:$H$1503,6,FALSE)</f>
        <v>#N/A</v>
      </c>
      <c r="W155" s="3" t="str">
        <f>VLOOKUP($H$2,Casing!$A$4:$A$60,1,FALSE)</f>
        <v>Lower</v>
      </c>
      <c r="X155" s="14" t="str">
        <f t="shared" si="5"/>
        <v>001</v>
      </c>
      <c r="Y155" s="3" t="str">
        <f>IFERROR(VLOOKUP(F155,Func!$A$4:$G$1500,2,FALSE),"none")</f>
        <v>none</v>
      </c>
      <c r="Z155" s="3" t="e">
        <f>VLOOKUP(I155,Resources!$A$2:$AA$1503,18,FALSE)</f>
        <v>#N/A</v>
      </c>
      <c r="AA155" s="3" t="str">
        <f>IFERROR(VLOOKUP(B155,Orgs!$A$4:$G$1500,2,FALSE),"none")</f>
        <v>none</v>
      </c>
      <c r="AB155" s="3" t="str">
        <f>IFERROR(VLOOKUP(C155,UnitsDepts!$A$4:$G$1500,2,FALSE),"none")</f>
        <v>none</v>
      </c>
      <c r="AC155" s="3" t="str">
        <f>IFERROR(VLOOKUP(D155,ProjAppSvc!$A$4:$G$1500,2,FALSE),"none")</f>
        <v>none</v>
      </c>
    </row>
    <row r="156" spans="1:29" x14ac:dyDescent="0.45">
      <c r="A156" s="14" t="s">
        <v>23</v>
      </c>
      <c r="B156" s="14"/>
      <c r="C156" s="14"/>
      <c r="D156" s="14"/>
      <c r="H156" s="8"/>
      <c r="I156" s="3"/>
      <c r="J156" s="3" t="str">
        <f t="shared" si="6"/>
        <v/>
      </c>
      <c r="K156" s="3" t="str">
        <f>IF(ISNUMBER(SEARCH("-",V156)),IFERROR(IF($H$2="Lower", LOWER(ComputeResourceName(Z156,#REF!,#REF!,G156,N156,O156,P156,Q156,S156,T156,V156,A156)), UPPER(ComputeResourceName(Z156,#REF!,#REF!,G156,N156,O156,P156,Q156,S156,T156,V156,A156))),""),SUBSTITUTE(IFERROR(IF($H$2="Lower", LOWER(ComputeResourceName(#REF!,#REF!,#REF!,G156,N156,O156,P156,Q156,S156,T156,V156,A156)), UPPER(ComputeResourceName(#REF!,#REF!,#REF!,G156,N156,O156,P156,Q156,S156,T156,V156,A156))),""), "-",""))</f>
        <v/>
      </c>
      <c r="L156" s="3" t="str">
        <f xml:space="preserve"> IF(K156="","",  IFERROR(VLOOKUP(I156,Resources!$B$1:$H$1503,5,FALSE)-LEN(K156),0))</f>
        <v/>
      </c>
      <c r="M156" s="3" t="str">
        <f>IF(K156="","",IFERROR(matches(K156,VLOOKUP(I156,Resources!$A$2:$AA$1503,16,FALSE)),FALSE))</f>
        <v/>
      </c>
      <c r="N156" s="3" t="e">
        <f>VLOOKUP(E156,Enviroments!$A$3:$D$59,1,FALSE)</f>
        <v>#N/A</v>
      </c>
      <c r="O156" s="3" t="e">
        <f>VLOOKUP(E156,Enviroments!$A$3:$D$59,2,FALSE)</f>
        <v>#N/A</v>
      </c>
      <c r="P156" s="3" t="e">
        <f>VLOOKUP(E156,Enviroments!$A$3:$D$59,3,FALSE)</f>
        <v>#N/A</v>
      </c>
      <c r="Q156" s="3" t="e">
        <f>VLOOKUP(E156,Enviroments!$A$3:$D$59,4,FALSE)</f>
        <v>#N/A</v>
      </c>
      <c r="R156" s="3" t="e">
        <f>VLOOKUP(H156,AzureRegions!$A$4:$B$1493,1,FALSE)</f>
        <v>#N/A</v>
      </c>
      <c r="S156" s="3" t="e">
        <f>VLOOKUP(H156,AzureRegions!$A$4:$B$1493,2,FALSE)</f>
        <v>#N/A</v>
      </c>
      <c r="T156" s="3" t="e">
        <f>VLOOKUP(H156,AzureRegions!$A$4:$C$1493,3,FALSE)</f>
        <v>#N/A</v>
      </c>
      <c r="U156" s="3" t="e">
        <f>VLOOKUP(I156,Resources!$A$2:$AA$1503,2,FALSE)</f>
        <v>#N/A</v>
      </c>
      <c r="V156" s="3" t="e">
        <f>VLOOKUP(I156,Resources!$A$2:$H$1503,6,FALSE)</f>
        <v>#N/A</v>
      </c>
      <c r="W156" s="3" t="str">
        <f>VLOOKUP($H$2,Casing!$A$4:$A$60,1,FALSE)</f>
        <v>Lower</v>
      </c>
      <c r="X156" s="14" t="str">
        <f t="shared" si="5"/>
        <v>001</v>
      </c>
      <c r="Y156" s="3" t="str">
        <f>IFERROR(VLOOKUP(F156,Func!$A$4:$G$1500,2,FALSE),"none")</f>
        <v>none</v>
      </c>
      <c r="Z156" s="3" t="e">
        <f>VLOOKUP(I156,Resources!$A$2:$AA$1503,18,FALSE)</f>
        <v>#N/A</v>
      </c>
      <c r="AA156" s="3" t="str">
        <f>IFERROR(VLOOKUP(B156,Orgs!$A$4:$G$1500,2,FALSE),"none")</f>
        <v>none</v>
      </c>
      <c r="AB156" s="3" t="str">
        <f>IFERROR(VLOOKUP(C156,UnitsDepts!$A$4:$G$1500,2,FALSE),"none")</f>
        <v>none</v>
      </c>
      <c r="AC156" s="3" t="str">
        <f>IFERROR(VLOOKUP(D156,ProjAppSvc!$A$4:$G$1500,2,FALSE),"none")</f>
        <v>none</v>
      </c>
    </row>
    <row r="157" spans="1:29" x14ac:dyDescent="0.45">
      <c r="A157" s="14" t="s">
        <v>23</v>
      </c>
      <c r="B157" s="14"/>
      <c r="C157" s="14"/>
      <c r="D157" s="14"/>
      <c r="H157" s="8"/>
      <c r="I157" s="3"/>
      <c r="J157" s="3" t="str">
        <f t="shared" si="6"/>
        <v/>
      </c>
      <c r="K157" s="3" t="str">
        <f>IF(ISNUMBER(SEARCH("-",V157)),IFERROR(IF($H$2="Lower", LOWER(ComputeResourceName(Z157,#REF!,#REF!,G157,N157,O157,P157,Q157,S157,T157,V157,A157)), UPPER(ComputeResourceName(Z157,#REF!,#REF!,G157,N157,O157,P157,Q157,S157,T157,V157,A157))),""),SUBSTITUTE(IFERROR(IF($H$2="Lower", LOWER(ComputeResourceName(#REF!,#REF!,#REF!,G157,N157,O157,P157,Q157,S157,T157,V157,A157)), UPPER(ComputeResourceName(#REF!,#REF!,#REF!,G157,N157,O157,P157,Q157,S157,T157,V157,A157))),""), "-",""))</f>
        <v/>
      </c>
      <c r="L157" s="3" t="str">
        <f xml:space="preserve"> IF(K157="","",  IFERROR(VLOOKUP(I157,Resources!$B$1:$H$1503,5,FALSE)-LEN(K157),0))</f>
        <v/>
      </c>
      <c r="M157" s="3" t="str">
        <f>IF(K157="","",IFERROR(matches(K157,VLOOKUP(I157,Resources!$A$2:$AA$1503,16,FALSE)),FALSE))</f>
        <v/>
      </c>
      <c r="N157" s="3" t="e">
        <f>VLOOKUP(E157,Enviroments!$A$3:$D$59,1,FALSE)</f>
        <v>#N/A</v>
      </c>
      <c r="O157" s="3" t="e">
        <f>VLOOKUP(E157,Enviroments!$A$3:$D$59,2,FALSE)</f>
        <v>#N/A</v>
      </c>
      <c r="P157" s="3" t="e">
        <f>VLOOKUP(E157,Enviroments!$A$3:$D$59,3,FALSE)</f>
        <v>#N/A</v>
      </c>
      <c r="Q157" s="3" t="e">
        <f>VLOOKUP(E157,Enviroments!$A$3:$D$59,4,FALSE)</f>
        <v>#N/A</v>
      </c>
      <c r="R157" s="3" t="e">
        <f>VLOOKUP(H157,AzureRegions!$A$4:$B$1493,1,FALSE)</f>
        <v>#N/A</v>
      </c>
      <c r="S157" s="3" t="e">
        <f>VLOOKUP(H157,AzureRegions!$A$4:$B$1493,2,FALSE)</f>
        <v>#N/A</v>
      </c>
      <c r="T157" s="3" t="e">
        <f>VLOOKUP(H157,AzureRegions!$A$4:$C$1493,3,FALSE)</f>
        <v>#N/A</v>
      </c>
      <c r="U157" s="3" t="e">
        <f>VLOOKUP(I157,Resources!$A$2:$AA$1503,2,FALSE)</f>
        <v>#N/A</v>
      </c>
      <c r="V157" s="3" t="e">
        <f>VLOOKUP(I157,Resources!$A$2:$H$1503,6,FALSE)</f>
        <v>#N/A</v>
      </c>
      <c r="W157" s="3" t="str">
        <f>VLOOKUP($H$2,Casing!$A$4:$A$60,1,FALSE)</f>
        <v>Lower</v>
      </c>
      <c r="X157" s="14" t="str">
        <f t="shared" si="5"/>
        <v>001</v>
      </c>
      <c r="Y157" s="3" t="str">
        <f>IFERROR(VLOOKUP(F157,Func!$A$4:$G$1500,2,FALSE),"none")</f>
        <v>none</v>
      </c>
      <c r="Z157" s="3" t="e">
        <f>VLOOKUP(I157,Resources!$A$2:$AA$1503,18,FALSE)</f>
        <v>#N/A</v>
      </c>
      <c r="AA157" s="3" t="str">
        <f>IFERROR(VLOOKUP(B157,Orgs!$A$4:$G$1500,2,FALSE),"none")</f>
        <v>none</v>
      </c>
      <c r="AB157" s="3" t="str">
        <f>IFERROR(VLOOKUP(C157,UnitsDepts!$A$4:$G$1500,2,FALSE),"none")</f>
        <v>none</v>
      </c>
      <c r="AC157" s="3" t="str">
        <f>IFERROR(VLOOKUP(D157,ProjAppSvc!$A$4:$G$1500,2,FALSE),"none")</f>
        <v>none</v>
      </c>
    </row>
    <row r="158" spans="1:29" x14ac:dyDescent="0.45">
      <c r="A158" s="14" t="s">
        <v>23</v>
      </c>
      <c r="B158" s="14"/>
      <c r="C158" s="14"/>
      <c r="D158" s="14"/>
      <c r="H158" s="8"/>
      <c r="I158" s="3"/>
      <c r="J158" s="3" t="str">
        <f t="shared" si="6"/>
        <v/>
      </c>
      <c r="K158" s="3" t="str">
        <f>IF(ISNUMBER(SEARCH("-",V158)),IFERROR(IF($H$2="Lower", LOWER(ComputeResourceName(Z158,#REF!,#REF!,G158,N158,O158,P158,Q158,S158,T158,V158,A158)), UPPER(ComputeResourceName(Z158,#REF!,#REF!,G158,N158,O158,P158,Q158,S158,T158,V158,A158))),""),SUBSTITUTE(IFERROR(IF($H$2="Lower", LOWER(ComputeResourceName(#REF!,#REF!,#REF!,G158,N158,O158,P158,Q158,S158,T158,V158,A158)), UPPER(ComputeResourceName(#REF!,#REF!,#REF!,G158,N158,O158,P158,Q158,S158,T158,V158,A158))),""), "-",""))</f>
        <v/>
      </c>
      <c r="L158" s="3" t="str">
        <f xml:space="preserve"> IF(K158="","",  IFERROR(VLOOKUP(I158,Resources!$B$1:$H$1503,5,FALSE)-LEN(K158),0))</f>
        <v/>
      </c>
      <c r="M158" s="3" t="str">
        <f>IF(K158="","",IFERROR(matches(K158,VLOOKUP(I158,Resources!$A$2:$AA$1503,16,FALSE)),FALSE))</f>
        <v/>
      </c>
      <c r="N158" s="3" t="e">
        <f>VLOOKUP(E158,Enviroments!$A$3:$D$59,1,FALSE)</f>
        <v>#N/A</v>
      </c>
      <c r="O158" s="3" t="e">
        <f>VLOOKUP(E158,Enviroments!$A$3:$D$59,2,FALSE)</f>
        <v>#N/A</v>
      </c>
      <c r="P158" s="3" t="e">
        <f>VLOOKUP(E158,Enviroments!$A$3:$D$59,3,FALSE)</f>
        <v>#N/A</v>
      </c>
      <c r="Q158" s="3" t="e">
        <f>VLOOKUP(E158,Enviroments!$A$3:$D$59,4,FALSE)</f>
        <v>#N/A</v>
      </c>
      <c r="R158" s="3" t="e">
        <f>VLOOKUP(H158,AzureRegions!$A$4:$B$1493,1,FALSE)</f>
        <v>#N/A</v>
      </c>
      <c r="S158" s="3" t="e">
        <f>VLOOKUP(H158,AzureRegions!$A$4:$B$1493,2,FALSE)</f>
        <v>#N/A</v>
      </c>
      <c r="T158" s="3" t="e">
        <f>VLOOKUP(H158,AzureRegions!$A$4:$C$1493,3,FALSE)</f>
        <v>#N/A</v>
      </c>
      <c r="U158" s="3" t="e">
        <f>VLOOKUP(I158,Resources!$A$2:$AA$1503,2,FALSE)</f>
        <v>#N/A</v>
      </c>
      <c r="V158" s="3" t="e">
        <f>VLOOKUP(I158,Resources!$A$2:$H$1503,6,FALSE)</f>
        <v>#N/A</v>
      </c>
      <c r="W158" s="3" t="str">
        <f>VLOOKUP($H$2,Casing!$A$4:$A$60,1,FALSE)</f>
        <v>Lower</v>
      </c>
      <c r="X158" s="14" t="str">
        <f t="shared" si="5"/>
        <v>001</v>
      </c>
      <c r="Y158" s="3" t="str">
        <f>IFERROR(VLOOKUP(F158,Func!$A$4:$G$1500,2,FALSE),"none")</f>
        <v>none</v>
      </c>
      <c r="Z158" s="3" t="e">
        <f>VLOOKUP(I158,Resources!$A$2:$AA$1503,18,FALSE)</f>
        <v>#N/A</v>
      </c>
      <c r="AA158" s="3" t="str">
        <f>IFERROR(VLOOKUP(B158,Orgs!$A$4:$G$1500,2,FALSE),"none")</f>
        <v>none</v>
      </c>
      <c r="AB158" s="3" t="str">
        <f>IFERROR(VLOOKUP(C158,UnitsDepts!$A$4:$G$1500,2,FALSE),"none")</f>
        <v>none</v>
      </c>
      <c r="AC158" s="3" t="str">
        <f>IFERROR(VLOOKUP(D158,ProjAppSvc!$A$4:$G$1500,2,FALSE),"none")</f>
        <v>none</v>
      </c>
    </row>
    <row r="159" spans="1:29" x14ac:dyDescent="0.45">
      <c r="A159" s="14" t="s">
        <v>23</v>
      </c>
      <c r="B159" s="14"/>
      <c r="C159" s="14"/>
      <c r="D159" s="14"/>
      <c r="H159" s="8"/>
      <c r="I159" s="3"/>
      <c r="J159" s="3" t="str">
        <f t="shared" si="6"/>
        <v/>
      </c>
      <c r="K159" s="3" t="str">
        <f>IF(ISNUMBER(SEARCH("-",V159)),IFERROR(IF($H$2="Lower", LOWER(ComputeResourceName(Z159,#REF!,#REF!,G159,N159,O159,P159,Q159,S159,T159,V159,A159)), UPPER(ComputeResourceName(Z159,#REF!,#REF!,G159,N159,O159,P159,Q159,S159,T159,V159,A159))),""),SUBSTITUTE(IFERROR(IF($H$2="Lower", LOWER(ComputeResourceName(#REF!,#REF!,#REF!,G159,N159,O159,P159,Q159,S159,T159,V159,A159)), UPPER(ComputeResourceName(#REF!,#REF!,#REF!,G159,N159,O159,P159,Q159,S159,T159,V159,A159))),""), "-",""))</f>
        <v/>
      </c>
      <c r="L159" s="3" t="str">
        <f xml:space="preserve"> IF(K159="","",  IFERROR(VLOOKUP(I159,Resources!$B$1:$H$1503,5,FALSE)-LEN(K159),0))</f>
        <v/>
      </c>
      <c r="M159" s="3" t="str">
        <f>IF(K159="","",IFERROR(matches(K159,VLOOKUP(I159,Resources!$A$2:$AA$1503,16,FALSE)),FALSE))</f>
        <v/>
      </c>
      <c r="N159" s="3" t="e">
        <f>VLOOKUP(E159,Enviroments!$A$3:$D$59,1,FALSE)</f>
        <v>#N/A</v>
      </c>
      <c r="O159" s="3" t="e">
        <f>VLOOKUP(E159,Enviroments!$A$3:$D$59,2,FALSE)</f>
        <v>#N/A</v>
      </c>
      <c r="P159" s="3" t="e">
        <f>VLOOKUP(E159,Enviroments!$A$3:$D$59,3,FALSE)</f>
        <v>#N/A</v>
      </c>
      <c r="Q159" s="3" t="e">
        <f>VLOOKUP(E159,Enviroments!$A$3:$D$59,4,FALSE)</f>
        <v>#N/A</v>
      </c>
      <c r="R159" s="3" t="e">
        <f>VLOOKUP(H159,AzureRegions!$A$4:$B$1493,1,FALSE)</f>
        <v>#N/A</v>
      </c>
      <c r="S159" s="3" t="e">
        <f>VLOOKUP(H159,AzureRegions!$A$4:$B$1493,2,FALSE)</f>
        <v>#N/A</v>
      </c>
      <c r="T159" s="3" t="e">
        <f>VLOOKUP(H159,AzureRegions!$A$4:$C$1493,3,FALSE)</f>
        <v>#N/A</v>
      </c>
      <c r="U159" s="3" t="e">
        <f>VLOOKUP(I159,Resources!$A$2:$AA$1503,2,FALSE)</f>
        <v>#N/A</v>
      </c>
      <c r="V159" s="3" t="e">
        <f>VLOOKUP(I159,Resources!$A$2:$H$1503,6,FALSE)</f>
        <v>#N/A</v>
      </c>
      <c r="W159" s="3" t="str">
        <f>VLOOKUP($H$2,Casing!$A$4:$A$60,1,FALSE)</f>
        <v>Lower</v>
      </c>
      <c r="X159" s="14" t="str">
        <f t="shared" si="5"/>
        <v>001</v>
      </c>
      <c r="Y159" s="3" t="str">
        <f>IFERROR(VLOOKUP(F159,Func!$A$4:$G$1500,2,FALSE),"none")</f>
        <v>none</v>
      </c>
      <c r="Z159" s="3" t="e">
        <f>VLOOKUP(I159,Resources!$A$2:$AA$1503,18,FALSE)</f>
        <v>#N/A</v>
      </c>
      <c r="AA159" s="3" t="str">
        <f>IFERROR(VLOOKUP(B159,Orgs!$A$4:$G$1500,2,FALSE),"none")</f>
        <v>none</v>
      </c>
      <c r="AB159" s="3" t="str">
        <f>IFERROR(VLOOKUP(C159,UnitsDepts!$A$4:$G$1500,2,FALSE),"none")</f>
        <v>none</v>
      </c>
      <c r="AC159" s="3" t="str">
        <f>IFERROR(VLOOKUP(D159,ProjAppSvc!$A$4:$G$1500,2,FALSE),"none")</f>
        <v>none</v>
      </c>
    </row>
    <row r="160" spans="1:29" x14ac:dyDescent="0.45">
      <c r="A160" s="14" t="s">
        <v>23</v>
      </c>
      <c r="B160" s="14"/>
      <c r="C160" s="14"/>
      <c r="D160" s="14"/>
      <c r="H160" s="8"/>
      <c r="I160" s="3"/>
      <c r="J160" s="3" t="str">
        <f t="shared" si="6"/>
        <v/>
      </c>
      <c r="K160" s="3" t="str">
        <f>IF(ISNUMBER(SEARCH("-",V160)),IFERROR(IF($H$2="Lower", LOWER(ComputeResourceName(Z160,#REF!,#REF!,G160,N160,O160,P160,Q160,S160,T160,V160,A160)), UPPER(ComputeResourceName(Z160,#REF!,#REF!,G160,N160,O160,P160,Q160,S160,T160,V160,A160))),""),SUBSTITUTE(IFERROR(IF($H$2="Lower", LOWER(ComputeResourceName(#REF!,#REF!,#REF!,G160,N160,O160,P160,Q160,S160,T160,V160,A160)), UPPER(ComputeResourceName(#REF!,#REF!,#REF!,G160,N160,O160,P160,Q160,S160,T160,V160,A160))),""), "-",""))</f>
        <v/>
      </c>
      <c r="L160" s="3" t="str">
        <f xml:space="preserve"> IF(K160="","",  IFERROR(VLOOKUP(I160,Resources!$B$1:$H$1503,5,FALSE)-LEN(K160),0))</f>
        <v/>
      </c>
      <c r="M160" s="3" t="str">
        <f>IF(K160="","",IFERROR(matches(K160,VLOOKUP(I160,Resources!$A$2:$AA$1503,16,FALSE)),FALSE))</f>
        <v/>
      </c>
      <c r="N160" s="3" t="e">
        <f>VLOOKUP(E160,Enviroments!$A$3:$D$59,1,FALSE)</f>
        <v>#N/A</v>
      </c>
      <c r="O160" s="3" t="e">
        <f>VLOOKUP(E160,Enviroments!$A$3:$D$59,2,FALSE)</f>
        <v>#N/A</v>
      </c>
      <c r="P160" s="3" t="e">
        <f>VLOOKUP(E160,Enviroments!$A$3:$D$59,3,FALSE)</f>
        <v>#N/A</v>
      </c>
      <c r="Q160" s="3" t="e">
        <f>VLOOKUP(E160,Enviroments!$A$3:$D$59,4,FALSE)</f>
        <v>#N/A</v>
      </c>
      <c r="R160" s="3" t="e">
        <f>VLOOKUP(H160,AzureRegions!$A$4:$B$1493,1,FALSE)</f>
        <v>#N/A</v>
      </c>
      <c r="S160" s="3" t="e">
        <f>VLOOKUP(H160,AzureRegions!$A$4:$B$1493,2,FALSE)</f>
        <v>#N/A</v>
      </c>
      <c r="T160" s="3" t="e">
        <f>VLOOKUP(H160,AzureRegions!$A$4:$C$1493,3,FALSE)</f>
        <v>#N/A</v>
      </c>
      <c r="U160" s="3" t="e">
        <f>VLOOKUP(I160,Resources!$A$2:$AA$1503,2,FALSE)</f>
        <v>#N/A</v>
      </c>
      <c r="V160" s="3" t="e">
        <f>VLOOKUP(I160,Resources!$A$2:$H$1503,6,FALSE)</f>
        <v>#N/A</v>
      </c>
      <c r="W160" s="3" t="str">
        <f>VLOOKUP($H$2,Casing!$A$4:$A$60,1,FALSE)</f>
        <v>Lower</v>
      </c>
      <c r="X160" s="14" t="str">
        <f t="shared" si="5"/>
        <v>001</v>
      </c>
      <c r="Y160" s="3" t="str">
        <f>IFERROR(VLOOKUP(F160,Func!$A$4:$G$1500,2,FALSE),"none")</f>
        <v>none</v>
      </c>
      <c r="Z160" s="3" t="e">
        <f>VLOOKUP(I160,Resources!$A$2:$AA$1503,18,FALSE)</f>
        <v>#N/A</v>
      </c>
      <c r="AA160" s="3" t="str">
        <f>IFERROR(VLOOKUP(B160,Orgs!$A$4:$G$1500,2,FALSE),"none")</f>
        <v>none</v>
      </c>
      <c r="AB160" s="3" t="str">
        <f>IFERROR(VLOOKUP(C160,UnitsDepts!$A$4:$G$1500,2,FALSE),"none")</f>
        <v>none</v>
      </c>
      <c r="AC160" s="3" t="str">
        <f>IFERROR(VLOOKUP(D160,ProjAppSvc!$A$4:$G$1500,2,FALSE),"none")</f>
        <v>none</v>
      </c>
    </row>
    <row r="161" spans="1:29" x14ac:dyDescent="0.45">
      <c r="A161" s="14" t="s">
        <v>23</v>
      </c>
      <c r="B161" s="14"/>
      <c r="C161" s="14"/>
      <c r="D161" s="14"/>
      <c r="H161" s="8"/>
      <c r="I161" s="3"/>
      <c r="J161" s="3" t="str">
        <f t="shared" si="6"/>
        <v/>
      </c>
      <c r="K161" s="3" t="str">
        <f>IF(ISNUMBER(SEARCH("-",V161)),IFERROR(IF($H$2="Lower", LOWER(ComputeResourceName(Z161,#REF!,#REF!,G161,N161,O161,P161,Q161,S161,T161,V161,A161)), UPPER(ComputeResourceName(Z161,#REF!,#REF!,G161,N161,O161,P161,Q161,S161,T161,V161,A161))),""),SUBSTITUTE(IFERROR(IF($H$2="Lower", LOWER(ComputeResourceName(#REF!,#REF!,#REF!,G161,N161,O161,P161,Q161,S161,T161,V161,A161)), UPPER(ComputeResourceName(#REF!,#REF!,#REF!,G161,N161,O161,P161,Q161,S161,T161,V161,A161))),""), "-",""))</f>
        <v/>
      </c>
      <c r="L161" s="3" t="str">
        <f xml:space="preserve"> IF(K161="","",  IFERROR(VLOOKUP(I161,Resources!$B$1:$H$1503,5,FALSE)-LEN(K161),0))</f>
        <v/>
      </c>
      <c r="M161" s="3" t="str">
        <f>IF(K161="","",IFERROR(matches(K161,VLOOKUP(I161,Resources!$A$2:$AA$1503,16,FALSE)),FALSE))</f>
        <v/>
      </c>
      <c r="N161" s="3" t="e">
        <f>VLOOKUP(E161,Enviroments!$A$3:$D$59,1,FALSE)</f>
        <v>#N/A</v>
      </c>
      <c r="O161" s="3" t="e">
        <f>VLOOKUP(E161,Enviroments!$A$3:$D$59,2,FALSE)</f>
        <v>#N/A</v>
      </c>
      <c r="P161" s="3" t="e">
        <f>VLOOKUP(E161,Enviroments!$A$3:$D$59,3,FALSE)</f>
        <v>#N/A</v>
      </c>
      <c r="Q161" s="3" t="e">
        <f>VLOOKUP(E161,Enviroments!$A$3:$D$59,4,FALSE)</f>
        <v>#N/A</v>
      </c>
      <c r="R161" s="3" t="e">
        <f>VLOOKUP(H161,AzureRegions!$A$4:$B$1493,1,FALSE)</f>
        <v>#N/A</v>
      </c>
      <c r="S161" s="3" t="e">
        <f>VLOOKUP(H161,AzureRegions!$A$4:$B$1493,2,FALSE)</f>
        <v>#N/A</v>
      </c>
      <c r="T161" s="3" t="e">
        <f>VLOOKUP(H161,AzureRegions!$A$4:$C$1493,3,FALSE)</f>
        <v>#N/A</v>
      </c>
      <c r="U161" s="3" t="e">
        <f>VLOOKUP(I161,Resources!$A$2:$AA$1503,2,FALSE)</f>
        <v>#N/A</v>
      </c>
      <c r="V161" s="3" t="e">
        <f>VLOOKUP(I161,Resources!$A$2:$H$1503,6,FALSE)</f>
        <v>#N/A</v>
      </c>
      <c r="W161" s="3" t="str">
        <f>VLOOKUP($H$2,Casing!$A$4:$A$60,1,FALSE)</f>
        <v>Lower</v>
      </c>
      <c r="X161" s="14" t="str">
        <f t="shared" si="5"/>
        <v>001</v>
      </c>
      <c r="Y161" s="3" t="str">
        <f>IFERROR(VLOOKUP(F161,Func!$A$4:$G$1500,2,FALSE),"none")</f>
        <v>none</v>
      </c>
      <c r="Z161" s="3" t="e">
        <f>VLOOKUP(I161,Resources!$A$2:$AA$1503,18,FALSE)</f>
        <v>#N/A</v>
      </c>
      <c r="AA161" s="3" t="str">
        <f>IFERROR(VLOOKUP(B161,Orgs!$A$4:$G$1500,2,FALSE),"none")</f>
        <v>none</v>
      </c>
      <c r="AB161" s="3" t="str">
        <f>IFERROR(VLOOKUP(C161,UnitsDepts!$A$4:$G$1500,2,FALSE),"none")</f>
        <v>none</v>
      </c>
      <c r="AC161" s="3" t="str">
        <f>IFERROR(VLOOKUP(D161,ProjAppSvc!$A$4:$G$1500,2,FALSE),"none")</f>
        <v>none</v>
      </c>
    </row>
    <row r="162" spans="1:29" x14ac:dyDescent="0.45">
      <c r="A162" s="14" t="s">
        <v>23</v>
      </c>
      <c r="B162" s="14"/>
      <c r="C162" s="14"/>
      <c r="D162" s="14"/>
      <c r="H162" s="8"/>
      <c r="I162" s="3"/>
      <c r="J162" s="3" t="str">
        <f t="shared" si="6"/>
        <v/>
      </c>
      <c r="K162" s="3" t="str">
        <f>IF(ISNUMBER(SEARCH("-",V162)),IFERROR(IF($H$2="Lower", LOWER(ComputeResourceName(Z162,#REF!,#REF!,G162,N162,O162,P162,Q162,S162,T162,V162,A162)), UPPER(ComputeResourceName(Z162,#REF!,#REF!,G162,N162,O162,P162,Q162,S162,T162,V162,A162))),""),SUBSTITUTE(IFERROR(IF($H$2="Lower", LOWER(ComputeResourceName(#REF!,#REF!,#REF!,G162,N162,O162,P162,Q162,S162,T162,V162,A162)), UPPER(ComputeResourceName(#REF!,#REF!,#REF!,G162,N162,O162,P162,Q162,S162,T162,V162,A162))),""), "-",""))</f>
        <v/>
      </c>
      <c r="L162" s="3" t="str">
        <f xml:space="preserve"> IF(K162="","",  IFERROR(VLOOKUP(I162,Resources!$B$1:$H$1503,5,FALSE)-LEN(K162),0))</f>
        <v/>
      </c>
      <c r="M162" s="3" t="str">
        <f>IF(K162="","",IFERROR(matches(K162,VLOOKUP(I162,Resources!$A$2:$AA$1503,16,FALSE)),FALSE))</f>
        <v/>
      </c>
      <c r="N162" s="3" t="e">
        <f>VLOOKUP(E162,Enviroments!$A$3:$D$59,1,FALSE)</f>
        <v>#N/A</v>
      </c>
      <c r="O162" s="3" t="e">
        <f>VLOOKUP(E162,Enviroments!$A$3:$D$59,2,FALSE)</f>
        <v>#N/A</v>
      </c>
      <c r="P162" s="3" t="e">
        <f>VLOOKUP(E162,Enviroments!$A$3:$D$59,3,FALSE)</f>
        <v>#N/A</v>
      </c>
      <c r="Q162" s="3" t="e">
        <f>VLOOKUP(E162,Enviroments!$A$3:$D$59,4,FALSE)</f>
        <v>#N/A</v>
      </c>
      <c r="R162" s="3" t="e">
        <f>VLOOKUP(H162,AzureRegions!$A$4:$B$1493,1,FALSE)</f>
        <v>#N/A</v>
      </c>
      <c r="S162" s="3" t="e">
        <f>VLOOKUP(H162,AzureRegions!$A$4:$B$1493,2,FALSE)</f>
        <v>#N/A</v>
      </c>
      <c r="T162" s="3" t="e">
        <f>VLOOKUP(H162,AzureRegions!$A$4:$C$1493,3,FALSE)</f>
        <v>#N/A</v>
      </c>
      <c r="U162" s="3" t="e">
        <f>VLOOKUP(I162,Resources!$A$2:$AA$1503,2,FALSE)</f>
        <v>#N/A</v>
      </c>
      <c r="V162" s="3" t="e">
        <f>VLOOKUP(I162,Resources!$A$2:$H$1503,6,FALSE)</f>
        <v>#N/A</v>
      </c>
      <c r="W162" s="3" t="str">
        <f>VLOOKUP($H$2,Casing!$A$4:$A$60,1,FALSE)</f>
        <v>Lower</v>
      </c>
      <c r="X162" s="14" t="str">
        <f t="shared" si="5"/>
        <v>001</v>
      </c>
      <c r="Y162" s="3" t="str">
        <f>IFERROR(VLOOKUP(F162,Func!$A$4:$G$1500,2,FALSE),"none")</f>
        <v>none</v>
      </c>
      <c r="Z162" s="3" t="e">
        <f>VLOOKUP(I162,Resources!$A$2:$AA$1503,18,FALSE)</f>
        <v>#N/A</v>
      </c>
      <c r="AA162" s="3" t="str">
        <f>IFERROR(VLOOKUP(B162,Orgs!$A$4:$G$1500,2,FALSE),"none")</f>
        <v>none</v>
      </c>
      <c r="AB162" s="3" t="str">
        <f>IFERROR(VLOOKUP(C162,UnitsDepts!$A$4:$G$1500,2,FALSE),"none")</f>
        <v>none</v>
      </c>
      <c r="AC162" s="3" t="str">
        <f>IFERROR(VLOOKUP(D162,ProjAppSvc!$A$4:$G$1500,2,FALSE),"none")</f>
        <v>none</v>
      </c>
    </row>
    <row r="163" spans="1:29" x14ac:dyDescent="0.45">
      <c r="A163" s="14" t="s">
        <v>23</v>
      </c>
      <c r="B163" s="14"/>
      <c r="C163" s="14"/>
      <c r="D163" s="14"/>
      <c r="H163" s="8"/>
      <c r="I163" s="3"/>
      <c r="J163" s="3" t="str">
        <f t="shared" si="6"/>
        <v/>
      </c>
      <c r="K163" s="3" t="str">
        <f>IF(ISNUMBER(SEARCH("-",V163)),IFERROR(IF($H$2="Lower", LOWER(ComputeResourceName(Z163,#REF!,#REF!,G163,N163,O163,P163,Q163,S163,T163,V163,A163)), UPPER(ComputeResourceName(Z163,#REF!,#REF!,G163,N163,O163,P163,Q163,S163,T163,V163,A163))),""),SUBSTITUTE(IFERROR(IF($H$2="Lower", LOWER(ComputeResourceName(#REF!,#REF!,#REF!,G163,N163,O163,P163,Q163,S163,T163,V163,A163)), UPPER(ComputeResourceName(#REF!,#REF!,#REF!,G163,N163,O163,P163,Q163,S163,T163,V163,A163))),""), "-",""))</f>
        <v/>
      </c>
      <c r="L163" s="3" t="str">
        <f xml:space="preserve"> IF(K163="","",  IFERROR(VLOOKUP(I163,Resources!$B$1:$H$1503,5,FALSE)-LEN(K163),0))</f>
        <v/>
      </c>
      <c r="M163" s="3" t="str">
        <f>IF(K163="","",IFERROR(matches(K163,VLOOKUP(I163,Resources!$A$2:$AA$1503,16,FALSE)),FALSE))</f>
        <v/>
      </c>
      <c r="N163" s="3" t="e">
        <f>VLOOKUP(E163,Enviroments!$A$3:$D$59,1,FALSE)</f>
        <v>#N/A</v>
      </c>
      <c r="O163" s="3" t="e">
        <f>VLOOKUP(E163,Enviroments!$A$3:$D$59,2,FALSE)</f>
        <v>#N/A</v>
      </c>
      <c r="P163" s="3" t="e">
        <f>VLOOKUP(E163,Enviroments!$A$3:$D$59,3,FALSE)</f>
        <v>#N/A</v>
      </c>
      <c r="Q163" s="3" t="e">
        <f>VLOOKUP(E163,Enviroments!$A$3:$D$59,4,FALSE)</f>
        <v>#N/A</v>
      </c>
      <c r="R163" s="3" t="e">
        <f>VLOOKUP(H163,AzureRegions!$A$4:$B$1493,1,FALSE)</f>
        <v>#N/A</v>
      </c>
      <c r="S163" s="3" t="e">
        <f>VLOOKUP(H163,AzureRegions!$A$4:$B$1493,2,FALSE)</f>
        <v>#N/A</v>
      </c>
      <c r="T163" s="3" t="e">
        <f>VLOOKUP(H163,AzureRegions!$A$4:$C$1493,3,FALSE)</f>
        <v>#N/A</v>
      </c>
      <c r="U163" s="3" t="e">
        <f>VLOOKUP(I163,Resources!$A$2:$AA$1503,2,FALSE)</f>
        <v>#N/A</v>
      </c>
      <c r="V163" s="3" t="e">
        <f>VLOOKUP(I163,Resources!$A$2:$H$1503,6,FALSE)</f>
        <v>#N/A</v>
      </c>
      <c r="W163" s="3" t="str">
        <f>VLOOKUP($H$2,Casing!$A$4:$A$60,1,FALSE)</f>
        <v>Lower</v>
      </c>
      <c r="X163" s="14" t="str">
        <f t="shared" si="5"/>
        <v>001</v>
      </c>
      <c r="Y163" s="3" t="str">
        <f>IFERROR(VLOOKUP(F163,Func!$A$4:$G$1500,2,FALSE),"none")</f>
        <v>none</v>
      </c>
      <c r="Z163" s="3" t="e">
        <f>VLOOKUP(I163,Resources!$A$2:$AA$1503,18,FALSE)</f>
        <v>#N/A</v>
      </c>
      <c r="AA163" s="3" t="str">
        <f>IFERROR(VLOOKUP(B163,Orgs!$A$4:$G$1500,2,FALSE),"none")</f>
        <v>none</v>
      </c>
      <c r="AB163" s="3" t="str">
        <f>IFERROR(VLOOKUP(C163,UnitsDepts!$A$4:$G$1500,2,FALSE),"none")</f>
        <v>none</v>
      </c>
      <c r="AC163" s="3" t="str">
        <f>IFERROR(VLOOKUP(D163,ProjAppSvc!$A$4:$G$1500,2,FALSE),"none")</f>
        <v>none</v>
      </c>
    </row>
    <row r="164" spans="1:29" x14ac:dyDescent="0.45">
      <c r="A164" s="14" t="s">
        <v>23</v>
      </c>
      <c r="B164" s="14"/>
      <c r="C164" s="14"/>
      <c r="D164" s="14"/>
      <c r="H164" s="8"/>
      <c r="I164" s="3"/>
      <c r="J164" s="3" t="str">
        <f t="shared" si="6"/>
        <v/>
      </c>
      <c r="K164" s="3" t="str">
        <f>IF(ISNUMBER(SEARCH("-",V164)),IFERROR(IF($H$2="Lower", LOWER(ComputeResourceName(Z164,#REF!,#REF!,G164,N164,O164,P164,Q164,S164,T164,V164,A164)), UPPER(ComputeResourceName(Z164,#REF!,#REF!,G164,N164,O164,P164,Q164,S164,T164,V164,A164))),""),SUBSTITUTE(IFERROR(IF($H$2="Lower", LOWER(ComputeResourceName(#REF!,#REF!,#REF!,G164,N164,O164,P164,Q164,S164,T164,V164,A164)), UPPER(ComputeResourceName(#REF!,#REF!,#REF!,G164,N164,O164,P164,Q164,S164,T164,V164,A164))),""), "-",""))</f>
        <v/>
      </c>
      <c r="L164" s="3" t="str">
        <f xml:space="preserve"> IF(K164="","",  IFERROR(VLOOKUP(I164,Resources!$B$1:$H$1503,5,FALSE)-LEN(K164),0))</f>
        <v/>
      </c>
      <c r="M164" s="3" t="str">
        <f>IF(K164="","",IFERROR(matches(K164,VLOOKUP(I164,Resources!$A$2:$AA$1503,16,FALSE)),FALSE))</f>
        <v/>
      </c>
      <c r="N164" s="3" t="e">
        <f>VLOOKUP(E164,Enviroments!$A$3:$D$59,1,FALSE)</f>
        <v>#N/A</v>
      </c>
      <c r="O164" s="3" t="e">
        <f>VLOOKUP(E164,Enviroments!$A$3:$D$59,2,FALSE)</f>
        <v>#N/A</v>
      </c>
      <c r="P164" s="3" t="e">
        <f>VLOOKUP(E164,Enviroments!$A$3:$D$59,3,FALSE)</f>
        <v>#N/A</v>
      </c>
      <c r="Q164" s="3" t="e">
        <f>VLOOKUP(E164,Enviroments!$A$3:$D$59,4,FALSE)</f>
        <v>#N/A</v>
      </c>
      <c r="R164" s="3" t="e">
        <f>VLOOKUP(H164,AzureRegions!$A$4:$B$1493,1,FALSE)</f>
        <v>#N/A</v>
      </c>
      <c r="S164" s="3" t="e">
        <f>VLOOKUP(H164,AzureRegions!$A$4:$B$1493,2,FALSE)</f>
        <v>#N/A</v>
      </c>
      <c r="T164" s="3" t="e">
        <f>VLOOKUP(H164,AzureRegions!$A$4:$C$1493,3,FALSE)</f>
        <v>#N/A</v>
      </c>
      <c r="U164" s="3" t="e">
        <f>VLOOKUP(I164,Resources!$A$2:$AA$1503,2,FALSE)</f>
        <v>#N/A</v>
      </c>
      <c r="V164" s="3" t="e">
        <f>VLOOKUP(I164,Resources!$A$2:$H$1503,6,FALSE)</f>
        <v>#N/A</v>
      </c>
      <c r="W164" s="3" t="str">
        <f>VLOOKUP($H$2,Casing!$A$4:$A$60,1,FALSE)</f>
        <v>Lower</v>
      </c>
      <c r="X164" s="14" t="str">
        <f t="shared" si="5"/>
        <v>001</v>
      </c>
      <c r="Y164" s="3" t="str">
        <f>IFERROR(VLOOKUP(F164,Func!$A$4:$G$1500,2,FALSE),"none")</f>
        <v>none</v>
      </c>
      <c r="Z164" s="3" t="e">
        <f>VLOOKUP(I164,Resources!$A$2:$AA$1503,18,FALSE)</f>
        <v>#N/A</v>
      </c>
      <c r="AA164" s="3" t="str">
        <f>IFERROR(VLOOKUP(B164,Orgs!$A$4:$G$1500,2,FALSE),"none")</f>
        <v>none</v>
      </c>
      <c r="AB164" s="3" t="str">
        <f>IFERROR(VLOOKUP(C164,UnitsDepts!$A$4:$G$1500,2,FALSE),"none")</f>
        <v>none</v>
      </c>
      <c r="AC164" s="3" t="str">
        <f>IFERROR(VLOOKUP(D164,ProjAppSvc!$A$4:$G$1500,2,FALSE),"none")</f>
        <v>none</v>
      </c>
    </row>
    <row r="165" spans="1:29" x14ac:dyDescent="0.45">
      <c r="A165" s="14" t="s">
        <v>23</v>
      </c>
      <c r="B165" s="14"/>
      <c r="C165" s="14"/>
      <c r="D165" s="14"/>
      <c r="H165" s="8"/>
      <c r="I165" s="3"/>
      <c r="J165" s="3" t="str">
        <f t="shared" si="6"/>
        <v/>
      </c>
      <c r="K165" s="3" t="str">
        <f>IF(ISNUMBER(SEARCH("-",V165)),IFERROR(IF($H$2="Lower", LOWER(ComputeResourceName(Z165,#REF!,#REF!,G165,N165,O165,P165,Q165,S165,T165,V165,A165)), UPPER(ComputeResourceName(Z165,#REF!,#REF!,G165,N165,O165,P165,Q165,S165,T165,V165,A165))),""),SUBSTITUTE(IFERROR(IF($H$2="Lower", LOWER(ComputeResourceName(#REF!,#REF!,#REF!,G165,N165,O165,P165,Q165,S165,T165,V165,A165)), UPPER(ComputeResourceName(#REF!,#REF!,#REF!,G165,N165,O165,P165,Q165,S165,T165,V165,A165))),""), "-",""))</f>
        <v/>
      </c>
      <c r="L165" s="3" t="str">
        <f xml:space="preserve"> IF(K165="","",  IFERROR(VLOOKUP(I165,Resources!$B$1:$H$1503,5,FALSE)-LEN(K165),0))</f>
        <v/>
      </c>
      <c r="M165" s="3" t="str">
        <f>IF(K165="","",IFERROR(matches(K165,VLOOKUP(I165,Resources!$A$2:$AA$1503,16,FALSE)),FALSE))</f>
        <v/>
      </c>
      <c r="N165" s="3" t="e">
        <f>VLOOKUP(E165,Enviroments!$A$3:$D$59,1,FALSE)</f>
        <v>#N/A</v>
      </c>
      <c r="O165" s="3" t="e">
        <f>VLOOKUP(E165,Enviroments!$A$3:$D$59,2,FALSE)</f>
        <v>#N/A</v>
      </c>
      <c r="P165" s="3" t="e">
        <f>VLOOKUP(E165,Enviroments!$A$3:$D$59,3,FALSE)</f>
        <v>#N/A</v>
      </c>
      <c r="Q165" s="3" t="e">
        <f>VLOOKUP(E165,Enviroments!$A$3:$D$59,4,FALSE)</f>
        <v>#N/A</v>
      </c>
      <c r="R165" s="3" t="e">
        <f>VLOOKUP(H165,AzureRegions!$A$4:$B$1493,1,FALSE)</f>
        <v>#N/A</v>
      </c>
      <c r="S165" s="3" t="e">
        <f>VLOOKUP(H165,AzureRegions!$A$4:$B$1493,2,FALSE)</f>
        <v>#N/A</v>
      </c>
      <c r="T165" s="3" t="e">
        <f>VLOOKUP(H165,AzureRegions!$A$4:$C$1493,3,FALSE)</f>
        <v>#N/A</v>
      </c>
      <c r="U165" s="3" t="e">
        <f>VLOOKUP(I165,Resources!$A$2:$AA$1503,2,FALSE)</f>
        <v>#N/A</v>
      </c>
      <c r="V165" s="3" t="e">
        <f>VLOOKUP(I165,Resources!$A$2:$H$1503,6,FALSE)</f>
        <v>#N/A</v>
      </c>
      <c r="W165" s="3" t="str">
        <f>VLOOKUP($H$2,Casing!$A$4:$A$60,1,FALSE)</f>
        <v>Lower</v>
      </c>
      <c r="X165" s="14" t="str">
        <f t="shared" si="5"/>
        <v>001</v>
      </c>
      <c r="Y165" s="3" t="str">
        <f>IFERROR(VLOOKUP(F165,Func!$A$4:$G$1500,2,FALSE),"none")</f>
        <v>none</v>
      </c>
      <c r="Z165" s="3" t="e">
        <f>VLOOKUP(I165,Resources!$A$2:$AA$1503,18,FALSE)</f>
        <v>#N/A</v>
      </c>
      <c r="AA165" s="3" t="str">
        <f>IFERROR(VLOOKUP(B165,Orgs!$A$4:$G$1500,2,FALSE),"none")</f>
        <v>none</v>
      </c>
      <c r="AB165" s="3" t="str">
        <f>IFERROR(VLOOKUP(C165,UnitsDepts!$A$4:$G$1500,2,FALSE),"none")</f>
        <v>none</v>
      </c>
      <c r="AC165" s="3" t="str">
        <f>IFERROR(VLOOKUP(D165,ProjAppSvc!$A$4:$G$1500,2,FALSE),"none")</f>
        <v>none</v>
      </c>
    </row>
    <row r="166" spans="1:29" x14ac:dyDescent="0.45">
      <c r="A166" s="14" t="s">
        <v>23</v>
      </c>
      <c r="B166" s="14"/>
      <c r="C166" s="14"/>
      <c r="D166" s="14"/>
      <c r="H166" s="8"/>
      <c r="I166" s="3"/>
      <c r="J166" s="3" t="str">
        <f t="shared" si="6"/>
        <v/>
      </c>
      <c r="K166" s="3" t="str">
        <f>IF(ISNUMBER(SEARCH("-",V166)),IFERROR(IF($H$2="Lower", LOWER(ComputeResourceName(Z166,#REF!,#REF!,G166,N166,O166,P166,Q166,S166,T166,V166,A166)), UPPER(ComputeResourceName(Z166,#REF!,#REF!,G166,N166,O166,P166,Q166,S166,T166,V166,A166))),""),SUBSTITUTE(IFERROR(IF($H$2="Lower", LOWER(ComputeResourceName(#REF!,#REF!,#REF!,G166,N166,O166,P166,Q166,S166,T166,V166,A166)), UPPER(ComputeResourceName(#REF!,#REF!,#REF!,G166,N166,O166,P166,Q166,S166,T166,V166,A166))),""), "-",""))</f>
        <v/>
      </c>
      <c r="L166" s="3" t="str">
        <f xml:space="preserve"> IF(K166="","",  IFERROR(VLOOKUP(I166,Resources!$B$1:$H$1503,5,FALSE)-LEN(K166),0))</f>
        <v/>
      </c>
      <c r="M166" s="3" t="str">
        <f>IF(K166="","",IFERROR(matches(K166,VLOOKUP(I166,Resources!$A$2:$AA$1503,16,FALSE)),FALSE))</f>
        <v/>
      </c>
      <c r="N166" s="3" t="e">
        <f>VLOOKUP(E166,Enviroments!$A$3:$D$59,1,FALSE)</f>
        <v>#N/A</v>
      </c>
      <c r="O166" s="3" t="e">
        <f>VLOOKUP(E166,Enviroments!$A$3:$D$59,2,FALSE)</f>
        <v>#N/A</v>
      </c>
      <c r="P166" s="3" t="e">
        <f>VLOOKUP(E166,Enviroments!$A$3:$D$59,3,FALSE)</f>
        <v>#N/A</v>
      </c>
      <c r="Q166" s="3" t="e">
        <f>VLOOKUP(E166,Enviroments!$A$3:$D$59,4,FALSE)</f>
        <v>#N/A</v>
      </c>
      <c r="R166" s="3" t="e">
        <f>VLOOKUP(H166,AzureRegions!$A$4:$B$1493,1,FALSE)</f>
        <v>#N/A</v>
      </c>
      <c r="S166" s="3" t="e">
        <f>VLOOKUP(H166,AzureRegions!$A$4:$B$1493,2,FALSE)</f>
        <v>#N/A</v>
      </c>
      <c r="T166" s="3" t="e">
        <f>VLOOKUP(H166,AzureRegions!$A$4:$C$1493,3,FALSE)</f>
        <v>#N/A</v>
      </c>
      <c r="U166" s="3" t="e">
        <f>VLOOKUP(I166,Resources!$A$2:$AA$1503,2,FALSE)</f>
        <v>#N/A</v>
      </c>
      <c r="V166" s="3" t="e">
        <f>VLOOKUP(I166,Resources!$A$2:$H$1503,6,FALSE)</f>
        <v>#N/A</v>
      </c>
      <c r="W166" s="3" t="str">
        <f>VLOOKUP($H$2,Casing!$A$4:$A$60,1,FALSE)</f>
        <v>Lower</v>
      </c>
      <c r="X166" s="14" t="str">
        <f t="shared" si="5"/>
        <v>001</v>
      </c>
      <c r="Y166" s="3" t="str">
        <f>IFERROR(VLOOKUP(F166,Func!$A$4:$G$1500,2,FALSE),"none")</f>
        <v>none</v>
      </c>
      <c r="Z166" s="3" t="e">
        <f>VLOOKUP(I166,Resources!$A$2:$AA$1503,18,FALSE)</f>
        <v>#N/A</v>
      </c>
      <c r="AA166" s="3" t="str">
        <f>IFERROR(VLOOKUP(B166,Orgs!$A$4:$G$1500,2,FALSE),"none")</f>
        <v>none</v>
      </c>
      <c r="AB166" s="3" t="str">
        <f>IFERROR(VLOOKUP(C166,UnitsDepts!$A$4:$G$1500,2,FALSE),"none")</f>
        <v>none</v>
      </c>
      <c r="AC166" s="3" t="str">
        <f>IFERROR(VLOOKUP(D166,ProjAppSvc!$A$4:$G$1500,2,FALSE),"none")</f>
        <v>none</v>
      </c>
    </row>
    <row r="167" spans="1:29" x14ac:dyDescent="0.45">
      <c r="A167" s="14" t="s">
        <v>23</v>
      </c>
      <c r="B167" s="14"/>
      <c r="C167" s="14"/>
      <c r="D167" s="14"/>
      <c r="H167" s="8"/>
      <c r="I167" s="3"/>
      <c r="J167" s="3" t="str">
        <f t="shared" si="6"/>
        <v/>
      </c>
      <c r="K167" s="3" t="str">
        <f>IF(ISNUMBER(SEARCH("-",V167)),IFERROR(IF($H$2="Lower", LOWER(ComputeResourceName(Z167,#REF!,#REF!,G167,N167,O167,P167,Q167,S167,T167,V167,A167)), UPPER(ComputeResourceName(Z167,#REF!,#REF!,G167,N167,O167,P167,Q167,S167,T167,V167,A167))),""),SUBSTITUTE(IFERROR(IF($H$2="Lower", LOWER(ComputeResourceName(#REF!,#REF!,#REF!,G167,N167,O167,P167,Q167,S167,T167,V167,A167)), UPPER(ComputeResourceName(#REF!,#REF!,#REF!,G167,N167,O167,P167,Q167,S167,T167,V167,A167))),""), "-",""))</f>
        <v/>
      </c>
      <c r="L167" s="3" t="str">
        <f xml:space="preserve"> IF(K167="","",  IFERROR(VLOOKUP(I167,Resources!$B$1:$H$1503,5,FALSE)-LEN(K167),0))</f>
        <v/>
      </c>
      <c r="M167" s="3" t="str">
        <f>IF(K167="","",IFERROR(matches(K167,VLOOKUP(I167,Resources!$A$2:$AA$1503,16,FALSE)),FALSE))</f>
        <v/>
      </c>
      <c r="N167" s="3" t="e">
        <f>VLOOKUP(E167,Enviroments!$A$3:$D$59,1,FALSE)</f>
        <v>#N/A</v>
      </c>
      <c r="O167" s="3" t="e">
        <f>VLOOKUP(E167,Enviroments!$A$3:$D$59,2,FALSE)</f>
        <v>#N/A</v>
      </c>
      <c r="P167" s="3" t="e">
        <f>VLOOKUP(E167,Enviroments!$A$3:$D$59,3,FALSE)</f>
        <v>#N/A</v>
      </c>
      <c r="Q167" s="3" t="e">
        <f>VLOOKUP(E167,Enviroments!$A$3:$D$59,4,FALSE)</f>
        <v>#N/A</v>
      </c>
      <c r="R167" s="3" t="e">
        <f>VLOOKUP(H167,AzureRegions!$A$4:$B$1493,1,FALSE)</f>
        <v>#N/A</v>
      </c>
      <c r="S167" s="3" t="e">
        <f>VLOOKUP(H167,AzureRegions!$A$4:$B$1493,2,FALSE)</f>
        <v>#N/A</v>
      </c>
      <c r="T167" s="3" t="e">
        <f>VLOOKUP(H167,AzureRegions!$A$4:$C$1493,3,FALSE)</f>
        <v>#N/A</v>
      </c>
      <c r="U167" s="3" t="e">
        <f>VLOOKUP(I167,Resources!$A$2:$AA$1503,2,FALSE)</f>
        <v>#N/A</v>
      </c>
      <c r="V167" s="3" t="e">
        <f>VLOOKUP(I167,Resources!$A$2:$H$1503,6,FALSE)</f>
        <v>#N/A</v>
      </c>
      <c r="W167" s="3" t="str">
        <f>VLOOKUP($H$2,Casing!$A$4:$A$60,1,FALSE)</f>
        <v>Lower</v>
      </c>
      <c r="X167" s="14" t="str">
        <f t="shared" si="5"/>
        <v>001</v>
      </c>
      <c r="Y167" s="3" t="str">
        <f>IFERROR(VLOOKUP(F167,Func!$A$4:$G$1500,2,FALSE),"none")</f>
        <v>none</v>
      </c>
      <c r="Z167" s="3" t="e">
        <f>VLOOKUP(I167,Resources!$A$2:$AA$1503,18,FALSE)</f>
        <v>#N/A</v>
      </c>
      <c r="AA167" s="3" t="str">
        <f>IFERROR(VLOOKUP(B167,Orgs!$A$4:$G$1500,2,FALSE),"none")</f>
        <v>none</v>
      </c>
      <c r="AB167" s="3" t="str">
        <f>IFERROR(VLOOKUP(C167,UnitsDepts!$A$4:$G$1500,2,FALSE),"none")</f>
        <v>none</v>
      </c>
      <c r="AC167" s="3" t="str">
        <f>IFERROR(VLOOKUP(D167,ProjAppSvc!$A$4:$G$1500,2,FALSE),"none")</f>
        <v>none</v>
      </c>
    </row>
    <row r="168" spans="1:29" x14ac:dyDescent="0.45">
      <c r="A168" s="14" t="s">
        <v>23</v>
      </c>
      <c r="B168" s="14"/>
      <c r="C168" s="14"/>
      <c r="D168" s="14"/>
      <c r="H168" s="8"/>
      <c r="I168" s="3"/>
      <c r="J168" s="3" t="str">
        <f t="shared" si="6"/>
        <v/>
      </c>
      <c r="K168" s="3" t="str">
        <f>IF(ISNUMBER(SEARCH("-",V168)),IFERROR(IF($H$2="Lower", LOWER(ComputeResourceName(Z168,#REF!,#REF!,G168,N168,O168,P168,Q168,S168,T168,V168,A168)), UPPER(ComputeResourceName(Z168,#REF!,#REF!,G168,N168,O168,P168,Q168,S168,T168,V168,A168))),""),SUBSTITUTE(IFERROR(IF($H$2="Lower", LOWER(ComputeResourceName(#REF!,#REF!,#REF!,G168,N168,O168,P168,Q168,S168,T168,V168,A168)), UPPER(ComputeResourceName(#REF!,#REF!,#REF!,G168,N168,O168,P168,Q168,S168,T168,V168,A168))),""), "-",""))</f>
        <v/>
      </c>
      <c r="L168" s="3" t="str">
        <f xml:space="preserve"> IF(K168="","",  IFERROR(VLOOKUP(I168,Resources!$B$1:$H$1503,5,FALSE)-LEN(K168),0))</f>
        <v/>
      </c>
      <c r="M168" s="3" t="str">
        <f>IF(K168="","",IFERROR(matches(K168,VLOOKUP(I168,Resources!$A$2:$AA$1503,16,FALSE)),FALSE))</f>
        <v/>
      </c>
      <c r="N168" s="3" t="e">
        <f>VLOOKUP(E168,Enviroments!$A$3:$D$59,1,FALSE)</f>
        <v>#N/A</v>
      </c>
      <c r="O168" s="3" t="e">
        <f>VLOOKUP(E168,Enviroments!$A$3:$D$59,2,FALSE)</f>
        <v>#N/A</v>
      </c>
      <c r="P168" s="3" t="e">
        <f>VLOOKUP(E168,Enviroments!$A$3:$D$59,3,FALSE)</f>
        <v>#N/A</v>
      </c>
      <c r="Q168" s="3" t="e">
        <f>VLOOKUP(E168,Enviroments!$A$3:$D$59,4,FALSE)</f>
        <v>#N/A</v>
      </c>
      <c r="R168" s="3" t="e">
        <f>VLOOKUP(H168,AzureRegions!$A$4:$B$1493,1,FALSE)</f>
        <v>#N/A</v>
      </c>
      <c r="S168" s="3" t="e">
        <f>VLOOKUP(H168,AzureRegions!$A$4:$B$1493,2,FALSE)</f>
        <v>#N/A</v>
      </c>
      <c r="T168" s="3" t="e">
        <f>VLOOKUP(H168,AzureRegions!$A$4:$C$1493,3,FALSE)</f>
        <v>#N/A</v>
      </c>
      <c r="U168" s="3" t="e">
        <f>VLOOKUP(I168,Resources!$A$2:$AA$1503,2,FALSE)</f>
        <v>#N/A</v>
      </c>
      <c r="V168" s="3" t="e">
        <f>VLOOKUP(I168,Resources!$A$2:$H$1503,6,FALSE)</f>
        <v>#N/A</v>
      </c>
      <c r="W168" s="3" t="str">
        <f>VLOOKUP($H$2,Casing!$A$4:$A$60,1,FALSE)</f>
        <v>Lower</v>
      </c>
      <c r="X168" s="14" t="str">
        <f t="shared" si="5"/>
        <v>001</v>
      </c>
      <c r="Y168" s="3" t="str">
        <f>IFERROR(VLOOKUP(F168,Func!$A$4:$G$1500,2,FALSE),"none")</f>
        <v>none</v>
      </c>
      <c r="Z168" s="3" t="e">
        <f>VLOOKUP(I168,Resources!$A$2:$AA$1503,18,FALSE)</f>
        <v>#N/A</v>
      </c>
      <c r="AA168" s="3" t="str">
        <f>IFERROR(VLOOKUP(B168,Orgs!$A$4:$G$1500,2,FALSE),"none")</f>
        <v>none</v>
      </c>
      <c r="AB168" s="3" t="str">
        <f>IFERROR(VLOOKUP(C168,UnitsDepts!$A$4:$G$1500,2,FALSE),"none")</f>
        <v>none</v>
      </c>
      <c r="AC168" s="3" t="str">
        <f>IFERROR(VLOOKUP(D168,ProjAppSvc!$A$4:$G$1500,2,FALSE),"none")</f>
        <v>none</v>
      </c>
    </row>
    <row r="169" spans="1:29" x14ac:dyDescent="0.45">
      <c r="A169" s="14" t="s">
        <v>23</v>
      </c>
      <c r="B169" s="14"/>
      <c r="C169" s="14"/>
      <c r="D169" s="14"/>
      <c r="H169" s="8"/>
      <c r="I169" s="3"/>
      <c r="J169" s="3" t="str">
        <f t="shared" si="6"/>
        <v/>
      </c>
      <c r="K169" s="3" t="str">
        <f>IF(ISNUMBER(SEARCH("-",V169)),IFERROR(IF($H$2="Lower", LOWER(ComputeResourceName(Z169,#REF!,#REF!,G169,N169,O169,P169,Q169,S169,T169,V169,A169)), UPPER(ComputeResourceName(Z169,#REF!,#REF!,G169,N169,O169,P169,Q169,S169,T169,V169,A169))),""),SUBSTITUTE(IFERROR(IF($H$2="Lower", LOWER(ComputeResourceName(#REF!,#REF!,#REF!,G169,N169,O169,P169,Q169,S169,T169,V169,A169)), UPPER(ComputeResourceName(#REF!,#REF!,#REF!,G169,N169,O169,P169,Q169,S169,T169,V169,A169))),""), "-",""))</f>
        <v/>
      </c>
      <c r="L169" s="3" t="str">
        <f xml:space="preserve"> IF(K169="","",  IFERROR(VLOOKUP(I169,Resources!$B$1:$H$1503,5,FALSE)-LEN(K169),0))</f>
        <v/>
      </c>
      <c r="M169" s="3" t="str">
        <f>IF(K169="","",IFERROR(matches(K169,VLOOKUP(I169,Resources!$A$2:$AA$1503,16,FALSE)),FALSE))</f>
        <v/>
      </c>
      <c r="N169" s="3" t="e">
        <f>VLOOKUP(E169,Enviroments!$A$3:$D$59,1,FALSE)</f>
        <v>#N/A</v>
      </c>
      <c r="O169" s="3" t="e">
        <f>VLOOKUP(E169,Enviroments!$A$3:$D$59,2,FALSE)</f>
        <v>#N/A</v>
      </c>
      <c r="P169" s="3" t="e">
        <f>VLOOKUP(E169,Enviroments!$A$3:$D$59,3,FALSE)</f>
        <v>#N/A</v>
      </c>
      <c r="Q169" s="3" t="e">
        <f>VLOOKUP(E169,Enviroments!$A$3:$D$59,4,FALSE)</f>
        <v>#N/A</v>
      </c>
      <c r="R169" s="3" t="e">
        <f>VLOOKUP(H169,AzureRegions!$A$4:$B$1493,1,FALSE)</f>
        <v>#N/A</v>
      </c>
      <c r="S169" s="3" t="e">
        <f>VLOOKUP(H169,AzureRegions!$A$4:$B$1493,2,FALSE)</f>
        <v>#N/A</v>
      </c>
      <c r="T169" s="3" t="e">
        <f>VLOOKUP(H169,AzureRegions!$A$4:$C$1493,3,FALSE)</f>
        <v>#N/A</v>
      </c>
      <c r="U169" s="3" t="e">
        <f>VLOOKUP(I169,Resources!$A$2:$AA$1503,2,FALSE)</f>
        <v>#N/A</v>
      </c>
      <c r="V169" s="3" t="e">
        <f>VLOOKUP(I169,Resources!$A$2:$H$1503,6,FALSE)</f>
        <v>#N/A</v>
      </c>
      <c r="W169" s="3" t="str">
        <f>VLOOKUP($H$2,Casing!$A$4:$A$60,1,FALSE)</f>
        <v>Lower</v>
      </c>
      <c r="X169" s="14" t="str">
        <f t="shared" si="5"/>
        <v>001</v>
      </c>
      <c r="Y169" s="3" t="str">
        <f>IFERROR(VLOOKUP(F169,Func!$A$4:$G$1500,2,FALSE),"none")</f>
        <v>none</v>
      </c>
      <c r="Z169" s="3" t="e">
        <f>VLOOKUP(I169,Resources!$A$2:$AA$1503,18,FALSE)</f>
        <v>#N/A</v>
      </c>
      <c r="AA169" s="3" t="str">
        <f>IFERROR(VLOOKUP(B169,Orgs!$A$4:$G$1500,2,FALSE),"none")</f>
        <v>none</v>
      </c>
      <c r="AB169" s="3" t="str">
        <f>IFERROR(VLOOKUP(C169,UnitsDepts!$A$4:$G$1500,2,FALSE),"none")</f>
        <v>none</v>
      </c>
      <c r="AC169" s="3" t="str">
        <f>IFERROR(VLOOKUP(D169,ProjAppSvc!$A$4:$G$1500,2,FALSE),"none")</f>
        <v>none</v>
      </c>
    </row>
    <row r="170" spans="1:29" x14ac:dyDescent="0.45">
      <c r="A170" s="14" t="s">
        <v>23</v>
      </c>
      <c r="B170" s="14"/>
      <c r="C170" s="14"/>
      <c r="D170" s="14"/>
      <c r="H170" s="8"/>
      <c r="I170" s="3"/>
      <c r="J170" s="3" t="str">
        <f t="shared" si="6"/>
        <v/>
      </c>
      <c r="K170" s="3" t="str">
        <f>IF(ISNUMBER(SEARCH("-",V170)),IFERROR(IF($H$2="Lower", LOWER(ComputeResourceName(Z170,#REF!,#REF!,G170,N170,O170,P170,Q170,S170,T170,V170,A170)), UPPER(ComputeResourceName(Z170,#REF!,#REF!,G170,N170,O170,P170,Q170,S170,T170,V170,A170))),""),SUBSTITUTE(IFERROR(IF($H$2="Lower", LOWER(ComputeResourceName(#REF!,#REF!,#REF!,G170,N170,O170,P170,Q170,S170,T170,V170,A170)), UPPER(ComputeResourceName(#REF!,#REF!,#REF!,G170,N170,O170,P170,Q170,S170,T170,V170,A170))),""), "-",""))</f>
        <v/>
      </c>
      <c r="L170" s="3" t="str">
        <f xml:space="preserve"> IF(K170="","",  IFERROR(VLOOKUP(I170,Resources!$B$1:$H$1503,5,FALSE)-LEN(K170),0))</f>
        <v/>
      </c>
      <c r="M170" s="3" t="str">
        <f>IF(K170="","",IFERROR(matches(K170,VLOOKUP(I170,Resources!$A$2:$AA$1503,16,FALSE)),FALSE))</f>
        <v/>
      </c>
      <c r="N170" s="3" t="e">
        <f>VLOOKUP(E170,Enviroments!$A$3:$D$59,1,FALSE)</f>
        <v>#N/A</v>
      </c>
      <c r="O170" s="3" t="e">
        <f>VLOOKUP(E170,Enviroments!$A$3:$D$59,2,FALSE)</f>
        <v>#N/A</v>
      </c>
      <c r="P170" s="3" t="e">
        <f>VLOOKUP(E170,Enviroments!$A$3:$D$59,3,FALSE)</f>
        <v>#N/A</v>
      </c>
      <c r="Q170" s="3" t="e">
        <f>VLOOKUP(E170,Enviroments!$A$3:$D$59,4,FALSE)</f>
        <v>#N/A</v>
      </c>
      <c r="R170" s="3" t="e">
        <f>VLOOKUP(H170,AzureRegions!$A$4:$B$1493,1,FALSE)</f>
        <v>#N/A</v>
      </c>
      <c r="S170" s="3" t="e">
        <f>VLOOKUP(H170,AzureRegions!$A$4:$B$1493,2,FALSE)</f>
        <v>#N/A</v>
      </c>
      <c r="T170" s="3" t="e">
        <f>VLOOKUP(H170,AzureRegions!$A$4:$C$1493,3,FALSE)</f>
        <v>#N/A</v>
      </c>
      <c r="U170" s="3" t="e">
        <f>VLOOKUP(I170,Resources!$A$2:$AA$1503,2,FALSE)</f>
        <v>#N/A</v>
      </c>
      <c r="V170" s="3" t="e">
        <f>VLOOKUP(I170,Resources!$A$2:$H$1503,6,FALSE)</f>
        <v>#N/A</v>
      </c>
      <c r="W170" s="3" t="str">
        <f>VLOOKUP($H$2,Casing!$A$4:$A$60,1,FALSE)</f>
        <v>Lower</v>
      </c>
      <c r="X170" s="14" t="str">
        <f t="shared" si="5"/>
        <v>001</v>
      </c>
      <c r="Y170" s="3" t="str">
        <f>IFERROR(VLOOKUP(F170,Func!$A$4:$G$1500,2,FALSE),"none")</f>
        <v>none</v>
      </c>
      <c r="Z170" s="3" t="e">
        <f>VLOOKUP(I170,Resources!$A$2:$AA$1503,18,FALSE)</f>
        <v>#N/A</v>
      </c>
      <c r="AA170" s="3" t="str">
        <f>IFERROR(VLOOKUP(B170,Orgs!$A$4:$G$1500,2,FALSE),"none")</f>
        <v>none</v>
      </c>
      <c r="AB170" s="3" t="str">
        <f>IFERROR(VLOOKUP(C170,UnitsDepts!$A$4:$G$1500,2,FALSE),"none")</f>
        <v>none</v>
      </c>
      <c r="AC170" s="3" t="str">
        <f>IFERROR(VLOOKUP(D170,ProjAppSvc!$A$4:$G$1500,2,FALSE),"none")</f>
        <v>none</v>
      </c>
    </row>
    <row r="171" spans="1:29" x14ac:dyDescent="0.45">
      <c r="A171" s="14" t="s">
        <v>23</v>
      </c>
      <c r="B171" s="14"/>
      <c r="C171" s="14"/>
      <c r="D171" s="14"/>
      <c r="H171" s="8"/>
      <c r="I171" s="3"/>
      <c r="J171" s="3" t="str">
        <f t="shared" si="6"/>
        <v/>
      </c>
      <c r="K171" s="3" t="str">
        <f>IF(ISNUMBER(SEARCH("-",V171)),IFERROR(IF($H$2="Lower", LOWER(ComputeResourceName(Z171,#REF!,#REF!,G171,N171,O171,P171,Q171,S171,T171,V171,A171)), UPPER(ComputeResourceName(Z171,#REF!,#REF!,G171,N171,O171,P171,Q171,S171,T171,V171,A171))),""),SUBSTITUTE(IFERROR(IF($H$2="Lower", LOWER(ComputeResourceName(#REF!,#REF!,#REF!,G171,N171,O171,P171,Q171,S171,T171,V171,A171)), UPPER(ComputeResourceName(#REF!,#REF!,#REF!,G171,N171,O171,P171,Q171,S171,T171,V171,A171))),""), "-",""))</f>
        <v/>
      </c>
      <c r="L171" s="3" t="str">
        <f xml:space="preserve"> IF(K171="","",  IFERROR(VLOOKUP(I171,Resources!$B$1:$H$1503,5,FALSE)-LEN(K171),0))</f>
        <v/>
      </c>
      <c r="M171" s="3" t="str">
        <f>IF(K171="","",IFERROR(matches(K171,VLOOKUP(I171,Resources!$A$2:$AA$1503,16,FALSE)),FALSE))</f>
        <v/>
      </c>
      <c r="N171" s="3" t="e">
        <f>VLOOKUP(E171,Enviroments!$A$3:$D$59,1,FALSE)</f>
        <v>#N/A</v>
      </c>
      <c r="O171" s="3" t="e">
        <f>VLOOKUP(E171,Enviroments!$A$3:$D$59,2,FALSE)</f>
        <v>#N/A</v>
      </c>
      <c r="P171" s="3" t="e">
        <f>VLOOKUP(E171,Enviroments!$A$3:$D$59,3,FALSE)</f>
        <v>#N/A</v>
      </c>
      <c r="Q171" s="3" t="e">
        <f>VLOOKUP(E171,Enviroments!$A$3:$D$59,4,FALSE)</f>
        <v>#N/A</v>
      </c>
      <c r="R171" s="3" t="e">
        <f>VLOOKUP(H171,AzureRegions!$A$4:$B$1493,1,FALSE)</f>
        <v>#N/A</v>
      </c>
      <c r="S171" s="3" t="e">
        <f>VLOOKUP(H171,AzureRegions!$A$4:$B$1493,2,FALSE)</f>
        <v>#N/A</v>
      </c>
      <c r="T171" s="3" t="e">
        <f>VLOOKUP(H171,AzureRegions!$A$4:$C$1493,3,FALSE)</f>
        <v>#N/A</v>
      </c>
      <c r="U171" s="3" t="e">
        <f>VLOOKUP(I171,Resources!$A$2:$AA$1503,2,FALSE)</f>
        <v>#N/A</v>
      </c>
      <c r="V171" s="3" t="e">
        <f>VLOOKUP(I171,Resources!$A$2:$H$1503,6,FALSE)</f>
        <v>#N/A</v>
      </c>
      <c r="W171" s="3" t="str">
        <f>VLOOKUP($H$2,Casing!$A$4:$A$60,1,FALSE)</f>
        <v>Lower</v>
      </c>
      <c r="X171" s="14" t="str">
        <f t="shared" si="5"/>
        <v>001</v>
      </c>
      <c r="Y171" s="3" t="str">
        <f>IFERROR(VLOOKUP(F171,Func!$A$4:$G$1500,2,FALSE),"none")</f>
        <v>none</v>
      </c>
      <c r="Z171" s="3" t="e">
        <f>VLOOKUP(I171,Resources!$A$2:$AA$1503,18,FALSE)</f>
        <v>#N/A</v>
      </c>
      <c r="AA171" s="3" t="str">
        <f>IFERROR(VLOOKUP(B171,Orgs!$A$4:$G$1500,2,FALSE),"none")</f>
        <v>none</v>
      </c>
      <c r="AB171" s="3" t="str">
        <f>IFERROR(VLOOKUP(C171,UnitsDepts!$A$4:$G$1500,2,FALSE),"none")</f>
        <v>none</v>
      </c>
      <c r="AC171" s="3" t="str">
        <f>IFERROR(VLOOKUP(D171,ProjAppSvc!$A$4:$G$1500,2,FALSE),"none")</f>
        <v>none</v>
      </c>
    </row>
    <row r="172" spans="1:29" x14ac:dyDescent="0.45">
      <c r="A172" s="14" t="s">
        <v>23</v>
      </c>
      <c r="B172" s="14"/>
      <c r="C172" s="14"/>
      <c r="D172" s="14"/>
      <c r="H172" s="8"/>
      <c r="I172" s="3"/>
      <c r="J172" s="3" t="str">
        <f t="shared" si="6"/>
        <v/>
      </c>
      <c r="K172" s="3" t="str">
        <f>IF(ISNUMBER(SEARCH("-",V172)),IFERROR(IF($H$2="Lower", LOWER(ComputeResourceName(Z172,#REF!,#REF!,G172,N172,O172,P172,Q172,S172,T172,V172,A172)), UPPER(ComputeResourceName(Z172,#REF!,#REF!,G172,N172,O172,P172,Q172,S172,T172,V172,A172))),""),SUBSTITUTE(IFERROR(IF($H$2="Lower", LOWER(ComputeResourceName(#REF!,#REF!,#REF!,G172,N172,O172,P172,Q172,S172,T172,V172,A172)), UPPER(ComputeResourceName(#REF!,#REF!,#REF!,G172,N172,O172,P172,Q172,S172,T172,V172,A172))),""), "-",""))</f>
        <v/>
      </c>
      <c r="L172" s="3" t="str">
        <f xml:space="preserve"> IF(K172="","",  IFERROR(VLOOKUP(I172,Resources!$B$1:$H$1503,5,FALSE)-LEN(K172),0))</f>
        <v/>
      </c>
      <c r="M172" s="3" t="str">
        <f>IF(K172="","",IFERROR(matches(K172,VLOOKUP(I172,Resources!$A$2:$AA$1503,16,FALSE)),FALSE))</f>
        <v/>
      </c>
      <c r="N172" s="3" t="e">
        <f>VLOOKUP(E172,Enviroments!$A$3:$D$59,1,FALSE)</f>
        <v>#N/A</v>
      </c>
      <c r="O172" s="3" t="e">
        <f>VLOOKUP(E172,Enviroments!$A$3:$D$59,2,FALSE)</f>
        <v>#N/A</v>
      </c>
      <c r="P172" s="3" t="e">
        <f>VLOOKUP(E172,Enviroments!$A$3:$D$59,3,FALSE)</f>
        <v>#N/A</v>
      </c>
      <c r="Q172" s="3" t="e">
        <f>VLOOKUP(E172,Enviroments!$A$3:$D$59,4,FALSE)</f>
        <v>#N/A</v>
      </c>
      <c r="R172" s="3" t="e">
        <f>VLOOKUP(H172,AzureRegions!$A$4:$B$1493,1,FALSE)</f>
        <v>#N/A</v>
      </c>
      <c r="S172" s="3" t="e">
        <f>VLOOKUP(H172,AzureRegions!$A$4:$B$1493,2,FALSE)</f>
        <v>#N/A</v>
      </c>
      <c r="T172" s="3" t="e">
        <f>VLOOKUP(H172,AzureRegions!$A$4:$C$1493,3,FALSE)</f>
        <v>#N/A</v>
      </c>
      <c r="U172" s="3" t="e">
        <f>VLOOKUP(I172,Resources!$A$2:$AA$1503,2,FALSE)</f>
        <v>#N/A</v>
      </c>
      <c r="V172" s="3" t="e">
        <f>VLOOKUP(I172,Resources!$A$2:$H$1503,6,FALSE)</f>
        <v>#N/A</v>
      </c>
      <c r="W172" s="3" t="str">
        <f>VLOOKUP($H$2,Casing!$A$4:$A$60,1,FALSE)</f>
        <v>Lower</v>
      </c>
      <c r="X172" s="14" t="str">
        <f t="shared" si="5"/>
        <v>001</v>
      </c>
      <c r="Y172" s="3" t="str">
        <f>IFERROR(VLOOKUP(F172,Func!$A$4:$G$1500,2,FALSE),"none")</f>
        <v>none</v>
      </c>
      <c r="Z172" s="3" t="e">
        <f>VLOOKUP(I172,Resources!$A$2:$AA$1503,18,FALSE)</f>
        <v>#N/A</v>
      </c>
      <c r="AA172" s="3" t="str">
        <f>IFERROR(VLOOKUP(B172,Orgs!$A$4:$G$1500,2,FALSE),"none")</f>
        <v>none</v>
      </c>
      <c r="AB172" s="3" t="str">
        <f>IFERROR(VLOOKUP(C172,UnitsDepts!$A$4:$G$1500,2,FALSE),"none")</f>
        <v>none</v>
      </c>
      <c r="AC172" s="3" t="str">
        <f>IFERROR(VLOOKUP(D172,ProjAppSvc!$A$4:$G$1500,2,FALSE),"none")</f>
        <v>none</v>
      </c>
    </row>
    <row r="173" spans="1:29" x14ac:dyDescent="0.45">
      <c r="A173" s="14" t="s">
        <v>23</v>
      </c>
      <c r="B173" s="14"/>
      <c r="C173" s="14"/>
      <c r="D173" s="14"/>
      <c r="H173" s="8"/>
      <c r="I173" s="3"/>
      <c r="J173" s="3" t="str">
        <f t="shared" si="6"/>
        <v/>
      </c>
      <c r="K173" s="3" t="str">
        <f>IF(ISNUMBER(SEARCH("-",V173)),IFERROR(IF($H$2="Lower", LOWER(ComputeResourceName(Z173,#REF!,#REF!,G173,N173,O173,P173,Q173,S173,T173,V173,A173)), UPPER(ComputeResourceName(Z173,#REF!,#REF!,G173,N173,O173,P173,Q173,S173,T173,V173,A173))),""),SUBSTITUTE(IFERROR(IF($H$2="Lower", LOWER(ComputeResourceName(#REF!,#REF!,#REF!,G173,N173,O173,P173,Q173,S173,T173,V173,A173)), UPPER(ComputeResourceName(#REF!,#REF!,#REF!,G173,N173,O173,P173,Q173,S173,T173,V173,A173))),""), "-",""))</f>
        <v/>
      </c>
      <c r="L173" s="3" t="str">
        <f xml:space="preserve"> IF(K173="","",  IFERROR(VLOOKUP(I173,Resources!$B$1:$H$1503,5,FALSE)-LEN(K173),0))</f>
        <v/>
      </c>
      <c r="M173" s="3" t="str">
        <f>IF(K173="","",IFERROR(matches(K173,VLOOKUP(I173,Resources!$A$2:$AA$1503,16,FALSE)),FALSE))</f>
        <v/>
      </c>
      <c r="N173" s="3" t="e">
        <f>VLOOKUP(E173,Enviroments!$A$3:$D$59,1,FALSE)</f>
        <v>#N/A</v>
      </c>
      <c r="O173" s="3" t="e">
        <f>VLOOKUP(E173,Enviroments!$A$3:$D$59,2,FALSE)</f>
        <v>#N/A</v>
      </c>
      <c r="P173" s="3" t="e">
        <f>VLOOKUP(E173,Enviroments!$A$3:$D$59,3,FALSE)</f>
        <v>#N/A</v>
      </c>
      <c r="Q173" s="3" t="e">
        <f>VLOOKUP(E173,Enviroments!$A$3:$D$59,4,FALSE)</f>
        <v>#N/A</v>
      </c>
      <c r="R173" s="3" t="e">
        <f>VLOOKUP(H173,AzureRegions!$A$4:$B$1493,1,FALSE)</f>
        <v>#N/A</v>
      </c>
      <c r="S173" s="3" t="e">
        <f>VLOOKUP(H173,AzureRegions!$A$4:$B$1493,2,FALSE)</f>
        <v>#N/A</v>
      </c>
      <c r="T173" s="3" t="e">
        <f>VLOOKUP(H173,AzureRegions!$A$4:$C$1493,3,FALSE)</f>
        <v>#N/A</v>
      </c>
      <c r="U173" s="3" t="e">
        <f>VLOOKUP(I173,Resources!$A$2:$AA$1503,2,FALSE)</f>
        <v>#N/A</v>
      </c>
      <c r="V173" s="3" t="e">
        <f>VLOOKUP(I173,Resources!$A$2:$H$1503,6,FALSE)</f>
        <v>#N/A</v>
      </c>
      <c r="W173" s="3" t="str">
        <f>VLOOKUP($H$2,Casing!$A$4:$A$60,1,FALSE)</f>
        <v>Lower</v>
      </c>
      <c r="X173" s="14" t="str">
        <f t="shared" si="5"/>
        <v>001</v>
      </c>
      <c r="Y173" s="3" t="str">
        <f>IFERROR(VLOOKUP(F173,Func!$A$4:$G$1500,2,FALSE),"none")</f>
        <v>none</v>
      </c>
      <c r="Z173" s="3" t="e">
        <f>VLOOKUP(I173,Resources!$A$2:$AA$1503,18,FALSE)</f>
        <v>#N/A</v>
      </c>
      <c r="AA173" s="3" t="str">
        <f>IFERROR(VLOOKUP(B173,Orgs!$A$4:$G$1500,2,FALSE),"none")</f>
        <v>none</v>
      </c>
      <c r="AB173" s="3" t="str">
        <f>IFERROR(VLOOKUP(C173,UnitsDepts!$A$4:$G$1500,2,FALSE),"none")</f>
        <v>none</v>
      </c>
      <c r="AC173" s="3" t="str">
        <f>IFERROR(VLOOKUP(D173,ProjAppSvc!$A$4:$G$1500,2,FALSE),"none")</f>
        <v>none</v>
      </c>
    </row>
    <row r="174" spans="1:29" x14ac:dyDescent="0.45">
      <c r="A174" s="14" t="s">
        <v>23</v>
      </c>
      <c r="B174" s="14"/>
      <c r="C174" s="14"/>
      <c r="D174" s="14"/>
      <c r="H174" s="8"/>
      <c r="I174" s="3"/>
      <c r="J174" s="3" t="str">
        <f t="shared" si="6"/>
        <v/>
      </c>
      <c r="K174" s="3" t="str">
        <f>IF(ISNUMBER(SEARCH("-",V174)),IFERROR(IF($H$2="Lower", LOWER(ComputeResourceName(Z174,#REF!,#REF!,G174,N174,O174,P174,Q174,S174,T174,V174,A174)), UPPER(ComputeResourceName(Z174,#REF!,#REF!,G174,N174,O174,P174,Q174,S174,T174,V174,A174))),""),SUBSTITUTE(IFERROR(IF($H$2="Lower", LOWER(ComputeResourceName(#REF!,#REF!,#REF!,G174,N174,O174,P174,Q174,S174,T174,V174,A174)), UPPER(ComputeResourceName(#REF!,#REF!,#REF!,G174,N174,O174,P174,Q174,S174,T174,V174,A174))),""), "-",""))</f>
        <v/>
      </c>
      <c r="L174" s="3" t="str">
        <f xml:space="preserve"> IF(K174="","",  IFERROR(VLOOKUP(I174,Resources!$B$1:$H$1503,5,FALSE)-LEN(K174),0))</f>
        <v/>
      </c>
      <c r="M174" s="3" t="str">
        <f>IF(K174="","",IFERROR(matches(K174,VLOOKUP(I174,Resources!$A$2:$AA$1503,16,FALSE)),FALSE))</f>
        <v/>
      </c>
      <c r="N174" s="3" t="e">
        <f>VLOOKUP(E174,Enviroments!$A$3:$D$59,1,FALSE)</f>
        <v>#N/A</v>
      </c>
      <c r="O174" s="3" t="e">
        <f>VLOOKUP(E174,Enviroments!$A$3:$D$59,2,FALSE)</f>
        <v>#N/A</v>
      </c>
      <c r="P174" s="3" t="e">
        <f>VLOOKUP(E174,Enviroments!$A$3:$D$59,3,FALSE)</f>
        <v>#N/A</v>
      </c>
      <c r="Q174" s="3" t="e">
        <f>VLOOKUP(E174,Enviroments!$A$3:$D$59,4,FALSE)</f>
        <v>#N/A</v>
      </c>
      <c r="R174" s="3" t="e">
        <f>VLOOKUP(H174,AzureRegions!$A$4:$B$1493,1,FALSE)</f>
        <v>#N/A</v>
      </c>
      <c r="S174" s="3" t="e">
        <f>VLOOKUP(H174,AzureRegions!$A$4:$B$1493,2,FALSE)</f>
        <v>#N/A</v>
      </c>
      <c r="T174" s="3" t="e">
        <f>VLOOKUP(H174,AzureRegions!$A$4:$C$1493,3,FALSE)</f>
        <v>#N/A</v>
      </c>
      <c r="U174" s="3" t="e">
        <f>VLOOKUP(I174,Resources!$A$2:$AA$1503,2,FALSE)</f>
        <v>#N/A</v>
      </c>
      <c r="V174" s="3" t="e">
        <f>VLOOKUP(I174,Resources!$A$2:$H$1503,6,FALSE)</f>
        <v>#N/A</v>
      </c>
      <c r="W174" s="3" t="str">
        <f>VLOOKUP($H$2,Casing!$A$4:$A$60,1,FALSE)</f>
        <v>Lower</v>
      </c>
      <c r="X174" s="14" t="str">
        <f t="shared" si="5"/>
        <v>001</v>
      </c>
      <c r="Y174" s="3" t="str">
        <f>IFERROR(VLOOKUP(F174,Func!$A$4:$G$1500,2,FALSE),"none")</f>
        <v>none</v>
      </c>
      <c r="Z174" s="3" t="e">
        <f>VLOOKUP(I174,Resources!$A$2:$AA$1503,18,FALSE)</f>
        <v>#N/A</v>
      </c>
      <c r="AA174" s="3" t="str">
        <f>IFERROR(VLOOKUP(B174,Orgs!$A$4:$G$1500,2,FALSE),"none")</f>
        <v>none</v>
      </c>
      <c r="AB174" s="3" t="str">
        <f>IFERROR(VLOOKUP(C174,UnitsDepts!$A$4:$G$1500,2,FALSE),"none")</f>
        <v>none</v>
      </c>
      <c r="AC174" s="3" t="str">
        <f>IFERROR(VLOOKUP(D174,ProjAppSvc!$A$4:$G$1500,2,FALSE),"none")</f>
        <v>none</v>
      </c>
    </row>
    <row r="175" spans="1:29" x14ac:dyDescent="0.45">
      <c r="A175" s="14" t="s">
        <v>23</v>
      </c>
      <c r="B175" s="14"/>
      <c r="C175" s="14"/>
      <c r="D175" s="14"/>
      <c r="H175" s="8"/>
      <c r="I175" s="3"/>
      <c r="J175" s="3" t="str">
        <f t="shared" si="6"/>
        <v/>
      </c>
      <c r="K175" s="3" t="str">
        <f>IF(ISNUMBER(SEARCH("-",V175)),IFERROR(IF($H$2="Lower", LOWER(ComputeResourceName(Z175,#REF!,#REF!,G175,N175,O175,P175,Q175,S175,T175,V175,A175)), UPPER(ComputeResourceName(Z175,#REF!,#REF!,G175,N175,O175,P175,Q175,S175,T175,V175,A175))),""),SUBSTITUTE(IFERROR(IF($H$2="Lower", LOWER(ComputeResourceName(#REF!,#REF!,#REF!,G175,N175,O175,P175,Q175,S175,T175,V175,A175)), UPPER(ComputeResourceName(#REF!,#REF!,#REF!,G175,N175,O175,P175,Q175,S175,T175,V175,A175))),""), "-",""))</f>
        <v/>
      </c>
      <c r="L175" s="3" t="str">
        <f xml:space="preserve"> IF(K175="","",  IFERROR(VLOOKUP(I175,Resources!$B$1:$H$1503,5,FALSE)-LEN(K175),0))</f>
        <v/>
      </c>
      <c r="M175" s="3" t="str">
        <f>IF(K175="","",IFERROR(matches(K175,VLOOKUP(I175,Resources!$A$2:$AA$1503,16,FALSE)),FALSE))</f>
        <v/>
      </c>
      <c r="N175" s="3" t="e">
        <f>VLOOKUP(E175,Enviroments!$A$3:$D$59,1,FALSE)</f>
        <v>#N/A</v>
      </c>
      <c r="O175" s="3" t="e">
        <f>VLOOKUP(E175,Enviroments!$A$3:$D$59,2,FALSE)</f>
        <v>#N/A</v>
      </c>
      <c r="P175" s="3" t="e">
        <f>VLOOKUP(E175,Enviroments!$A$3:$D$59,3,FALSE)</f>
        <v>#N/A</v>
      </c>
      <c r="Q175" s="3" t="e">
        <f>VLOOKUP(E175,Enviroments!$A$3:$D$59,4,FALSE)</f>
        <v>#N/A</v>
      </c>
      <c r="R175" s="3" t="e">
        <f>VLOOKUP(H175,AzureRegions!$A$4:$B$1493,1,FALSE)</f>
        <v>#N/A</v>
      </c>
      <c r="S175" s="3" t="e">
        <f>VLOOKUP(H175,AzureRegions!$A$4:$B$1493,2,FALSE)</f>
        <v>#N/A</v>
      </c>
      <c r="T175" s="3" t="e">
        <f>VLOOKUP(H175,AzureRegions!$A$4:$C$1493,3,FALSE)</f>
        <v>#N/A</v>
      </c>
      <c r="U175" s="3" t="e">
        <f>VLOOKUP(I175,Resources!$A$2:$AA$1503,2,FALSE)</f>
        <v>#N/A</v>
      </c>
      <c r="V175" s="3" t="e">
        <f>VLOOKUP(I175,Resources!$A$2:$H$1503,6,FALSE)</f>
        <v>#N/A</v>
      </c>
      <c r="W175" s="3" t="str">
        <f>VLOOKUP($H$2,Casing!$A$4:$A$60,1,FALSE)</f>
        <v>Lower</v>
      </c>
      <c r="X175" s="14" t="str">
        <f t="shared" si="5"/>
        <v>001</v>
      </c>
      <c r="Y175" s="3" t="str">
        <f>IFERROR(VLOOKUP(F175,Func!$A$4:$G$1500,2,FALSE),"none")</f>
        <v>none</v>
      </c>
      <c r="Z175" s="3" t="e">
        <f>VLOOKUP(I175,Resources!$A$2:$AA$1503,18,FALSE)</f>
        <v>#N/A</v>
      </c>
      <c r="AA175" s="3" t="str">
        <f>IFERROR(VLOOKUP(B175,Orgs!$A$4:$G$1500,2,FALSE),"none")</f>
        <v>none</v>
      </c>
      <c r="AB175" s="3" t="str">
        <f>IFERROR(VLOOKUP(C175,UnitsDepts!$A$4:$G$1500,2,FALSE),"none")</f>
        <v>none</v>
      </c>
      <c r="AC175" s="3" t="str">
        <f>IFERROR(VLOOKUP(D175,ProjAppSvc!$A$4:$G$1500,2,FALSE),"none")</f>
        <v>none</v>
      </c>
    </row>
    <row r="176" spans="1:29" x14ac:dyDescent="0.45">
      <c r="A176" s="14" t="s">
        <v>23</v>
      </c>
      <c r="B176" s="14"/>
      <c r="C176" s="14"/>
      <c r="D176" s="14"/>
      <c r="H176" s="8"/>
      <c r="I176" s="3"/>
      <c r="J176" s="3" t="str">
        <f t="shared" si="6"/>
        <v/>
      </c>
      <c r="K176" s="3" t="str">
        <f>IF(ISNUMBER(SEARCH("-",V176)),IFERROR(IF($H$2="Lower", LOWER(ComputeResourceName(Z176,#REF!,#REF!,G176,N176,O176,P176,Q176,S176,T176,V176,A176)), UPPER(ComputeResourceName(Z176,#REF!,#REF!,G176,N176,O176,P176,Q176,S176,T176,V176,A176))),""),SUBSTITUTE(IFERROR(IF($H$2="Lower", LOWER(ComputeResourceName(#REF!,#REF!,#REF!,G176,N176,O176,P176,Q176,S176,T176,V176,A176)), UPPER(ComputeResourceName(#REF!,#REF!,#REF!,G176,N176,O176,P176,Q176,S176,T176,V176,A176))),""), "-",""))</f>
        <v/>
      </c>
      <c r="L176" s="3" t="str">
        <f xml:space="preserve"> IF(K176="","",  IFERROR(VLOOKUP(I176,Resources!$B$1:$H$1503,5,FALSE)-LEN(K176),0))</f>
        <v/>
      </c>
      <c r="M176" s="3" t="str">
        <f>IF(K176="","",IFERROR(matches(K176,VLOOKUP(I176,Resources!$A$2:$AA$1503,16,FALSE)),FALSE))</f>
        <v/>
      </c>
      <c r="N176" s="3" t="e">
        <f>VLOOKUP(E176,Enviroments!$A$3:$D$59,1,FALSE)</f>
        <v>#N/A</v>
      </c>
      <c r="O176" s="3" t="e">
        <f>VLOOKUP(E176,Enviroments!$A$3:$D$59,2,FALSE)</f>
        <v>#N/A</v>
      </c>
      <c r="P176" s="3" t="e">
        <f>VLOOKUP(E176,Enviroments!$A$3:$D$59,3,FALSE)</f>
        <v>#N/A</v>
      </c>
      <c r="Q176" s="3" t="e">
        <f>VLOOKUP(E176,Enviroments!$A$3:$D$59,4,FALSE)</f>
        <v>#N/A</v>
      </c>
      <c r="R176" s="3" t="e">
        <f>VLOOKUP(H176,AzureRegions!$A$4:$B$1493,1,FALSE)</f>
        <v>#N/A</v>
      </c>
      <c r="S176" s="3" t="e">
        <f>VLOOKUP(H176,AzureRegions!$A$4:$B$1493,2,FALSE)</f>
        <v>#N/A</v>
      </c>
      <c r="T176" s="3" t="e">
        <f>VLOOKUP(H176,AzureRegions!$A$4:$C$1493,3,FALSE)</f>
        <v>#N/A</v>
      </c>
      <c r="U176" s="3" t="e">
        <f>VLOOKUP(I176,Resources!$A$2:$AA$1503,2,FALSE)</f>
        <v>#N/A</v>
      </c>
      <c r="V176" s="3" t="e">
        <f>VLOOKUP(I176,Resources!$A$2:$H$1503,6,FALSE)</f>
        <v>#N/A</v>
      </c>
      <c r="W176" s="3" t="str">
        <f>VLOOKUP($H$2,Casing!$A$4:$A$60,1,FALSE)</f>
        <v>Lower</v>
      </c>
      <c r="X176" s="14" t="str">
        <f t="shared" si="5"/>
        <v>001</v>
      </c>
      <c r="Y176" s="3" t="str">
        <f>IFERROR(VLOOKUP(F176,Func!$A$4:$G$1500,2,FALSE),"none")</f>
        <v>none</v>
      </c>
      <c r="Z176" s="3" t="e">
        <f>VLOOKUP(I176,Resources!$A$2:$AA$1503,18,FALSE)</f>
        <v>#N/A</v>
      </c>
      <c r="AA176" s="3" t="str">
        <f>IFERROR(VLOOKUP(B176,Orgs!$A$4:$G$1500,2,FALSE),"none")</f>
        <v>none</v>
      </c>
      <c r="AB176" s="3" t="str">
        <f>IFERROR(VLOOKUP(C176,UnitsDepts!$A$4:$G$1500,2,FALSE),"none")</f>
        <v>none</v>
      </c>
      <c r="AC176" s="3" t="str">
        <f>IFERROR(VLOOKUP(D176,ProjAppSvc!$A$4:$G$1500,2,FALSE),"none")</f>
        <v>none</v>
      </c>
    </row>
    <row r="177" spans="1:29" x14ac:dyDescent="0.45">
      <c r="A177" s="14" t="s">
        <v>23</v>
      </c>
      <c r="B177" s="14"/>
      <c r="C177" s="14"/>
      <c r="D177" s="14"/>
      <c r="H177" s="8"/>
      <c r="I177" s="3"/>
      <c r="J177" s="3" t="str">
        <f t="shared" si="6"/>
        <v/>
      </c>
      <c r="K177" s="3" t="str">
        <f>IF(ISNUMBER(SEARCH("-",V177)),IFERROR(IF($H$2="Lower", LOWER(ComputeResourceName(Z177,#REF!,#REF!,G177,N177,O177,P177,Q177,S177,T177,V177,A177)), UPPER(ComputeResourceName(Z177,#REF!,#REF!,G177,N177,O177,P177,Q177,S177,T177,V177,A177))),""),SUBSTITUTE(IFERROR(IF($H$2="Lower", LOWER(ComputeResourceName(#REF!,#REF!,#REF!,G177,N177,O177,P177,Q177,S177,T177,V177,A177)), UPPER(ComputeResourceName(#REF!,#REF!,#REF!,G177,N177,O177,P177,Q177,S177,T177,V177,A177))),""), "-",""))</f>
        <v/>
      </c>
      <c r="L177" s="3" t="str">
        <f xml:space="preserve"> IF(K177="","",  IFERROR(VLOOKUP(I177,Resources!$B$1:$H$1503,5,FALSE)-LEN(K177),0))</f>
        <v/>
      </c>
      <c r="M177" s="3" t="str">
        <f>IF(K177="","",IFERROR(matches(K177,VLOOKUP(I177,Resources!$A$2:$AA$1503,16,FALSE)),FALSE))</f>
        <v/>
      </c>
      <c r="N177" s="3" t="e">
        <f>VLOOKUP(E177,Enviroments!$A$3:$D$59,1,FALSE)</f>
        <v>#N/A</v>
      </c>
      <c r="O177" s="3" t="e">
        <f>VLOOKUP(E177,Enviroments!$A$3:$D$59,2,FALSE)</f>
        <v>#N/A</v>
      </c>
      <c r="P177" s="3" t="e">
        <f>VLOOKUP(E177,Enviroments!$A$3:$D$59,3,FALSE)</f>
        <v>#N/A</v>
      </c>
      <c r="Q177" s="3" t="e">
        <f>VLOOKUP(E177,Enviroments!$A$3:$D$59,4,FALSE)</f>
        <v>#N/A</v>
      </c>
      <c r="R177" s="3" t="e">
        <f>VLOOKUP(H177,AzureRegions!$A$4:$B$1493,1,FALSE)</f>
        <v>#N/A</v>
      </c>
      <c r="S177" s="3" t="e">
        <f>VLOOKUP(H177,AzureRegions!$A$4:$B$1493,2,FALSE)</f>
        <v>#N/A</v>
      </c>
      <c r="T177" s="3" t="e">
        <f>VLOOKUP(H177,AzureRegions!$A$4:$C$1493,3,FALSE)</f>
        <v>#N/A</v>
      </c>
      <c r="U177" s="3" t="e">
        <f>VLOOKUP(I177,Resources!$A$2:$AA$1503,2,FALSE)</f>
        <v>#N/A</v>
      </c>
      <c r="V177" s="3" t="e">
        <f>VLOOKUP(I177,Resources!$A$2:$H$1503,6,FALSE)</f>
        <v>#N/A</v>
      </c>
      <c r="W177" s="3" t="str">
        <f>VLOOKUP($H$2,Casing!$A$4:$A$60,1,FALSE)</f>
        <v>Lower</v>
      </c>
      <c r="X177" s="14" t="str">
        <f t="shared" si="5"/>
        <v>001</v>
      </c>
      <c r="Y177" s="3" t="str">
        <f>IFERROR(VLOOKUP(F177,Func!$A$4:$G$1500,2,FALSE),"none")</f>
        <v>none</v>
      </c>
      <c r="Z177" s="3" t="e">
        <f>VLOOKUP(I177,Resources!$A$2:$AA$1503,18,FALSE)</f>
        <v>#N/A</v>
      </c>
      <c r="AA177" s="3" t="str">
        <f>IFERROR(VLOOKUP(B177,Orgs!$A$4:$G$1500,2,FALSE),"none")</f>
        <v>none</v>
      </c>
      <c r="AB177" s="3" t="str">
        <f>IFERROR(VLOOKUP(C177,UnitsDepts!$A$4:$G$1500,2,FALSE),"none")</f>
        <v>none</v>
      </c>
      <c r="AC177" s="3" t="str">
        <f>IFERROR(VLOOKUP(D177,ProjAppSvc!$A$4:$G$1500,2,FALSE),"none")</f>
        <v>none</v>
      </c>
    </row>
    <row r="178" spans="1:29" x14ac:dyDescent="0.45">
      <c r="A178" s="14" t="s">
        <v>23</v>
      </c>
      <c r="B178" s="14"/>
      <c r="C178" s="14"/>
      <c r="D178" s="14"/>
      <c r="H178" s="8"/>
      <c r="I178" s="3"/>
      <c r="J178" s="3" t="str">
        <f t="shared" si="6"/>
        <v/>
      </c>
      <c r="K178" s="3" t="str">
        <f>IF(ISNUMBER(SEARCH("-",V178)),IFERROR(IF($H$2="Lower", LOWER(ComputeResourceName(Z178,#REF!,#REF!,G178,N178,O178,P178,Q178,S178,T178,V178,A178)), UPPER(ComputeResourceName(Z178,#REF!,#REF!,G178,N178,O178,P178,Q178,S178,T178,V178,A178))),""),SUBSTITUTE(IFERROR(IF($H$2="Lower", LOWER(ComputeResourceName(#REF!,#REF!,#REF!,G178,N178,O178,P178,Q178,S178,T178,V178,A178)), UPPER(ComputeResourceName(#REF!,#REF!,#REF!,G178,N178,O178,P178,Q178,S178,T178,V178,A178))),""), "-",""))</f>
        <v/>
      </c>
      <c r="L178" s="3" t="str">
        <f xml:space="preserve"> IF(K178="","",  IFERROR(VLOOKUP(I178,Resources!$B$1:$H$1503,5,FALSE)-LEN(K178),0))</f>
        <v/>
      </c>
      <c r="M178" s="3" t="str">
        <f>IF(K178="","",IFERROR(matches(K178,VLOOKUP(I178,Resources!$A$2:$AA$1503,16,FALSE)),FALSE))</f>
        <v/>
      </c>
      <c r="N178" s="3" t="e">
        <f>VLOOKUP(E178,Enviroments!$A$3:$D$59,1,FALSE)</f>
        <v>#N/A</v>
      </c>
      <c r="O178" s="3" t="e">
        <f>VLOOKUP(E178,Enviroments!$A$3:$D$59,2,FALSE)</f>
        <v>#N/A</v>
      </c>
      <c r="P178" s="3" t="e">
        <f>VLOOKUP(E178,Enviroments!$A$3:$D$59,3,FALSE)</f>
        <v>#N/A</v>
      </c>
      <c r="Q178" s="3" t="e">
        <f>VLOOKUP(E178,Enviroments!$A$3:$D$59,4,FALSE)</f>
        <v>#N/A</v>
      </c>
      <c r="R178" s="3" t="e">
        <f>VLOOKUP(H178,AzureRegions!$A$4:$B$1493,1,FALSE)</f>
        <v>#N/A</v>
      </c>
      <c r="S178" s="3" t="e">
        <f>VLOOKUP(H178,AzureRegions!$A$4:$B$1493,2,FALSE)</f>
        <v>#N/A</v>
      </c>
      <c r="T178" s="3" t="e">
        <f>VLOOKUP(H178,AzureRegions!$A$4:$C$1493,3,FALSE)</f>
        <v>#N/A</v>
      </c>
      <c r="U178" s="3" t="e">
        <f>VLOOKUP(I178,Resources!$A$2:$AA$1503,2,FALSE)</f>
        <v>#N/A</v>
      </c>
      <c r="V178" s="3" t="e">
        <f>VLOOKUP(I178,Resources!$A$2:$H$1503,6,FALSE)</f>
        <v>#N/A</v>
      </c>
      <c r="W178" s="3" t="str">
        <f>VLOOKUP($H$2,Casing!$A$4:$A$60,1,FALSE)</f>
        <v>Lower</v>
      </c>
      <c r="X178" s="14" t="str">
        <f t="shared" si="5"/>
        <v>001</v>
      </c>
      <c r="Y178" s="3" t="str">
        <f>IFERROR(VLOOKUP(F178,Func!$A$4:$G$1500,2,FALSE),"none")</f>
        <v>none</v>
      </c>
      <c r="Z178" s="3" t="e">
        <f>VLOOKUP(I178,Resources!$A$2:$AA$1503,18,FALSE)</f>
        <v>#N/A</v>
      </c>
      <c r="AA178" s="3" t="str">
        <f>IFERROR(VLOOKUP(B178,Orgs!$A$4:$G$1500,2,FALSE),"none")</f>
        <v>none</v>
      </c>
      <c r="AB178" s="3" t="str">
        <f>IFERROR(VLOOKUP(C178,UnitsDepts!$A$4:$G$1500,2,FALSE),"none")</f>
        <v>none</v>
      </c>
      <c r="AC178" s="3" t="str">
        <f>IFERROR(VLOOKUP(D178,ProjAppSvc!$A$4:$G$1500,2,FALSE),"none")</f>
        <v>none</v>
      </c>
    </row>
    <row r="179" spans="1:29" x14ac:dyDescent="0.45">
      <c r="A179" s="14" t="s">
        <v>23</v>
      </c>
      <c r="B179" s="14"/>
      <c r="C179" s="14"/>
      <c r="D179" s="14"/>
      <c r="H179" s="8"/>
      <c r="I179" s="3"/>
      <c r="J179" s="3" t="str">
        <f t="shared" si="6"/>
        <v/>
      </c>
      <c r="K179" s="3" t="str">
        <f>IF(ISNUMBER(SEARCH("-",V179)),IFERROR(IF($H$2="Lower", LOWER(ComputeResourceName(Z179,#REF!,#REF!,G179,N179,O179,P179,Q179,S179,T179,V179,A179)), UPPER(ComputeResourceName(Z179,#REF!,#REF!,G179,N179,O179,P179,Q179,S179,T179,V179,A179))),""),SUBSTITUTE(IFERROR(IF($H$2="Lower", LOWER(ComputeResourceName(#REF!,#REF!,#REF!,G179,N179,O179,P179,Q179,S179,T179,V179,A179)), UPPER(ComputeResourceName(#REF!,#REF!,#REF!,G179,N179,O179,P179,Q179,S179,T179,V179,A179))),""), "-",""))</f>
        <v/>
      </c>
      <c r="L179" s="3" t="str">
        <f xml:space="preserve"> IF(K179="","",  IFERROR(VLOOKUP(I179,Resources!$B$1:$H$1503,5,FALSE)-LEN(K179),0))</f>
        <v/>
      </c>
      <c r="M179" s="3" t="str">
        <f>IF(K179="","",IFERROR(matches(K179,VLOOKUP(I179,Resources!$A$2:$AA$1503,16,FALSE)),FALSE))</f>
        <v/>
      </c>
      <c r="N179" s="3" t="e">
        <f>VLOOKUP(E179,Enviroments!$A$3:$D$59,1,FALSE)</f>
        <v>#N/A</v>
      </c>
      <c r="O179" s="3" t="e">
        <f>VLOOKUP(E179,Enviroments!$A$3:$D$59,2,FALSE)</f>
        <v>#N/A</v>
      </c>
      <c r="P179" s="3" t="e">
        <f>VLOOKUP(E179,Enviroments!$A$3:$D$59,3,FALSE)</f>
        <v>#N/A</v>
      </c>
      <c r="Q179" s="3" t="e">
        <f>VLOOKUP(E179,Enviroments!$A$3:$D$59,4,FALSE)</f>
        <v>#N/A</v>
      </c>
      <c r="R179" s="3" t="e">
        <f>VLOOKUP(H179,AzureRegions!$A$4:$B$1493,1,FALSE)</f>
        <v>#N/A</v>
      </c>
      <c r="S179" s="3" t="e">
        <f>VLOOKUP(H179,AzureRegions!$A$4:$B$1493,2,FALSE)</f>
        <v>#N/A</v>
      </c>
      <c r="T179" s="3" t="e">
        <f>VLOOKUP(H179,AzureRegions!$A$4:$C$1493,3,FALSE)</f>
        <v>#N/A</v>
      </c>
      <c r="U179" s="3" t="e">
        <f>VLOOKUP(I179,Resources!$A$2:$AA$1503,2,FALSE)</f>
        <v>#N/A</v>
      </c>
      <c r="V179" s="3" t="e">
        <f>VLOOKUP(I179,Resources!$A$2:$H$1503,6,FALSE)</f>
        <v>#N/A</v>
      </c>
      <c r="W179" s="3" t="str">
        <f>VLOOKUP($H$2,Casing!$A$4:$A$60,1,FALSE)</f>
        <v>Lower</v>
      </c>
      <c r="X179" s="14" t="str">
        <f t="shared" si="5"/>
        <v>001</v>
      </c>
      <c r="Y179" s="3" t="str">
        <f>IFERROR(VLOOKUP(F179,Func!$A$4:$G$1500,2,FALSE),"none")</f>
        <v>none</v>
      </c>
      <c r="Z179" s="3" t="e">
        <f>VLOOKUP(I179,Resources!$A$2:$AA$1503,18,FALSE)</f>
        <v>#N/A</v>
      </c>
      <c r="AA179" s="3" t="str">
        <f>IFERROR(VLOOKUP(B179,Orgs!$A$4:$G$1500,2,FALSE),"none")</f>
        <v>none</v>
      </c>
      <c r="AB179" s="3" t="str">
        <f>IFERROR(VLOOKUP(C179,UnitsDepts!$A$4:$G$1500,2,FALSE),"none")</f>
        <v>none</v>
      </c>
      <c r="AC179" s="3" t="str">
        <f>IFERROR(VLOOKUP(D179,ProjAppSvc!$A$4:$G$1500,2,FALSE),"none")</f>
        <v>none</v>
      </c>
    </row>
    <row r="180" spans="1:29" x14ac:dyDescent="0.45">
      <c r="A180" s="14" t="s">
        <v>23</v>
      </c>
      <c r="B180" s="14"/>
      <c r="C180" s="14"/>
      <c r="D180" s="14"/>
      <c r="H180" s="8"/>
      <c r="I180" s="3"/>
      <c r="J180" s="3" t="str">
        <f t="shared" si="6"/>
        <v/>
      </c>
      <c r="K180" s="3" t="str">
        <f>IF(ISNUMBER(SEARCH("-",V180)),IFERROR(IF($H$2="Lower", LOWER(ComputeResourceName(Z180,#REF!,#REF!,G180,N180,O180,P180,Q180,S180,T180,V180,A180)), UPPER(ComputeResourceName(Z180,#REF!,#REF!,G180,N180,O180,P180,Q180,S180,T180,V180,A180))),""),SUBSTITUTE(IFERROR(IF($H$2="Lower", LOWER(ComputeResourceName(#REF!,#REF!,#REF!,G180,N180,O180,P180,Q180,S180,T180,V180,A180)), UPPER(ComputeResourceName(#REF!,#REF!,#REF!,G180,N180,O180,P180,Q180,S180,T180,V180,A180))),""), "-",""))</f>
        <v/>
      </c>
      <c r="L180" s="3" t="str">
        <f xml:space="preserve"> IF(K180="","",  IFERROR(VLOOKUP(I180,Resources!$B$1:$H$1503,5,FALSE)-LEN(K180),0))</f>
        <v/>
      </c>
      <c r="M180" s="3" t="str">
        <f>IF(K180="","",IFERROR(matches(K180,VLOOKUP(I180,Resources!$A$2:$AA$1503,16,FALSE)),FALSE))</f>
        <v/>
      </c>
      <c r="N180" s="3" t="e">
        <f>VLOOKUP(E180,Enviroments!$A$3:$D$59,1,FALSE)</f>
        <v>#N/A</v>
      </c>
      <c r="O180" s="3" t="e">
        <f>VLOOKUP(E180,Enviroments!$A$3:$D$59,2,FALSE)</f>
        <v>#N/A</v>
      </c>
      <c r="P180" s="3" t="e">
        <f>VLOOKUP(E180,Enviroments!$A$3:$D$59,3,FALSE)</f>
        <v>#N/A</v>
      </c>
      <c r="Q180" s="3" t="e">
        <f>VLOOKUP(E180,Enviroments!$A$3:$D$59,4,FALSE)</f>
        <v>#N/A</v>
      </c>
      <c r="R180" s="3" t="e">
        <f>VLOOKUP(H180,AzureRegions!$A$4:$B$1493,1,FALSE)</f>
        <v>#N/A</v>
      </c>
      <c r="S180" s="3" t="e">
        <f>VLOOKUP(H180,AzureRegions!$A$4:$B$1493,2,FALSE)</f>
        <v>#N/A</v>
      </c>
      <c r="T180" s="3" t="e">
        <f>VLOOKUP(H180,AzureRegions!$A$4:$C$1493,3,FALSE)</f>
        <v>#N/A</v>
      </c>
      <c r="U180" s="3" t="e">
        <f>VLOOKUP(I180,Resources!$A$2:$AA$1503,2,FALSE)</f>
        <v>#N/A</v>
      </c>
      <c r="V180" s="3" t="e">
        <f>VLOOKUP(I180,Resources!$A$2:$H$1503,6,FALSE)</f>
        <v>#N/A</v>
      </c>
      <c r="W180" s="3" t="str">
        <f>VLOOKUP($H$2,Casing!$A$4:$A$60,1,FALSE)</f>
        <v>Lower</v>
      </c>
      <c r="X180" s="14" t="str">
        <f t="shared" si="5"/>
        <v>001</v>
      </c>
      <c r="Y180" s="3" t="str">
        <f>IFERROR(VLOOKUP(F180,Func!$A$4:$G$1500,2,FALSE),"none")</f>
        <v>none</v>
      </c>
      <c r="Z180" s="3" t="e">
        <f>VLOOKUP(I180,Resources!$A$2:$AA$1503,18,FALSE)</f>
        <v>#N/A</v>
      </c>
      <c r="AA180" s="3" t="str">
        <f>IFERROR(VLOOKUP(B180,Orgs!$A$4:$G$1500,2,FALSE),"none")</f>
        <v>none</v>
      </c>
      <c r="AB180" s="3" t="str">
        <f>IFERROR(VLOOKUP(C180,UnitsDepts!$A$4:$G$1500,2,FALSE),"none")</f>
        <v>none</v>
      </c>
      <c r="AC180" s="3" t="str">
        <f>IFERROR(VLOOKUP(D180,ProjAppSvc!$A$4:$G$1500,2,FALSE),"none")</f>
        <v>none</v>
      </c>
    </row>
    <row r="181" spans="1:29" x14ac:dyDescent="0.45">
      <c r="A181" s="14" t="s">
        <v>23</v>
      </c>
      <c r="B181" s="14"/>
      <c r="C181" s="14"/>
      <c r="D181" s="14"/>
      <c r="H181" s="8"/>
      <c r="I181" s="3"/>
      <c r="J181" s="3" t="str">
        <f t="shared" si="6"/>
        <v/>
      </c>
      <c r="K181" s="3" t="str">
        <f>IF(ISNUMBER(SEARCH("-",V181)),IFERROR(IF($H$2="Lower", LOWER(ComputeResourceName(Z181,#REF!,#REF!,G181,N181,O181,P181,Q181,S181,T181,V181,A181)), UPPER(ComputeResourceName(Z181,#REF!,#REF!,G181,N181,O181,P181,Q181,S181,T181,V181,A181))),""),SUBSTITUTE(IFERROR(IF($H$2="Lower", LOWER(ComputeResourceName(#REF!,#REF!,#REF!,G181,N181,O181,P181,Q181,S181,T181,V181,A181)), UPPER(ComputeResourceName(#REF!,#REF!,#REF!,G181,N181,O181,P181,Q181,S181,T181,V181,A181))),""), "-",""))</f>
        <v/>
      </c>
      <c r="L181" s="3" t="str">
        <f xml:space="preserve"> IF(K181="","",  IFERROR(VLOOKUP(I181,Resources!$B$1:$H$1503,5,FALSE)-LEN(K181),0))</f>
        <v/>
      </c>
      <c r="M181" s="3" t="str">
        <f>IF(K181="","",IFERROR(matches(K181,VLOOKUP(I181,Resources!$A$2:$AA$1503,16,FALSE)),FALSE))</f>
        <v/>
      </c>
      <c r="N181" s="3" t="e">
        <f>VLOOKUP(E181,Enviroments!$A$3:$D$59,1,FALSE)</f>
        <v>#N/A</v>
      </c>
      <c r="O181" s="3" t="e">
        <f>VLOOKUP(E181,Enviroments!$A$3:$D$59,2,FALSE)</f>
        <v>#N/A</v>
      </c>
      <c r="P181" s="3" t="e">
        <f>VLOOKUP(E181,Enviroments!$A$3:$D$59,3,FALSE)</f>
        <v>#N/A</v>
      </c>
      <c r="Q181" s="3" t="e">
        <f>VLOOKUP(E181,Enviroments!$A$3:$D$59,4,FALSE)</f>
        <v>#N/A</v>
      </c>
      <c r="R181" s="3" t="e">
        <f>VLOOKUP(H181,AzureRegions!$A$4:$B$1493,1,FALSE)</f>
        <v>#N/A</v>
      </c>
      <c r="S181" s="3" t="e">
        <f>VLOOKUP(H181,AzureRegions!$A$4:$B$1493,2,FALSE)</f>
        <v>#N/A</v>
      </c>
      <c r="T181" s="3" t="e">
        <f>VLOOKUP(H181,AzureRegions!$A$4:$C$1493,3,FALSE)</f>
        <v>#N/A</v>
      </c>
      <c r="U181" s="3" t="e">
        <f>VLOOKUP(I181,Resources!$A$2:$AA$1503,2,FALSE)</f>
        <v>#N/A</v>
      </c>
      <c r="V181" s="3" t="e">
        <f>VLOOKUP(I181,Resources!$A$2:$H$1503,6,FALSE)</f>
        <v>#N/A</v>
      </c>
      <c r="W181" s="3" t="str">
        <f>VLOOKUP($H$2,Casing!$A$4:$A$60,1,FALSE)</f>
        <v>Lower</v>
      </c>
      <c r="X181" s="14" t="str">
        <f t="shared" si="5"/>
        <v>001</v>
      </c>
      <c r="Y181" s="3" t="str">
        <f>IFERROR(VLOOKUP(F181,Func!$A$4:$G$1500,2,FALSE),"none")</f>
        <v>none</v>
      </c>
      <c r="Z181" s="3" t="e">
        <f>VLOOKUP(I181,Resources!$A$2:$AA$1503,18,FALSE)</f>
        <v>#N/A</v>
      </c>
      <c r="AA181" s="3" t="str">
        <f>IFERROR(VLOOKUP(B181,Orgs!$A$4:$G$1500,2,FALSE),"none")</f>
        <v>none</v>
      </c>
      <c r="AB181" s="3" t="str">
        <f>IFERROR(VLOOKUP(C181,UnitsDepts!$A$4:$G$1500,2,FALSE),"none")</f>
        <v>none</v>
      </c>
      <c r="AC181" s="3" t="str">
        <f>IFERROR(VLOOKUP(D181,ProjAppSvc!$A$4:$G$1500,2,FALSE),"none")</f>
        <v>none</v>
      </c>
    </row>
    <row r="182" spans="1:29" x14ac:dyDescent="0.45">
      <c r="A182" s="14" t="s">
        <v>23</v>
      </c>
      <c r="B182" s="14"/>
      <c r="C182" s="14"/>
      <c r="D182" s="14"/>
      <c r="H182" s="8"/>
      <c r="I182" s="3"/>
      <c r="J182" s="3" t="str">
        <f t="shared" si="6"/>
        <v/>
      </c>
      <c r="K182" s="3" t="str">
        <f>IF(ISNUMBER(SEARCH("-",V182)),IFERROR(IF($H$2="Lower", LOWER(ComputeResourceName(Z182,#REF!,#REF!,G182,N182,O182,P182,Q182,S182,T182,V182,A182)), UPPER(ComputeResourceName(Z182,#REF!,#REF!,G182,N182,O182,P182,Q182,S182,T182,V182,A182))),""),SUBSTITUTE(IFERROR(IF($H$2="Lower", LOWER(ComputeResourceName(#REF!,#REF!,#REF!,G182,N182,O182,P182,Q182,S182,T182,V182,A182)), UPPER(ComputeResourceName(#REF!,#REF!,#REF!,G182,N182,O182,P182,Q182,S182,T182,V182,A182))),""), "-",""))</f>
        <v/>
      </c>
      <c r="L182" s="3" t="str">
        <f xml:space="preserve"> IF(K182="","",  IFERROR(VLOOKUP(I182,Resources!$B$1:$H$1503,5,FALSE)-LEN(K182),0))</f>
        <v/>
      </c>
      <c r="M182" s="3" t="str">
        <f>IF(K182="","",IFERROR(matches(K182,VLOOKUP(I182,Resources!$A$2:$AA$1503,16,FALSE)),FALSE))</f>
        <v/>
      </c>
      <c r="N182" s="3" t="e">
        <f>VLOOKUP(E182,Enviroments!$A$3:$D$59,1,FALSE)</f>
        <v>#N/A</v>
      </c>
      <c r="O182" s="3" t="e">
        <f>VLOOKUP(E182,Enviroments!$A$3:$D$59,2,FALSE)</f>
        <v>#N/A</v>
      </c>
      <c r="P182" s="3" t="e">
        <f>VLOOKUP(E182,Enviroments!$A$3:$D$59,3,FALSE)</f>
        <v>#N/A</v>
      </c>
      <c r="Q182" s="3" t="e">
        <f>VLOOKUP(E182,Enviroments!$A$3:$D$59,4,FALSE)</f>
        <v>#N/A</v>
      </c>
      <c r="R182" s="3" t="e">
        <f>VLOOKUP(H182,AzureRegions!$A$4:$B$1493,1,FALSE)</f>
        <v>#N/A</v>
      </c>
      <c r="S182" s="3" t="e">
        <f>VLOOKUP(H182,AzureRegions!$A$4:$B$1493,2,FALSE)</f>
        <v>#N/A</v>
      </c>
      <c r="T182" s="3" t="e">
        <f>VLOOKUP(H182,AzureRegions!$A$4:$C$1493,3,FALSE)</f>
        <v>#N/A</v>
      </c>
      <c r="U182" s="3" t="e">
        <f>VLOOKUP(I182,Resources!$A$2:$AA$1503,2,FALSE)</f>
        <v>#N/A</v>
      </c>
      <c r="V182" s="3" t="e">
        <f>VLOOKUP(I182,Resources!$A$2:$H$1503,6,FALSE)</f>
        <v>#N/A</v>
      </c>
      <c r="W182" s="3" t="str">
        <f>VLOOKUP($H$2,Casing!$A$4:$A$60,1,FALSE)</f>
        <v>Lower</v>
      </c>
      <c r="X182" s="14" t="str">
        <f t="shared" si="5"/>
        <v>001</v>
      </c>
      <c r="Y182" s="3" t="str">
        <f>IFERROR(VLOOKUP(F182,Func!$A$4:$G$1500,2,FALSE),"none")</f>
        <v>none</v>
      </c>
      <c r="Z182" s="3" t="e">
        <f>VLOOKUP(I182,Resources!$A$2:$AA$1503,18,FALSE)</f>
        <v>#N/A</v>
      </c>
      <c r="AA182" s="3" t="str">
        <f>IFERROR(VLOOKUP(B182,Orgs!$A$4:$G$1500,2,FALSE),"none")</f>
        <v>none</v>
      </c>
      <c r="AB182" s="3" t="str">
        <f>IFERROR(VLOOKUP(C182,UnitsDepts!$A$4:$G$1500,2,FALSE),"none")</f>
        <v>none</v>
      </c>
      <c r="AC182" s="3" t="str">
        <f>IFERROR(VLOOKUP(D182,ProjAppSvc!$A$4:$G$1500,2,FALSE),"none")</f>
        <v>none</v>
      </c>
    </row>
    <row r="183" spans="1:29" x14ac:dyDescent="0.45">
      <c r="A183" s="14" t="s">
        <v>23</v>
      </c>
      <c r="B183" s="14"/>
      <c r="C183" s="14"/>
      <c r="D183" s="14"/>
      <c r="H183" s="8"/>
      <c r="I183" s="3"/>
      <c r="J183" s="3" t="str">
        <f t="shared" si="6"/>
        <v/>
      </c>
      <c r="K183" s="3" t="str">
        <f>IF(ISNUMBER(SEARCH("-",V183)),IFERROR(IF($H$2="Lower", LOWER(ComputeResourceName(Z183,#REF!,#REF!,G183,N183,O183,P183,Q183,S183,T183,V183,A183)), UPPER(ComputeResourceName(Z183,#REF!,#REF!,G183,N183,O183,P183,Q183,S183,T183,V183,A183))),""),SUBSTITUTE(IFERROR(IF($H$2="Lower", LOWER(ComputeResourceName(#REF!,#REF!,#REF!,G183,N183,O183,P183,Q183,S183,T183,V183,A183)), UPPER(ComputeResourceName(#REF!,#REF!,#REF!,G183,N183,O183,P183,Q183,S183,T183,V183,A183))),""), "-",""))</f>
        <v/>
      </c>
      <c r="L183" s="3" t="str">
        <f xml:space="preserve"> IF(K183="","",  IFERROR(VLOOKUP(I183,Resources!$B$1:$H$1503,5,FALSE)-LEN(K183),0))</f>
        <v/>
      </c>
      <c r="M183" s="3" t="str">
        <f>IF(K183="","",IFERROR(matches(K183,VLOOKUP(I183,Resources!$A$2:$AA$1503,16,FALSE)),FALSE))</f>
        <v/>
      </c>
      <c r="N183" s="3" t="e">
        <f>VLOOKUP(E183,Enviroments!$A$3:$D$59,1,FALSE)</f>
        <v>#N/A</v>
      </c>
      <c r="O183" s="3" t="e">
        <f>VLOOKUP(E183,Enviroments!$A$3:$D$59,2,FALSE)</f>
        <v>#N/A</v>
      </c>
      <c r="P183" s="3" t="e">
        <f>VLOOKUP(E183,Enviroments!$A$3:$D$59,3,FALSE)</f>
        <v>#N/A</v>
      </c>
      <c r="Q183" s="3" t="e">
        <f>VLOOKUP(E183,Enviroments!$A$3:$D$59,4,FALSE)</f>
        <v>#N/A</v>
      </c>
      <c r="R183" s="3" t="e">
        <f>VLOOKUP(H183,AzureRegions!$A$4:$B$1493,1,FALSE)</f>
        <v>#N/A</v>
      </c>
      <c r="S183" s="3" t="e">
        <f>VLOOKUP(H183,AzureRegions!$A$4:$B$1493,2,FALSE)</f>
        <v>#N/A</v>
      </c>
      <c r="T183" s="3" t="e">
        <f>VLOOKUP(H183,AzureRegions!$A$4:$C$1493,3,FALSE)</f>
        <v>#N/A</v>
      </c>
      <c r="U183" s="3" t="e">
        <f>VLOOKUP(I183,Resources!$A$2:$AA$1503,2,FALSE)</f>
        <v>#N/A</v>
      </c>
      <c r="V183" s="3" t="e">
        <f>VLOOKUP(I183,Resources!$A$2:$H$1503,6,FALSE)</f>
        <v>#N/A</v>
      </c>
      <c r="W183" s="3" t="str">
        <f>VLOOKUP($H$2,Casing!$A$4:$A$60,1,FALSE)</f>
        <v>Lower</v>
      </c>
      <c r="X183" s="14" t="str">
        <f t="shared" si="5"/>
        <v>001</v>
      </c>
      <c r="Y183" s="3" t="str">
        <f>IFERROR(VLOOKUP(F183,Func!$A$4:$G$1500,2,FALSE),"none")</f>
        <v>none</v>
      </c>
      <c r="Z183" s="3" t="e">
        <f>VLOOKUP(I183,Resources!$A$2:$AA$1503,18,FALSE)</f>
        <v>#N/A</v>
      </c>
      <c r="AA183" s="3" t="str">
        <f>IFERROR(VLOOKUP(B183,Orgs!$A$4:$G$1500,2,FALSE),"none")</f>
        <v>none</v>
      </c>
      <c r="AB183" s="3" t="str">
        <f>IFERROR(VLOOKUP(C183,UnitsDepts!$A$4:$G$1500,2,FALSE),"none")</f>
        <v>none</v>
      </c>
      <c r="AC183" s="3" t="str">
        <f>IFERROR(VLOOKUP(D183,ProjAppSvc!$A$4:$G$1500,2,FALSE),"none")</f>
        <v>none</v>
      </c>
    </row>
    <row r="184" spans="1:29" x14ac:dyDescent="0.45">
      <c r="A184" s="14" t="s">
        <v>23</v>
      </c>
      <c r="B184" s="14"/>
      <c r="C184" s="14"/>
      <c r="D184" s="14"/>
      <c r="H184" s="8"/>
      <c r="I184" s="3"/>
      <c r="J184" s="3" t="str">
        <f t="shared" si="6"/>
        <v/>
      </c>
      <c r="K184" s="3" t="str">
        <f>IF(ISNUMBER(SEARCH("-",V184)),IFERROR(IF($H$2="Lower", LOWER(ComputeResourceName(Z184,#REF!,#REF!,G184,N184,O184,P184,Q184,S184,T184,V184,A184)), UPPER(ComputeResourceName(Z184,#REF!,#REF!,G184,N184,O184,P184,Q184,S184,T184,V184,A184))),""),SUBSTITUTE(IFERROR(IF($H$2="Lower", LOWER(ComputeResourceName(#REF!,#REF!,#REF!,G184,N184,O184,P184,Q184,S184,T184,V184,A184)), UPPER(ComputeResourceName(#REF!,#REF!,#REF!,G184,N184,O184,P184,Q184,S184,T184,V184,A184))),""), "-",""))</f>
        <v/>
      </c>
      <c r="L184" s="3" t="str">
        <f xml:space="preserve"> IF(K184="","",  IFERROR(VLOOKUP(I184,Resources!$B$1:$H$1503,5,FALSE)-LEN(K184),0))</f>
        <v/>
      </c>
      <c r="M184" s="3" t="str">
        <f>IF(K184="","",IFERROR(matches(K184,VLOOKUP(I184,Resources!$A$2:$AA$1503,16,FALSE)),FALSE))</f>
        <v/>
      </c>
      <c r="N184" s="3" t="e">
        <f>VLOOKUP(E184,Enviroments!$A$3:$D$59,1,FALSE)</f>
        <v>#N/A</v>
      </c>
      <c r="O184" s="3" t="e">
        <f>VLOOKUP(E184,Enviroments!$A$3:$D$59,2,FALSE)</f>
        <v>#N/A</v>
      </c>
      <c r="P184" s="3" t="e">
        <f>VLOOKUP(E184,Enviroments!$A$3:$D$59,3,FALSE)</f>
        <v>#N/A</v>
      </c>
      <c r="Q184" s="3" t="e">
        <f>VLOOKUP(E184,Enviroments!$A$3:$D$59,4,FALSE)</f>
        <v>#N/A</v>
      </c>
      <c r="R184" s="3" t="e">
        <f>VLOOKUP(H184,AzureRegions!$A$4:$B$1493,1,FALSE)</f>
        <v>#N/A</v>
      </c>
      <c r="S184" s="3" t="e">
        <f>VLOOKUP(H184,AzureRegions!$A$4:$B$1493,2,FALSE)</f>
        <v>#N/A</v>
      </c>
      <c r="T184" s="3" t="e">
        <f>VLOOKUP(H184,AzureRegions!$A$4:$C$1493,3,FALSE)</f>
        <v>#N/A</v>
      </c>
      <c r="U184" s="3" t="e">
        <f>VLOOKUP(I184,Resources!$A$2:$AA$1503,2,FALSE)</f>
        <v>#N/A</v>
      </c>
      <c r="V184" s="3" t="e">
        <f>VLOOKUP(I184,Resources!$A$2:$H$1503,6,FALSE)</f>
        <v>#N/A</v>
      </c>
      <c r="W184" s="3" t="str">
        <f>VLOOKUP($H$2,Casing!$A$4:$A$60,1,FALSE)</f>
        <v>Lower</v>
      </c>
      <c r="X184" s="14" t="str">
        <f t="shared" si="5"/>
        <v>001</v>
      </c>
      <c r="Y184" s="3" t="str">
        <f>IFERROR(VLOOKUP(F184,Func!$A$4:$G$1500,2,FALSE),"none")</f>
        <v>none</v>
      </c>
      <c r="Z184" s="3" t="e">
        <f>VLOOKUP(I184,Resources!$A$2:$AA$1503,18,FALSE)</f>
        <v>#N/A</v>
      </c>
      <c r="AA184" s="3" t="str">
        <f>IFERROR(VLOOKUP(B184,Orgs!$A$4:$G$1500,2,FALSE),"none")</f>
        <v>none</v>
      </c>
      <c r="AB184" s="3" t="str">
        <f>IFERROR(VLOOKUP(C184,UnitsDepts!$A$4:$G$1500,2,FALSE),"none")</f>
        <v>none</v>
      </c>
      <c r="AC184" s="3" t="str">
        <f>IFERROR(VLOOKUP(D184,ProjAppSvc!$A$4:$G$1500,2,FALSE),"none")</f>
        <v>none</v>
      </c>
    </row>
    <row r="185" spans="1:29" x14ac:dyDescent="0.45">
      <c r="A185" s="14" t="s">
        <v>23</v>
      </c>
      <c r="B185" s="14"/>
      <c r="C185" s="14"/>
      <c r="D185" s="14"/>
      <c r="H185" s="8"/>
      <c r="I185" s="3"/>
      <c r="J185" s="3" t="str">
        <f t="shared" si="6"/>
        <v/>
      </c>
      <c r="K185" s="3" t="str">
        <f>IF(ISNUMBER(SEARCH("-",V185)),IFERROR(IF($H$2="Lower", LOWER(ComputeResourceName(Z185,#REF!,#REF!,G185,N185,O185,P185,Q185,S185,T185,V185,A185)), UPPER(ComputeResourceName(Z185,#REF!,#REF!,G185,N185,O185,P185,Q185,S185,T185,V185,A185))),""),SUBSTITUTE(IFERROR(IF($H$2="Lower", LOWER(ComputeResourceName(#REF!,#REF!,#REF!,G185,N185,O185,P185,Q185,S185,T185,V185,A185)), UPPER(ComputeResourceName(#REF!,#REF!,#REF!,G185,N185,O185,P185,Q185,S185,T185,V185,A185))),""), "-",""))</f>
        <v/>
      </c>
      <c r="L185" s="3" t="str">
        <f xml:space="preserve"> IF(K185="","",  IFERROR(VLOOKUP(I185,Resources!$B$1:$H$1503,5,FALSE)-LEN(K185),0))</f>
        <v/>
      </c>
      <c r="M185" s="3" t="str">
        <f>IF(K185="","",IFERROR(matches(K185,VLOOKUP(I185,Resources!$A$2:$AA$1503,16,FALSE)),FALSE))</f>
        <v/>
      </c>
      <c r="N185" s="3" t="e">
        <f>VLOOKUP(E185,Enviroments!$A$3:$D$59,1,FALSE)</f>
        <v>#N/A</v>
      </c>
      <c r="O185" s="3" t="e">
        <f>VLOOKUP(E185,Enviroments!$A$3:$D$59,2,FALSE)</f>
        <v>#N/A</v>
      </c>
      <c r="P185" s="3" t="e">
        <f>VLOOKUP(E185,Enviroments!$A$3:$D$59,3,FALSE)</f>
        <v>#N/A</v>
      </c>
      <c r="Q185" s="3" t="e">
        <f>VLOOKUP(E185,Enviroments!$A$3:$D$59,4,FALSE)</f>
        <v>#N/A</v>
      </c>
      <c r="R185" s="3" t="e">
        <f>VLOOKUP(H185,AzureRegions!$A$4:$B$1493,1,FALSE)</f>
        <v>#N/A</v>
      </c>
      <c r="S185" s="3" t="e">
        <f>VLOOKUP(H185,AzureRegions!$A$4:$B$1493,2,FALSE)</f>
        <v>#N/A</v>
      </c>
      <c r="T185" s="3" t="e">
        <f>VLOOKUP(H185,AzureRegions!$A$4:$C$1493,3,FALSE)</f>
        <v>#N/A</v>
      </c>
      <c r="U185" s="3" t="e">
        <f>VLOOKUP(I185,Resources!$A$2:$AA$1503,2,FALSE)</f>
        <v>#N/A</v>
      </c>
      <c r="V185" s="3" t="e">
        <f>VLOOKUP(I185,Resources!$A$2:$H$1503,6,FALSE)</f>
        <v>#N/A</v>
      </c>
      <c r="W185" s="3" t="str">
        <f>VLOOKUP($H$2,Casing!$A$4:$A$60,1,FALSE)</f>
        <v>Lower</v>
      </c>
      <c r="X185" s="14" t="str">
        <f t="shared" si="5"/>
        <v>001</v>
      </c>
      <c r="Y185" s="3" t="str">
        <f>IFERROR(VLOOKUP(F185,Func!$A$4:$G$1500,2,FALSE),"none")</f>
        <v>none</v>
      </c>
      <c r="Z185" s="3" t="e">
        <f>VLOOKUP(I185,Resources!$A$2:$AA$1503,18,FALSE)</f>
        <v>#N/A</v>
      </c>
      <c r="AA185" s="3" t="str">
        <f>IFERROR(VLOOKUP(B185,Orgs!$A$4:$G$1500,2,FALSE),"none")</f>
        <v>none</v>
      </c>
      <c r="AB185" s="3" t="str">
        <f>IFERROR(VLOOKUP(C185,UnitsDepts!$A$4:$G$1500,2,FALSE),"none")</f>
        <v>none</v>
      </c>
      <c r="AC185" s="3" t="str">
        <f>IFERROR(VLOOKUP(D185,ProjAppSvc!$A$4:$G$1500,2,FALSE),"none")</f>
        <v>none</v>
      </c>
    </row>
    <row r="186" spans="1:29" x14ac:dyDescent="0.45">
      <c r="A186" s="14" t="s">
        <v>23</v>
      </c>
      <c r="B186" s="14"/>
      <c r="C186" s="14"/>
      <c r="D186" s="14"/>
      <c r="H186" s="8"/>
      <c r="I186" s="3"/>
      <c r="J186" s="3" t="str">
        <f t="shared" si="6"/>
        <v/>
      </c>
      <c r="K186" s="3" t="str">
        <f>IF(ISNUMBER(SEARCH("-",V186)),IFERROR(IF($H$2="Lower", LOWER(ComputeResourceName(Z186,#REF!,#REF!,G186,N186,O186,P186,Q186,S186,T186,V186,A186)), UPPER(ComputeResourceName(Z186,#REF!,#REF!,G186,N186,O186,P186,Q186,S186,T186,V186,A186))),""),SUBSTITUTE(IFERROR(IF($H$2="Lower", LOWER(ComputeResourceName(#REF!,#REF!,#REF!,G186,N186,O186,P186,Q186,S186,T186,V186,A186)), UPPER(ComputeResourceName(#REF!,#REF!,#REF!,G186,N186,O186,P186,Q186,S186,T186,V186,A186))),""), "-",""))</f>
        <v/>
      </c>
      <c r="L186" s="3" t="str">
        <f xml:space="preserve"> IF(K186="","",  IFERROR(VLOOKUP(I186,Resources!$B$1:$H$1503,5,FALSE)-LEN(K186),0))</f>
        <v/>
      </c>
      <c r="M186" s="3" t="str">
        <f>IF(K186="","",IFERROR(matches(K186,VLOOKUP(I186,Resources!$A$2:$AA$1503,16,FALSE)),FALSE))</f>
        <v/>
      </c>
      <c r="N186" s="3" t="e">
        <f>VLOOKUP(E186,Enviroments!$A$3:$D$59,1,FALSE)</f>
        <v>#N/A</v>
      </c>
      <c r="O186" s="3" t="e">
        <f>VLOOKUP(E186,Enviroments!$A$3:$D$59,2,FALSE)</f>
        <v>#N/A</v>
      </c>
      <c r="P186" s="3" t="e">
        <f>VLOOKUP(E186,Enviroments!$A$3:$D$59,3,FALSE)</f>
        <v>#N/A</v>
      </c>
      <c r="Q186" s="3" t="e">
        <f>VLOOKUP(E186,Enviroments!$A$3:$D$59,4,FALSE)</f>
        <v>#N/A</v>
      </c>
      <c r="R186" s="3" t="e">
        <f>VLOOKUP(H186,AzureRegions!$A$4:$B$1493,1,FALSE)</f>
        <v>#N/A</v>
      </c>
      <c r="S186" s="3" t="e">
        <f>VLOOKUP(H186,AzureRegions!$A$4:$B$1493,2,FALSE)</f>
        <v>#N/A</v>
      </c>
      <c r="T186" s="3" t="e">
        <f>VLOOKUP(H186,AzureRegions!$A$4:$C$1493,3,FALSE)</f>
        <v>#N/A</v>
      </c>
      <c r="U186" s="3" t="e">
        <f>VLOOKUP(I186,Resources!$A$2:$AA$1503,2,FALSE)</f>
        <v>#N/A</v>
      </c>
      <c r="V186" s="3" t="e">
        <f>VLOOKUP(I186,Resources!$A$2:$H$1503,6,FALSE)</f>
        <v>#N/A</v>
      </c>
      <c r="W186" s="3" t="str">
        <f>VLOOKUP($H$2,Casing!$A$4:$A$60,1,FALSE)</f>
        <v>Lower</v>
      </c>
      <c r="X186" s="14" t="str">
        <f t="shared" si="5"/>
        <v>001</v>
      </c>
      <c r="Y186" s="3" t="str">
        <f>IFERROR(VLOOKUP(F186,Func!$A$4:$G$1500,2,FALSE),"none")</f>
        <v>none</v>
      </c>
      <c r="Z186" s="3" t="e">
        <f>VLOOKUP(I186,Resources!$A$2:$AA$1503,18,FALSE)</f>
        <v>#N/A</v>
      </c>
      <c r="AA186" s="3" t="str">
        <f>IFERROR(VLOOKUP(B186,Orgs!$A$4:$G$1500,2,FALSE),"none")</f>
        <v>none</v>
      </c>
      <c r="AB186" s="3" t="str">
        <f>IFERROR(VLOOKUP(C186,UnitsDepts!$A$4:$G$1500,2,FALSE),"none")</f>
        <v>none</v>
      </c>
      <c r="AC186" s="3" t="str">
        <f>IFERROR(VLOOKUP(D186,ProjAppSvc!$A$4:$G$1500,2,FALSE),"none")</f>
        <v>none</v>
      </c>
    </row>
    <row r="187" spans="1:29" x14ac:dyDescent="0.45">
      <c r="A187" s="14" t="s">
        <v>23</v>
      </c>
      <c r="B187" s="14"/>
      <c r="C187" s="14"/>
      <c r="D187" s="14"/>
      <c r="H187" s="8"/>
      <c r="I187" s="3"/>
      <c r="J187" s="3" t="str">
        <f t="shared" si="6"/>
        <v/>
      </c>
      <c r="K187" s="3" t="str">
        <f>IF(ISNUMBER(SEARCH("-",V187)),IFERROR(IF($H$2="Lower", LOWER(ComputeResourceName(Z187,#REF!,#REF!,G187,N187,O187,P187,Q187,S187,T187,V187,A187)), UPPER(ComputeResourceName(Z187,#REF!,#REF!,G187,N187,O187,P187,Q187,S187,T187,V187,A187))),""),SUBSTITUTE(IFERROR(IF($H$2="Lower", LOWER(ComputeResourceName(#REF!,#REF!,#REF!,G187,N187,O187,P187,Q187,S187,T187,V187,A187)), UPPER(ComputeResourceName(#REF!,#REF!,#REF!,G187,N187,O187,P187,Q187,S187,T187,V187,A187))),""), "-",""))</f>
        <v/>
      </c>
      <c r="L187" s="3" t="str">
        <f xml:space="preserve"> IF(K187="","",  IFERROR(VLOOKUP(I187,Resources!$B$1:$H$1503,5,FALSE)-LEN(K187),0))</f>
        <v/>
      </c>
      <c r="M187" s="3" t="str">
        <f>IF(K187="","",IFERROR(matches(K187,VLOOKUP(I187,Resources!$A$2:$AA$1503,16,FALSE)),FALSE))</f>
        <v/>
      </c>
      <c r="N187" s="3" t="e">
        <f>VLOOKUP(E187,Enviroments!$A$3:$D$59,1,FALSE)</f>
        <v>#N/A</v>
      </c>
      <c r="O187" s="3" t="e">
        <f>VLOOKUP(E187,Enviroments!$A$3:$D$59,2,FALSE)</f>
        <v>#N/A</v>
      </c>
      <c r="P187" s="3" t="e">
        <f>VLOOKUP(E187,Enviroments!$A$3:$D$59,3,FALSE)</f>
        <v>#N/A</v>
      </c>
      <c r="Q187" s="3" t="e">
        <f>VLOOKUP(E187,Enviroments!$A$3:$D$59,4,FALSE)</f>
        <v>#N/A</v>
      </c>
      <c r="R187" s="3" t="e">
        <f>VLOOKUP(H187,AzureRegions!$A$4:$B$1493,1,FALSE)</f>
        <v>#N/A</v>
      </c>
      <c r="S187" s="3" t="e">
        <f>VLOOKUP(H187,AzureRegions!$A$4:$B$1493,2,FALSE)</f>
        <v>#N/A</v>
      </c>
      <c r="T187" s="3" t="e">
        <f>VLOOKUP(H187,AzureRegions!$A$4:$C$1493,3,FALSE)</f>
        <v>#N/A</v>
      </c>
      <c r="U187" s="3" t="e">
        <f>VLOOKUP(I187,Resources!$A$2:$AA$1503,2,FALSE)</f>
        <v>#N/A</v>
      </c>
      <c r="V187" s="3" t="e">
        <f>VLOOKUP(I187,Resources!$A$2:$H$1503,6,FALSE)</f>
        <v>#N/A</v>
      </c>
      <c r="W187" s="3" t="str">
        <f>VLOOKUP($H$2,Casing!$A$4:$A$60,1,FALSE)</f>
        <v>Lower</v>
      </c>
      <c r="X187" s="14" t="str">
        <f t="shared" si="5"/>
        <v>001</v>
      </c>
      <c r="Y187" s="3" t="str">
        <f>IFERROR(VLOOKUP(F187,Func!$A$4:$G$1500,2,FALSE),"none")</f>
        <v>none</v>
      </c>
      <c r="Z187" s="3" t="e">
        <f>VLOOKUP(I187,Resources!$A$2:$AA$1503,18,FALSE)</f>
        <v>#N/A</v>
      </c>
      <c r="AA187" s="3" t="str">
        <f>IFERROR(VLOOKUP(B187,Orgs!$A$4:$G$1500,2,FALSE),"none")</f>
        <v>none</v>
      </c>
      <c r="AB187" s="3" t="str">
        <f>IFERROR(VLOOKUP(C187,UnitsDepts!$A$4:$G$1500,2,FALSE),"none")</f>
        <v>none</v>
      </c>
      <c r="AC187" s="3" t="str">
        <f>IFERROR(VLOOKUP(D187,ProjAppSvc!$A$4:$G$1500,2,FALSE),"none")</f>
        <v>none</v>
      </c>
    </row>
    <row r="188" spans="1:29" x14ac:dyDescent="0.45">
      <c r="A188" s="14" t="s">
        <v>23</v>
      </c>
      <c r="B188" s="14"/>
      <c r="C188" s="14"/>
      <c r="D188" s="14"/>
      <c r="H188" s="8"/>
      <c r="I188" s="3"/>
      <c r="J188" s="3" t="str">
        <f t="shared" si="6"/>
        <v/>
      </c>
      <c r="K188" s="3" t="str">
        <f>IF(ISNUMBER(SEARCH("-",V188)),IFERROR(IF($H$2="Lower", LOWER(ComputeResourceName(Z188,#REF!,#REF!,G188,N188,O188,P188,Q188,S188,T188,V188,A188)), UPPER(ComputeResourceName(Z188,#REF!,#REF!,G188,N188,O188,P188,Q188,S188,T188,V188,A188))),""),SUBSTITUTE(IFERROR(IF($H$2="Lower", LOWER(ComputeResourceName(#REF!,#REF!,#REF!,G188,N188,O188,P188,Q188,S188,T188,V188,A188)), UPPER(ComputeResourceName(#REF!,#REF!,#REF!,G188,N188,O188,P188,Q188,S188,T188,V188,A188))),""), "-",""))</f>
        <v/>
      </c>
      <c r="L188" s="3" t="str">
        <f xml:space="preserve"> IF(K188="","",  IFERROR(VLOOKUP(I188,Resources!$B$1:$H$1503,5,FALSE)-LEN(K188),0))</f>
        <v/>
      </c>
      <c r="M188" s="3" t="str">
        <f>IF(K188="","",IFERROR(matches(K188,VLOOKUP(I188,Resources!$A$2:$AA$1503,16,FALSE)),FALSE))</f>
        <v/>
      </c>
      <c r="N188" s="3" t="e">
        <f>VLOOKUP(E188,Enviroments!$A$3:$D$59,1,FALSE)</f>
        <v>#N/A</v>
      </c>
      <c r="O188" s="3" t="e">
        <f>VLOOKUP(E188,Enviroments!$A$3:$D$59,2,FALSE)</f>
        <v>#N/A</v>
      </c>
      <c r="P188" s="3" t="e">
        <f>VLOOKUP(E188,Enviroments!$A$3:$D$59,3,FALSE)</f>
        <v>#N/A</v>
      </c>
      <c r="Q188" s="3" t="e">
        <f>VLOOKUP(E188,Enviroments!$A$3:$D$59,4,FALSE)</f>
        <v>#N/A</v>
      </c>
      <c r="R188" s="3" t="e">
        <f>VLOOKUP(H188,AzureRegions!$A$4:$B$1493,1,FALSE)</f>
        <v>#N/A</v>
      </c>
      <c r="S188" s="3" t="e">
        <f>VLOOKUP(H188,AzureRegions!$A$4:$B$1493,2,FALSE)</f>
        <v>#N/A</v>
      </c>
      <c r="T188" s="3" t="e">
        <f>VLOOKUP(H188,AzureRegions!$A$4:$C$1493,3,FALSE)</f>
        <v>#N/A</v>
      </c>
      <c r="U188" s="3" t="e">
        <f>VLOOKUP(I188,Resources!$A$2:$AA$1503,2,FALSE)</f>
        <v>#N/A</v>
      </c>
      <c r="V188" s="3" t="e">
        <f>VLOOKUP(I188,Resources!$A$2:$H$1503,6,FALSE)</f>
        <v>#N/A</v>
      </c>
      <c r="W188" s="3" t="str">
        <f>VLOOKUP($H$2,Casing!$A$4:$A$60,1,FALSE)</f>
        <v>Lower</v>
      </c>
      <c r="X188" s="14" t="str">
        <f t="shared" si="5"/>
        <v>001</v>
      </c>
      <c r="Y188" s="3" t="str">
        <f>IFERROR(VLOOKUP(F188,Func!$A$4:$G$1500,2,FALSE),"none")</f>
        <v>none</v>
      </c>
      <c r="Z188" s="3" t="e">
        <f>VLOOKUP(I188,Resources!$A$2:$AA$1503,18,FALSE)</f>
        <v>#N/A</v>
      </c>
      <c r="AA188" s="3" t="str">
        <f>IFERROR(VLOOKUP(B188,Orgs!$A$4:$G$1500,2,FALSE),"none")</f>
        <v>none</v>
      </c>
      <c r="AB188" s="3" t="str">
        <f>IFERROR(VLOOKUP(C188,UnitsDepts!$A$4:$G$1500,2,FALSE),"none")</f>
        <v>none</v>
      </c>
      <c r="AC188" s="3" t="str">
        <f>IFERROR(VLOOKUP(D188,ProjAppSvc!$A$4:$G$1500,2,FALSE),"none")</f>
        <v>none</v>
      </c>
    </row>
    <row r="189" spans="1:29" x14ac:dyDescent="0.45">
      <c r="A189" s="14" t="s">
        <v>23</v>
      </c>
      <c r="B189" s="14"/>
      <c r="C189" s="14"/>
      <c r="D189" s="14"/>
      <c r="H189" s="8"/>
      <c r="I189" s="3"/>
      <c r="J189" s="3" t="str">
        <f t="shared" si="6"/>
        <v/>
      </c>
      <c r="K189" s="3" t="str">
        <f>IF(ISNUMBER(SEARCH("-",V189)),IFERROR(IF($H$2="Lower", LOWER(ComputeResourceName(Z189,#REF!,#REF!,G189,N189,O189,P189,Q189,S189,T189,V189,A189)), UPPER(ComputeResourceName(Z189,#REF!,#REF!,G189,N189,O189,P189,Q189,S189,T189,V189,A189))),""),SUBSTITUTE(IFERROR(IF($H$2="Lower", LOWER(ComputeResourceName(#REF!,#REF!,#REF!,G189,N189,O189,P189,Q189,S189,T189,V189,A189)), UPPER(ComputeResourceName(#REF!,#REF!,#REF!,G189,N189,O189,P189,Q189,S189,T189,V189,A189))),""), "-",""))</f>
        <v/>
      </c>
      <c r="L189" s="3" t="str">
        <f xml:space="preserve"> IF(K189="","",  IFERROR(VLOOKUP(I189,Resources!$B$1:$H$1503,5,FALSE)-LEN(K189),0))</f>
        <v/>
      </c>
      <c r="M189" s="3" t="str">
        <f>IF(K189="","",IFERROR(matches(K189,VLOOKUP(I189,Resources!$A$2:$AA$1503,16,FALSE)),FALSE))</f>
        <v/>
      </c>
      <c r="N189" s="3" t="e">
        <f>VLOOKUP(E189,Enviroments!$A$3:$D$59,1,FALSE)</f>
        <v>#N/A</v>
      </c>
      <c r="O189" s="3" t="e">
        <f>VLOOKUP(E189,Enviroments!$A$3:$D$59,2,FALSE)</f>
        <v>#N/A</v>
      </c>
      <c r="P189" s="3" t="e">
        <f>VLOOKUP(E189,Enviroments!$A$3:$D$59,3,FALSE)</f>
        <v>#N/A</v>
      </c>
      <c r="Q189" s="3" t="e">
        <f>VLOOKUP(E189,Enviroments!$A$3:$D$59,4,FALSE)</f>
        <v>#N/A</v>
      </c>
      <c r="R189" s="3" t="e">
        <f>VLOOKUP(H189,AzureRegions!$A$4:$B$1493,1,FALSE)</f>
        <v>#N/A</v>
      </c>
      <c r="S189" s="3" t="e">
        <f>VLOOKUP(H189,AzureRegions!$A$4:$B$1493,2,FALSE)</f>
        <v>#N/A</v>
      </c>
      <c r="T189" s="3" t="e">
        <f>VLOOKUP(H189,AzureRegions!$A$4:$C$1493,3,FALSE)</f>
        <v>#N/A</v>
      </c>
      <c r="U189" s="3" t="e">
        <f>VLOOKUP(I189,Resources!$A$2:$AA$1503,2,FALSE)</f>
        <v>#N/A</v>
      </c>
      <c r="V189" s="3" t="e">
        <f>VLOOKUP(I189,Resources!$A$2:$H$1503,6,FALSE)</f>
        <v>#N/A</v>
      </c>
      <c r="W189" s="3" t="str">
        <f>VLOOKUP($H$2,Casing!$A$4:$A$60,1,FALSE)</f>
        <v>Lower</v>
      </c>
      <c r="X189" s="14" t="str">
        <f t="shared" si="5"/>
        <v>001</v>
      </c>
      <c r="Y189" s="3" t="str">
        <f>IFERROR(VLOOKUP(F189,Func!$A$4:$G$1500,2,FALSE),"none")</f>
        <v>none</v>
      </c>
      <c r="Z189" s="3" t="e">
        <f>VLOOKUP(I189,Resources!$A$2:$AA$1503,18,FALSE)</f>
        <v>#N/A</v>
      </c>
      <c r="AA189" s="3" t="str">
        <f>IFERROR(VLOOKUP(B189,Orgs!$A$4:$G$1500,2,FALSE),"none")</f>
        <v>none</v>
      </c>
      <c r="AB189" s="3" t="str">
        <f>IFERROR(VLOOKUP(C189,UnitsDepts!$A$4:$G$1500,2,FALSE),"none")</f>
        <v>none</v>
      </c>
      <c r="AC189" s="3" t="str">
        <f>IFERROR(VLOOKUP(D189,ProjAppSvc!$A$4:$G$1500,2,FALSE),"none")</f>
        <v>none</v>
      </c>
    </row>
    <row r="190" spans="1:29" x14ac:dyDescent="0.45">
      <c r="J190" s="3"/>
    </row>
    <row r="191" spans="1:29" x14ac:dyDescent="0.45">
      <c r="J191" s="3"/>
    </row>
    <row r="192" spans="1:29" x14ac:dyDescent="0.45">
      <c r="J192" s="3"/>
    </row>
    <row r="193" spans="10:10" x14ac:dyDescent="0.45">
      <c r="J193" s="3"/>
    </row>
    <row r="194" spans="10:10" x14ac:dyDescent="0.45">
      <c r="J194" s="3"/>
    </row>
    <row r="195" spans="10:10" x14ac:dyDescent="0.45">
      <c r="J195" s="3"/>
    </row>
    <row r="196" spans="10:10" x14ac:dyDescent="0.45">
      <c r="J196" s="3"/>
    </row>
    <row r="197" spans="10:10" x14ac:dyDescent="0.45">
      <c r="J197" s="3"/>
    </row>
    <row r="198" spans="10:10" x14ac:dyDescent="0.45">
      <c r="J198" s="3"/>
    </row>
    <row r="199" spans="10:10" x14ac:dyDescent="0.45">
      <c r="J199" s="3"/>
    </row>
    <row r="200" spans="10:10" x14ac:dyDescent="0.45">
      <c r="J200" s="3"/>
    </row>
    <row r="201" spans="10:10" x14ac:dyDescent="0.45">
      <c r="J201" s="3"/>
    </row>
    <row r="202" spans="10:10" x14ac:dyDescent="0.45">
      <c r="J202" s="3"/>
    </row>
    <row r="203" spans="10:10" x14ac:dyDescent="0.45">
      <c r="J203" s="3"/>
    </row>
    <row r="204" spans="10:10" x14ac:dyDescent="0.45">
      <c r="J204" s="3"/>
    </row>
    <row r="205" spans="10:10" x14ac:dyDescent="0.45">
      <c r="J205" s="3"/>
    </row>
    <row r="206" spans="10:10" x14ac:dyDescent="0.45">
      <c r="J206" s="3"/>
    </row>
    <row r="207" spans="10:10" x14ac:dyDescent="0.45">
      <c r="J207" s="3"/>
    </row>
    <row r="208" spans="10:10" x14ac:dyDescent="0.45">
      <c r="J208" s="3"/>
    </row>
    <row r="209" spans="10:10" x14ac:dyDescent="0.45">
      <c r="J209" s="3"/>
    </row>
    <row r="210" spans="10:10" x14ac:dyDescent="0.45">
      <c r="J210" s="3"/>
    </row>
    <row r="211" spans="10:10" x14ac:dyDescent="0.45">
      <c r="J211" s="3"/>
    </row>
    <row r="212" spans="10:10" x14ac:dyDescent="0.45">
      <c r="J212" s="3"/>
    </row>
    <row r="213" spans="10:10" x14ac:dyDescent="0.45">
      <c r="J213" s="3"/>
    </row>
    <row r="214" spans="10:10" x14ac:dyDescent="0.45">
      <c r="J214" s="3"/>
    </row>
    <row r="215" spans="10:10" x14ac:dyDescent="0.45">
      <c r="J215" s="3"/>
    </row>
    <row r="216" spans="10:10" x14ac:dyDescent="0.45">
      <c r="J216" s="3"/>
    </row>
    <row r="217" spans="10:10" x14ac:dyDescent="0.45">
      <c r="J217" s="3"/>
    </row>
    <row r="218" spans="10:10" x14ac:dyDescent="0.45">
      <c r="J218" s="3"/>
    </row>
    <row r="219" spans="10:10" x14ac:dyDescent="0.45">
      <c r="J219" s="3"/>
    </row>
    <row r="220" spans="10:10" x14ac:dyDescent="0.45">
      <c r="J220" s="3"/>
    </row>
    <row r="221" spans="10:10" x14ac:dyDescent="0.45">
      <c r="J221" s="3"/>
    </row>
    <row r="222" spans="10:10" x14ac:dyDescent="0.45">
      <c r="J222" s="3"/>
    </row>
    <row r="223" spans="10:10" x14ac:dyDescent="0.45">
      <c r="J223" s="3"/>
    </row>
    <row r="224" spans="10:10" x14ac:dyDescent="0.45">
      <c r="J224" s="3"/>
    </row>
    <row r="225" spans="10:10" x14ac:dyDescent="0.45">
      <c r="J225" s="3"/>
    </row>
    <row r="226" spans="10:10" x14ac:dyDescent="0.45">
      <c r="J226" s="3"/>
    </row>
    <row r="227" spans="10:10" x14ac:dyDescent="0.45">
      <c r="J227" s="3"/>
    </row>
    <row r="228" spans="10:10" x14ac:dyDescent="0.45">
      <c r="J228" s="3"/>
    </row>
    <row r="229" spans="10:10" x14ac:dyDescent="0.45">
      <c r="J229" s="3"/>
    </row>
    <row r="230" spans="10:10" x14ac:dyDescent="0.45">
      <c r="J230" s="3"/>
    </row>
    <row r="231" spans="10:10" x14ac:dyDescent="0.45">
      <c r="J231" s="3"/>
    </row>
    <row r="232" spans="10:10" x14ac:dyDescent="0.45">
      <c r="J232" s="3"/>
    </row>
    <row r="233" spans="10:10" x14ac:dyDescent="0.45">
      <c r="J233" s="3"/>
    </row>
    <row r="234" spans="10:10" x14ac:dyDescent="0.45">
      <c r="J234" s="3"/>
    </row>
    <row r="235" spans="10:10" x14ac:dyDescent="0.45">
      <c r="J235" s="3"/>
    </row>
    <row r="236" spans="10:10" x14ac:dyDescent="0.45">
      <c r="J236" s="3"/>
    </row>
    <row r="237" spans="10:10" x14ac:dyDescent="0.45">
      <c r="J237" s="3"/>
    </row>
    <row r="238" spans="10:10" x14ac:dyDescent="0.45">
      <c r="J238" s="3"/>
    </row>
    <row r="239" spans="10:10" x14ac:dyDescent="0.45">
      <c r="J239" s="3"/>
    </row>
    <row r="240" spans="10:10" x14ac:dyDescent="0.45">
      <c r="J240" s="3"/>
    </row>
    <row r="241" spans="10:10" x14ac:dyDescent="0.45">
      <c r="J241" s="3"/>
    </row>
    <row r="242" spans="10:10" x14ac:dyDescent="0.45">
      <c r="J242" s="3"/>
    </row>
    <row r="243" spans="10:10" x14ac:dyDescent="0.45">
      <c r="J243" s="3"/>
    </row>
    <row r="244" spans="10:10" x14ac:dyDescent="0.45">
      <c r="J244" s="3"/>
    </row>
    <row r="245" spans="10:10" x14ac:dyDescent="0.45">
      <c r="J245" s="3"/>
    </row>
    <row r="246" spans="10:10" x14ac:dyDescent="0.45">
      <c r="J246" s="3"/>
    </row>
    <row r="247" spans="10:10" x14ac:dyDescent="0.45">
      <c r="J247" s="3"/>
    </row>
    <row r="248" spans="10:10" x14ac:dyDescent="0.45">
      <c r="J248" s="3"/>
    </row>
    <row r="249" spans="10:10" x14ac:dyDescent="0.45">
      <c r="J249" s="3"/>
    </row>
    <row r="250" spans="10:10" x14ac:dyDescent="0.45">
      <c r="J250" s="3"/>
    </row>
    <row r="251" spans="10:10" x14ac:dyDescent="0.45">
      <c r="J251" s="3"/>
    </row>
    <row r="252" spans="10:10" x14ac:dyDescent="0.45">
      <c r="J252" s="3"/>
    </row>
    <row r="253" spans="10:10" x14ac:dyDescent="0.45">
      <c r="J253" s="3"/>
    </row>
    <row r="254" spans="10:10" x14ac:dyDescent="0.45">
      <c r="J254" s="3"/>
    </row>
    <row r="255" spans="10:10" x14ac:dyDescent="0.45">
      <c r="J255" s="3"/>
    </row>
    <row r="256" spans="10:10" x14ac:dyDescent="0.45">
      <c r="J256" s="3"/>
    </row>
    <row r="257" spans="10:10" x14ac:dyDescent="0.45">
      <c r="J257" s="3"/>
    </row>
    <row r="258" spans="10:10" x14ac:dyDescent="0.45">
      <c r="J258" s="3"/>
    </row>
    <row r="259" spans="10:10" x14ac:dyDescent="0.45">
      <c r="J259" s="3"/>
    </row>
    <row r="260" spans="10:10" x14ac:dyDescent="0.45">
      <c r="J260" s="3"/>
    </row>
    <row r="261" spans="10:10" x14ac:dyDescent="0.45">
      <c r="J261" s="3"/>
    </row>
    <row r="262" spans="10:10" x14ac:dyDescent="0.45">
      <c r="J262" s="3"/>
    </row>
    <row r="263" spans="10:10" x14ac:dyDescent="0.45">
      <c r="J263" s="3"/>
    </row>
    <row r="264" spans="10:10" x14ac:dyDescent="0.45">
      <c r="J264" s="3"/>
    </row>
    <row r="265" spans="10:10" x14ac:dyDescent="0.45">
      <c r="J265" s="3"/>
    </row>
    <row r="266" spans="10:10" x14ac:dyDescent="0.45">
      <c r="J266" s="3"/>
    </row>
    <row r="267" spans="10:10" x14ac:dyDescent="0.45">
      <c r="J267" s="3"/>
    </row>
    <row r="268" spans="10:10" x14ac:dyDescent="0.45">
      <c r="J268" s="3"/>
    </row>
    <row r="269" spans="10:10" x14ac:dyDescent="0.45">
      <c r="J269" s="3"/>
    </row>
    <row r="270" spans="10:10" x14ac:dyDescent="0.45">
      <c r="J270" s="3"/>
    </row>
    <row r="271" spans="10:10" x14ac:dyDescent="0.45">
      <c r="J271" s="3"/>
    </row>
    <row r="272" spans="10:10" x14ac:dyDescent="0.45">
      <c r="J272" s="3"/>
    </row>
    <row r="273" spans="10:10" x14ac:dyDescent="0.45">
      <c r="J273" s="3"/>
    </row>
    <row r="274" spans="10:10" x14ac:dyDescent="0.45">
      <c r="J274" s="3"/>
    </row>
    <row r="275" spans="10:10" x14ac:dyDescent="0.45">
      <c r="J275" s="3"/>
    </row>
    <row r="276" spans="10:10" x14ac:dyDescent="0.45">
      <c r="J276" s="3"/>
    </row>
    <row r="277" spans="10:10" x14ac:dyDescent="0.45">
      <c r="J277" s="3"/>
    </row>
    <row r="278" spans="10:10" x14ac:dyDescent="0.45">
      <c r="J278" s="3"/>
    </row>
    <row r="279" spans="10:10" x14ac:dyDescent="0.45">
      <c r="J279" s="3"/>
    </row>
    <row r="280" spans="10:10" x14ac:dyDescent="0.45">
      <c r="J280" s="3"/>
    </row>
  </sheetData>
  <dataConsolidate/>
  <mergeCells count="4">
    <mergeCell ref="A1:L1"/>
    <mergeCell ref="A2:G2"/>
    <mergeCell ref="A3:G3"/>
    <mergeCell ref="O3:X3"/>
  </mergeCells>
  <conditionalFormatting sqref="L5:L189">
    <cfRule type="cellIs" dxfId="3" priority="2" operator="lessThan">
      <formula>0</formula>
    </cfRule>
  </conditionalFormatting>
  <conditionalFormatting sqref="M5:M189">
    <cfRule type="cellIs" dxfId="2" priority="1" operator="equal">
      <formula>FALSE</formula>
    </cfRule>
  </conditionalFormatting>
  <dataValidations count="1">
    <dataValidation type="list" allowBlank="1" showInputMessage="1" showErrorMessage="1" sqref="H2" xr:uid="{78560C70-7918-4E26-BD24-5298F04F376E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errorStyle="information" allowBlank="1" showInputMessage="1" showErrorMessage="1" xr:uid="{6F077685-3A4E-48C0-863A-F8CAD8E95849}">
          <x14:formula1>
            <xm:f>Resources!$A$2:$A$1503</xm:f>
          </x14:formula1>
          <xm:sqref>I6 I8:I189</xm:sqref>
        </x14:dataValidation>
        <x14:dataValidation type="list" allowBlank="1" showInputMessage="1" showErrorMessage="1" xr:uid="{A94D16FC-46C4-4EC8-B940-8777E6B21FB1}">
          <x14:formula1>
            <xm:f>ProjAppSvc!$A$4:$A$450</xm:f>
          </x14:formula1>
          <xm:sqref>D5:D189</xm:sqref>
        </x14:dataValidation>
        <x14:dataValidation type="list" allowBlank="1" showInputMessage="1" showErrorMessage="1" xr:uid="{003B4F25-08B2-4C16-A420-20BA42364D3A}">
          <x14:formula1>
            <xm:f>UnitsDepts!$A$4:$A$450</xm:f>
          </x14:formula1>
          <xm:sqref>C5:C189</xm:sqref>
        </x14:dataValidation>
        <x14:dataValidation type="list" allowBlank="1" showInputMessage="1" showErrorMessage="1" xr:uid="{479C758B-AB42-47F5-A1FF-69E20929F183}">
          <x14:formula1>
            <xm:f>Orgs!$A$4:$A$450</xm:f>
          </x14:formula1>
          <xm:sqref>B5:B189</xm:sqref>
        </x14:dataValidation>
        <x14:dataValidation type="list" allowBlank="1" showInputMessage="1" showErrorMessage="1" xr:uid="{567C3EF4-4793-4A3B-94FF-0AF0C8BE7C3B}">
          <x14:formula1>
            <xm:f>Func!$A$4:$A$430</xm:f>
          </x14:formula1>
          <xm:sqref>F5:F189</xm:sqref>
        </x14:dataValidation>
        <x14:dataValidation type="list" allowBlank="1" showInputMessage="1" showErrorMessage="1" xr:uid="{0B65F6C7-577B-4E83-B88A-1EB203216A82}">
          <x14:formula1>
            <xm:f>AzureRegions!$A$4:$A$1493</xm:f>
          </x14:formula1>
          <xm:sqref>H5:H189</xm:sqref>
        </x14:dataValidation>
        <x14:dataValidation type="list" allowBlank="1" showInputMessage="1" showErrorMessage="1" xr:uid="{8B8C554E-B3F0-439E-AF92-A14BCD0E8FAA}">
          <x14:formula1>
            <xm:f>Enviroments!$A$4:$A$43</xm:f>
          </x14:formula1>
          <xm:sqref>E5:E189</xm:sqref>
        </x14:dataValidation>
        <x14:dataValidation type="list" errorStyle="information" allowBlank="1" showErrorMessage="1" xr:uid="{A13F3B15-B634-4CDE-9B4F-490B9EDB600E}">
          <x14:formula1>
            <xm:f>Resources!$A$2:$A$1503</xm:f>
          </x14:formula1>
          <xm:sqref>I5</xm:sqref>
        </x14:dataValidation>
        <x14:dataValidation type="list" errorStyle="information" allowBlank="1" showInputMessage="1" xr:uid="{79C3DAE1-35CA-4A58-A944-BE0E90B21398}">
          <x14:formula1>
            <xm:f>Resources!$A$2:$A$1503</xm:f>
          </x14:formula1>
          <xm:sqref>I7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90A03-B27A-4225-A4FE-C672ADE92318}">
  <sheetPr codeName="Sheet20"/>
  <dimension ref="A1:AC280"/>
  <sheetViews>
    <sheetView workbookViewId="0">
      <selection activeCell="A8" sqref="A8"/>
    </sheetView>
  </sheetViews>
  <sheetFormatPr defaultColWidth="9.1796875" defaultRowHeight="16.5" x14ac:dyDescent="0.45"/>
  <cols>
    <col min="1" max="1" width="19.453125" style="3" customWidth="1"/>
    <col min="2" max="4" width="28" style="3" customWidth="1"/>
    <col min="5" max="6" width="13.54296875" style="3" customWidth="1"/>
    <col min="7" max="7" width="38.81640625" style="3" customWidth="1"/>
    <col min="8" max="8" width="40" style="3" customWidth="1"/>
    <col min="9" max="9" width="40" style="8" customWidth="1"/>
    <col min="10" max="10" width="92.08984375" style="8" customWidth="1"/>
    <col min="11" max="11" width="43.453125" style="3" customWidth="1"/>
    <col min="12" max="12" width="104.453125" style="3" customWidth="1"/>
    <col min="13" max="13" width="28.54296875" style="3" customWidth="1"/>
    <col min="14" max="14" width="33.1796875" style="3" hidden="1" customWidth="1"/>
    <col min="15" max="18" width="22.54296875" style="3" hidden="1" customWidth="1"/>
    <col min="19" max="25" width="23.453125" style="3" hidden="1" customWidth="1"/>
    <col min="26" max="26" width="34.1796875" style="3" hidden="1" customWidth="1"/>
    <col min="27" max="27" width="0" style="3" hidden="1" customWidth="1"/>
    <col min="28" max="28" width="12.08984375" style="3" hidden="1" customWidth="1"/>
    <col min="29" max="29" width="17.81640625" style="3" hidden="1" customWidth="1"/>
    <col min="30" max="16384" width="9.1796875" style="3"/>
  </cols>
  <sheetData>
    <row r="1" spans="1:29" ht="68" x14ac:dyDescent="1.65">
      <c r="A1" s="25" t="s">
        <v>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15"/>
    </row>
    <row r="2" spans="1:29" ht="16.5" customHeight="1" x14ac:dyDescent="0.55000000000000004">
      <c r="A2" s="23" t="s">
        <v>5</v>
      </c>
      <c r="B2" s="23"/>
      <c r="C2" s="23"/>
      <c r="D2" s="23"/>
      <c r="E2" s="23"/>
      <c r="F2" s="23"/>
      <c r="G2" s="23"/>
      <c r="H2" s="9" t="s">
        <v>6</v>
      </c>
      <c r="I2" s="16"/>
      <c r="J2" s="16"/>
      <c r="K2" s="9"/>
      <c r="L2" s="9"/>
      <c r="M2" s="9"/>
    </row>
    <row r="3" spans="1:29" ht="21" x14ac:dyDescent="0.55000000000000004">
      <c r="A3" s="23"/>
      <c r="B3" s="23"/>
      <c r="C3" s="23"/>
      <c r="D3" s="23"/>
      <c r="E3" s="23"/>
      <c r="F3" s="23"/>
      <c r="G3" s="23"/>
      <c r="H3" s="9"/>
      <c r="I3" s="16"/>
      <c r="J3" s="16"/>
      <c r="K3" s="9"/>
      <c r="L3" s="9"/>
      <c r="M3" s="9"/>
      <c r="O3" s="24" t="s">
        <v>7</v>
      </c>
      <c r="P3" s="24"/>
      <c r="Q3" s="24"/>
      <c r="R3" s="24"/>
      <c r="S3" s="24"/>
      <c r="T3" s="24"/>
      <c r="U3" s="24"/>
      <c r="V3" s="24"/>
      <c r="W3" s="24"/>
      <c r="X3" s="24"/>
      <c r="Y3" s="2"/>
    </row>
    <row r="4" spans="1:29" ht="21" x14ac:dyDescent="0.55000000000000004">
      <c r="A4" s="7" t="s">
        <v>8</v>
      </c>
      <c r="B4" s="7" t="s">
        <v>3</v>
      </c>
      <c r="C4" s="7" t="s">
        <v>225</v>
      </c>
      <c r="D4" s="7" t="s">
        <v>233</v>
      </c>
      <c r="E4" s="7" t="s">
        <v>9</v>
      </c>
      <c r="F4" s="7" t="s">
        <v>234</v>
      </c>
      <c r="G4" s="7" t="s">
        <v>10</v>
      </c>
      <c r="H4" s="10" t="s">
        <v>11</v>
      </c>
      <c r="I4" s="7" t="s">
        <v>241</v>
      </c>
      <c r="J4" s="7" t="s">
        <v>219</v>
      </c>
      <c r="K4" s="7" t="s">
        <v>13</v>
      </c>
      <c r="L4" s="7" t="s">
        <v>14</v>
      </c>
      <c r="M4" s="7" t="s">
        <v>15</v>
      </c>
      <c r="N4" s="2" t="s">
        <v>16</v>
      </c>
      <c r="O4" s="2" t="s">
        <v>17</v>
      </c>
      <c r="P4" s="2" t="s">
        <v>18</v>
      </c>
      <c r="Q4" s="2" t="s">
        <v>19</v>
      </c>
      <c r="R4" s="2" t="s">
        <v>11</v>
      </c>
      <c r="S4" s="2" t="s">
        <v>20</v>
      </c>
      <c r="T4" s="2" t="s">
        <v>21</v>
      </c>
      <c r="U4" s="3" t="s">
        <v>12</v>
      </c>
      <c r="V4" s="3" t="s">
        <v>22</v>
      </c>
      <c r="W4" s="3" t="s">
        <v>5</v>
      </c>
      <c r="X4" s="3" t="s">
        <v>8</v>
      </c>
      <c r="Y4" s="3" t="s">
        <v>234</v>
      </c>
      <c r="Z4" s="3" t="s">
        <v>220</v>
      </c>
      <c r="AA4" s="3" t="s">
        <v>221</v>
      </c>
      <c r="AB4" s="3" t="s">
        <v>235</v>
      </c>
      <c r="AC4" s="3" t="s">
        <v>236</v>
      </c>
    </row>
    <row r="5" spans="1:29" x14ac:dyDescent="0.45">
      <c r="A5" s="14" t="s">
        <v>23</v>
      </c>
      <c r="B5" s="14"/>
      <c r="C5" s="14"/>
      <c r="D5" s="14" t="s">
        <v>237</v>
      </c>
      <c r="E5" s="3" t="s">
        <v>24</v>
      </c>
      <c r="G5" s="3" t="s">
        <v>218</v>
      </c>
      <c r="H5" s="8" t="s">
        <v>26</v>
      </c>
      <c r="I5" s="3" t="s">
        <v>1274</v>
      </c>
      <c r="J5" s="3" t="str">
        <f>IFERROR(Z5, "")</f>
        <v>{azSrvAbbr}{ProjAppSvc}-{envLongCode}-{azRegionShortCode}-{Instance}</v>
      </c>
      <c r="K5" s="3" t="str">
        <f>IF(ISNUMBER(SEARCH("-",V5)),IFERROR(IF($H$2="Lower", LOWER(ComputeResourceName(Z5,AC5,AA5,G5,N5,O5,P5,Q5,S5,T5,V5,A5,Y5,AB5)), UPPER(ComputeResourceName(Z5,AC5,AA5,G5,N5,O5,P5,Q5,S5,T5,V5,A5,Y5,AB5))),""),SUBSTITUTE(IFERROR(IF($H$2="Lower", LOWER(ComputeResourceName(Z5,AC5,AA5,G5,N5,O5,P5,Q5,S5,T5,V5,A5,Y5,AB5)), UPPER(ComputeResourceName(Z5,AC5,AA5,G5,N5,O5,P5,Q5,S5,T5,V5,A5,Y5,AB5))),""), "-",""))</f>
        <v>rg-spa-prd-ne-001</v>
      </c>
      <c r="L5" s="3">
        <f xml:space="preserve"> IF(K5="","",  IFERROR(VLOOKUP(I5,Resources!$A$2:$AA$1500,9,FALSE)-LEN(K5),0))</f>
        <v>73</v>
      </c>
      <c r="M5" s="3" t="b">
        <f>IF(K5="","",IFERROR(matches(K5,VLOOKUP(I5,Resources!$A$2:$AA$1503,16,FALSE)),FALSE))</f>
        <v>1</v>
      </c>
      <c r="N5" s="3" t="str">
        <f>VLOOKUP(E5,Enviroments!$A$3:$D$59,1,FALSE)</f>
        <v>Production</v>
      </c>
      <c r="O5" s="3" t="str">
        <f>VLOOKUP(E5,Enviroments!$A$3:$D$59,2,FALSE)</f>
        <v>p</v>
      </c>
      <c r="P5" s="3" t="str">
        <f>VLOOKUP(E5,Enviroments!$A$3:$D$59,3,FALSE)</f>
        <v>prd</v>
      </c>
      <c r="Q5" s="3">
        <f>VLOOKUP(E5,Enviroments!$A$3:$D$59,4,FALSE)</f>
        <v>2</v>
      </c>
      <c r="R5" s="3" t="str">
        <f>VLOOKUP(H5,AzureRegions!$A$4:$B$1493,1,FALSE)</f>
        <v>North Europe</v>
      </c>
      <c r="S5" s="3" t="str">
        <f>VLOOKUP(H5,AzureRegions!$A$4:$B$1493,2,FALSE)</f>
        <v>northeurope</v>
      </c>
      <c r="T5" s="3" t="str">
        <f>VLOOKUP(H5,AzureRegions!$A$4:$C$1493,3,FALSE)</f>
        <v>NE</v>
      </c>
      <c r="U5" s="3" t="str">
        <f>VLOOKUP(I5,Resources!$A$2:$AA$1503,2,FALSE)</f>
        <v>Resources/resourcegroups</v>
      </c>
      <c r="V5" s="3" t="str">
        <f>VLOOKUP(I5,Resources!$A$2:$H$1503,6,FALSE)</f>
        <v>rg-</v>
      </c>
      <c r="W5" s="3" t="str">
        <f>VLOOKUP($H$2,Casing!$A$4:$A$60,1,FALSE)</f>
        <v>Lower</v>
      </c>
      <c r="X5" s="14" t="str">
        <f>A5</f>
        <v>001</v>
      </c>
      <c r="Y5" s="3" t="str">
        <f>IFERROR(VLOOKUP(F5,Func!$A$4:$G$1500,2,FALSE),"none")</f>
        <v>none</v>
      </c>
      <c r="Z5" s="3" t="str">
        <f>VLOOKUP(I5,Resources!$A$2:$AA$1503,18,FALSE)</f>
        <v>{azSrvAbbr}{ProjAppSvc}-{envLongCode}-{azRegionShortCode}-{Instance}</v>
      </c>
      <c r="AA5" s="3" t="str">
        <f>IFERROR(VLOOKUP(B5,Orgs!$A$4:$G$1500,2,FALSE),"none")</f>
        <v>none</v>
      </c>
      <c r="AB5" s="3" t="str">
        <f>IFERROR(VLOOKUP(C5,UnitsDepts!$A$4:$G$1500,2,FALSE),"none")</f>
        <v>none</v>
      </c>
      <c r="AC5" s="3" t="str">
        <f>IFERROR(VLOOKUP(D5,ProjAppSvc!$A$4:$G$1500,2,FALSE),"none")</f>
        <v>spa</v>
      </c>
    </row>
    <row r="6" spans="1:29" x14ac:dyDescent="0.45">
      <c r="A6" s="14" t="s">
        <v>23</v>
      </c>
      <c r="B6" s="14"/>
      <c r="C6" s="14"/>
      <c r="D6" s="14" t="s">
        <v>237</v>
      </c>
      <c r="E6" s="3" t="s">
        <v>24</v>
      </c>
      <c r="G6" s="3" t="s">
        <v>218</v>
      </c>
      <c r="H6" s="8" t="s">
        <v>26</v>
      </c>
      <c r="I6" s="3" t="s">
        <v>1275</v>
      </c>
      <c r="J6" s="3" t="str">
        <f t="shared" ref="J6:J10" si="0">IFERROR(Z6, "")</f>
        <v>{azSrvAbbr}{ProjAppSvc}-{envLongCode}-{azRegionShortCode}-{Instance}</v>
      </c>
      <c r="K6" s="3" t="str">
        <f>IF(ISNUMBER(SEARCH("-",V6)),IFERROR(IF($H$2="Lower", LOWER(ComputeResourceName(Z6,AC6,AA6,G6,N6,O6,P6,Q6,S6,T6,V6,A6,Y6,AB6)), UPPER(ComputeResourceName(Z6,AC6,AA6,G6,N6,O6,P6,Q6,S6,T6,V6,A6,Y6,AB6))),""),SUBSTITUTE(IFERROR(IF($H$2="Lower", LOWER(ComputeResourceName(Z6,AC6,AA6,G6,N6,O6,P6,Q6,S6,T6,V6,A6,Y6,AB6)), UPPER(ComputeResourceName(Z6,AC6,AA6,G6,N6,O6,P6,Q6,S6,T6,V6,A6,Y6,AB6))),""), "-",""))</f>
        <v>stspaprdne001</v>
      </c>
      <c r="L6" s="3">
        <f xml:space="preserve"> IF(K6="","",  IFERROR(VLOOKUP(I6,Resources!$A$2:$AA$1500,9,FALSE)-LEN(K6),0))</f>
        <v>11</v>
      </c>
      <c r="M6" s="3" t="b">
        <f>IF(K6="","",IFERROR(matches(K6,VLOOKUP(I6,Resources!$A$2:$AA$1503,16,FALSE)),FALSE))</f>
        <v>1</v>
      </c>
      <c r="N6" s="3" t="str">
        <f>VLOOKUP(E6,Enviroments!$A$3:$D$59,1,FALSE)</f>
        <v>Production</v>
      </c>
      <c r="O6" s="3" t="str">
        <f>VLOOKUP(E6,Enviroments!$A$3:$D$59,2,FALSE)</f>
        <v>p</v>
      </c>
      <c r="P6" s="3" t="str">
        <f>VLOOKUP(E6,Enviroments!$A$3:$D$59,3,FALSE)</f>
        <v>prd</v>
      </c>
      <c r="Q6" s="3">
        <f>VLOOKUP(E6,Enviroments!$A$3:$D$59,4,FALSE)</f>
        <v>2</v>
      </c>
      <c r="R6" s="3" t="str">
        <f>VLOOKUP(H6,AzureRegions!$A$4:$B$1493,1,FALSE)</f>
        <v>North Europe</v>
      </c>
      <c r="S6" s="3" t="str">
        <f>VLOOKUP(H6,AzureRegions!$A$4:$B$1493,2,FALSE)</f>
        <v>northeurope</v>
      </c>
      <c r="T6" s="3" t="str">
        <f>VLOOKUP(H6,AzureRegions!$A$4:$C$1493,3,FALSE)</f>
        <v>NE</v>
      </c>
      <c r="U6" s="3" t="str">
        <f>VLOOKUP(I6,Resources!$A$2:$AA$1503,2,FALSE)</f>
        <v>Storage/storageAccounts</v>
      </c>
      <c r="V6" s="3" t="str">
        <f>VLOOKUP(I6,Resources!$A$2:$H$1503,6,FALSE)</f>
        <v>st</v>
      </c>
      <c r="W6" s="3" t="str">
        <f>VLOOKUP($H$2,Casing!$A$4:$A$60,1,FALSE)</f>
        <v>Lower</v>
      </c>
      <c r="X6" s="14" t="str">
        <f>A6</f>
        <v>001</v>
      </c>
      <c r="Y6" s="3" t="str">
        <f>IFERROR(VLOOKUP(F6,Func!$A$4:$G$1500,2,FALSE),"none")</f>
        <v>none</v>
      </c>
      <c r="Z6" s="3" t="str">
        <f>VLOOKUP(I6,Resources!$A$2:$AA$1503,18,FALSE)</f>
        <v>{azSrvAbbr}{ProjAppSvc}-{envLongCode}-{azRegionShortCode}-{Instance}</v>
      </c>
      <c r="AA6" s="3" t="str">
        <f>IFERROR(VLOOKUP(B6,Orgs!$A$4:$G$1500,2,FALSE),"none")</f>
        <v>none</v>
      </c>
      <c r="AB6" s="3" t="str">
        <f>IFERROR(VLOOKUP(C6,UnitsDepts!$A$4:$G$1500,2,FALSE),"none")</f>
        <v>none</v>
      </c>
      <c r="AC6" s="3" t="str">
        <f>IFERROR(VLOOKUP(D6,ProjAppSvc!$A$4:$G$1500,2,FALSE),"none")</f>
        <v>spa</v>
      </c>
    </row>
    <row r="7" spans="1:29" x14ac:dyDescent="0.45">
      <c r="A7" s="14" t="s">
        <v>23</v>
      </c>
      <c r="B7" s="14"/>
      <c r="C7" s="14"/>
      <c r="D7" s="14" t="s">
        <v>237</v>
      </c>
      <c r="E7" s="3" t="s">
        <v>24</v>
      </c>
      <c r="G7" s="3" t="s">
        <v>218</v>
      </c>
      <c r="H7" s="8" t="s">
        <v>26</v>
      </c>
      <c r="I7" s="3" t="s">
        <v>1276</v>
      </c>
      <c r="J7" s="3" t="str">
        <f t="shared" si="0"/>
        <v>{azSrvAbbr}{ProjAppSvc}-{envLongCode}-{azRegionShortCode}-{Instance}</v>
      </c>
      <c r="K7" s="3" t="str">
        <f>IF(ISNUMBER(SEARCH("-",V7)),IFERROR(IF($H$2="Lower", LOWER(ComputeResourceName(Z7,AC7,AA7,G7,N7,O7,P7,Q7,S7,T7,V7,A7,Y7,AB7)), UPPER(ComputeResourceName(Z7,AC7,AA7,G7,N7,O7,P7,Q7,S7,T7,V7,A7,Y7,AB7))),""),SUBSTITUTE(IFERROR(IF($H$2="Lower", LOWER(ComputeResourceName(Z7,AC7,AA7,G7,N7,O7,P7,Q7,S7,T7,V7,A7,Y7,AB7)), UPPER(ComputeResourceName(Z7,AC7,AA7,G7,N7,O7,P7,Q7,S7,T7,V7,A7,Y7,AB7))),""), "-",""))</f>
        <v>ase-spa-prd-ne-001</v>
      </c>
      <c r="L7" s="3">
        <f xml:space="preserve"> IF(K7="","",  IFERROR(VLOOKUP(I7,Resources!$A$2:$AA$1500,9,FALSE)-LEN(K7),0))</f>
        <v>42</v>
      </c>
      <c r="M7" s="3" t="b">
        <f>IF(K7="","",IFERROR(matches(K7,VLOOKUP(I7,Resources!$A$2:$AA$1503,16,FALSE)),FALSE))</f>
        <v>1</v>
      </c>
      <c r="N7" s="3" t="str">
        <f>VLOOKUP(E7,Enviroments!$A$3:$D$59,1,FALSE)</f>
        <v>Production</v>
      </c>
      <c r="O7" s="3" t="str">
        <f>VLOOKUP(E7,Enviroments!$A$3:$D$59,2,FALSE)</f>
        <v>p</v>
      </c>
      <c r="P7" s="3" t="str">
        <f>VLOOKUP(E7,Enviroments!$A$3:$D$59,3,FALSE)</f>
        <v>prd</v>
      </c>
      <c r="Q7" s="3">
        <f>VLOOKUP(E7,Enviroments!$A$3:$D$59,4,FALSE)</f>
        <v>2</v>
      </c>
      <c r="R7" s="3" t="str">
        <f>VLOOKUP(H7,AzureRegions!$A$4:$B$1493,1,FALSE)</f>
        <v>North Europe</v>
      </c>
      <c r="S7" s="3" t="str">
        <f>VLOOKUP(H7,AzureRegions!$A$4:$B$1493,2,FALSE)</f>
        <v>northeurope</v>
      </c>
      <c r="T7" s="3" t="str">
        <f>VLOOKUP(H7,AzureRegions!$A$4:$C$1493,3,FALSE)</f>
        <v>NE</v>
      </c>
      <c r="U7" s="3" t="str">
        <f>VLOOKUP(I7,Resources!$A$2:$AA$1503,2,FALSE)</f>
        <v>Web/sites</v>
      </c>
      <c r="V7" s="3" t="str">
        <f>VLOOKUP(I7,Resources!$A$2:$H$1503,6,FALSE)</f>
        <v>ase-</v>
      </c>
      <c r="W7" s="3" t="str">
        <f>VLOOKUP($H$2,Casing!$A$4:$A$60,1,FALSE)</f>
        <v>Lower</v>
      </c>
      <c r="X7" s="14" t="str">
        <f t="shared" ref="X7:X70" si="1">A7</f>
        <v>001</v>
      </c>
      <c r="Y7" s="3" t="str">
        <f>IFERROR(VLOOKUP(F7,Func!$A$4:$G$1500,2,FALSE),"none")</f>
        <v>none</v>
      </c>
      <c r="Z7" s="3" t="str">
        <f>VLOOKUP(I7,Resources!$A$2:$AA$1503,18,FALSE)</f>
        <v>{azSrvAbbr}{ProjAppSvc}-{envLongCode}-{azRegionShortCode}-{Instance}</v>
      </c>
      <c r="AA7" s="3" t="str">
        <f>IFERROR(VLOOKUP(B7,Orgs!$A$4:$G$1500,2,FALSE),"none")</f>
        <v>none</v>
      </c>
      <c r="AB7" s="3" t="str">
        <f>IFERROR(VLOOKUP(C7,UnitsDepts!$A$4:$G$1500,2,FALSE),"none")</f>
        <v>none</v>
      </c>
      <c r="AC7" s="3" t="str">
        <f>IFERROR(VLOOKUP(D7,ProjAppSvc!$A$4:$G$1500,2,FALSE),"none")</f>
        <v>spa</v>
      </c>
    </row>
    <row r="8" spans="1:29" x14ac:dyDescent="0.45">
      <c r="A8" s="14" t="s">
        <v>23</v>
      </c>
      <c r="B8" s="14"/>
      <c r="C8" s="14"/>
      <c r="D8" s="14" t="s">
        <v>237</v>
      </c>
      <c r="E8" s="3" t="s">
        <v>24</v>
      </c>
      <c r="F8" s="3" t="s">
        <v>231</v>
      </c>
      <c r="G8" s="3" t="s">
        <v>218</v>
      </c>
      <c r="H8" s="8" t="s">
        <v>26</v>
      </c>
      <c r="I8" s="3" t="s">
        <v>1277</v>
      </c>
      <c r="J8" s="3" t="str">
        <f t="shared" si="0"/>
        <v>{azSrvAbbr}{ProjAppSvc}-{Func}-{envLongCode}-{azRegionShortCode}-{Instance}</v>
      </c>
      <c r="K8" s="3" t="str">
        <f>IF(ISNUMBER(SEARCH("-",V8)),IFERROR(IF($H$2="Lower", LOWER(ComputeResourceName(Z8,AC8,AA8,G8,N8,O8,P8,Q8,S8,T8,V8,A8,Y8,AB8)), UPPER(ComputeResourceName(Z8,AC8,AA8,G8,N8,O8,P8,Q8,S8,T8,V8,A8,Y8,AB8))),""),SUBSTITUTE(IFERROR(IF($H$2="Lower", LOWER(ComputeResourceName(Z8,AC8,AA8,G8,N8,O8,P8,Q8,S8,T8,V8,A8,Y8,AB8)), UPPER(ComputeResourceName(Z8,AC8,AA8,G8,N8,O8,P8,Q8,S8,T8,V8,A8,Y8,AB8))),""), "-",""))</f>
        <v>vm-spa-dns-prd-ne-001</v>
      </c>
      <c r="L8" s="3">
        <f xml:space="preserve"> IF(K8="","",  IFERROR(VLOOKUP(I8,Resources!$A$2:$AA$1500,9,FALSE)-LEN(K8),0))</f>
        <v>43</v>
      </c>
      <c r="M8" s="3" t="b">
        <f>IF(K8="","",IFERROR(matches(K8,VLOOKUP(I8,Resources!$A$2:$AA$1503,16,FALSE)),FALSE))</f>
        <v>1</v>
      </c>
      <c r="N8" s="3" t="str">
        <f>VLOOKUP(E8,Enviroments!$A$3:$D$59,1,FALSE)</f>
        <v>Production</v>
      </c>
      <c r="O8" s="3" t="str">
        <f>VLOOKUP(E8,Enviroments!$A$3:$D$59,2,FALSE)</f>
        <v>p</v>
      </c>
      <c r="P8" s="3" t="str">
        <f>VLOOKUP(E8,Enviroments!$A$3:$D$59,3,FALSE)</f>
        <v>prd</v>
      </c>
      <c r="Q8" s="3">
        <f>VLOOKUP(E8,Enviroments!$A$3:$D$59,4,FALSE)</f>
        <v>2</v>
      </c>
      <c r="R8" s="3" t="str">
        <f>VLOOKUP(H8,AzureRegions!$A$4:$B$1493,1,FALSE)</f>
        <v>North Europe</v>
      </c>
      <c r="S8" s="3" t="str">
        <f>VLOOKUP(H8,AzureRegions!$A$4:$B$1493,2,FALSE)</f>
        <v>northeurope</v>
      </c>
      <c r="T8" s="3" t="str">
        <f>VLOOKUP(H8,AzureRegions!$A$4:$C$1493,3,FALSE)</f>
        <v>NE</v>
      </c>
      <c r="U8" s="3" t="str">
        <f>VLOOKUP(I8,Resources!$A$2:$AA$1503,2,FALSE)</f>
        <v>Compute/virtualMachines</v>
      </c>
      <c r="V8" s="3" t="str">
        <f>VLOOKUP(I8,Resources!$A$2:$H$1503,6,FALSE)</f>
        <v>vm-</v>
      </c>
      <c r="W8" s="3" t="str">
        <f>VLOOKUP($H$2,Casing!$A$4:$A$60,1,FALSE)</f>
        <v>Lower</v>
      </c>
      <c r="X8" s="14" t="str">
        <f t="shared" si="1"/>
        <v>001</v>
      </c>
      <c r="Y8" s="3" t="str">
        <f>IFERROR(VLOOKUP(F8,Func!$A$4:$G$1500,2,FALSE),"none")</f>
        <v>dns</v>
      </c>
      <c r="Z8" s="3" t="str">
        <f>VLOOKUP(I8,Resources!$A$2:$AA$1503,18,FALSE)</f>
        <v>{azSrvAbbr}{ProjAppSvc}-{Func}-{envLongCode}-{azRegionShortCode}-{Instance}</v>
      </c>
      <c r="AA8" s="3" t="str">
        <f>IFERROR(VLOOKUP(B8,Orgs!$A$4:$G$1500,2,FALSE),"none")</f>
        <v>none</v>
      </c>
      <c r="AB8" s="3" t="str">
        <f>IFERROR(VLOOKUP(C8,UnitsDepts!$A$4:$G$1500,2,FALSE),"none")</f>
        <v>none</v>
      </c>
      <c r="AC8" s="3" t="str">
        <f>IFERROR(VLOOKUP(D8,ProjAppSvc!$A$4:$G$1500,2,FALSE),"none")</f>
        <v>spa</v>
      </c>
    </row>
    <row r="9" spans="1:29" x14ac:dyDescent="0.45">
      <c r="A9" s="14" t="s">
        <v>23</v>
      </c>
      <c r="B9" s="14"/>
      <c r="C9" s="14"/>
      <c r="D9" s="14"/>
      <c r="H9" s="8"/>
      <c r="I9" s="3"/>
      <c r="J9" s="3" t="str">
        <f t="shared" si="0"/>
        <v/>
      </c>
      <c r="K9" s="3" t="str">
        <f>IF(ISNUMBER(SEARCH("-",V9)),IFERROR(IF($H$2="Lower", LOWER(ComputeResourceName(Z9,AC9,AA9,G9,N9,O9,P9,Q9,S9,T9,V9,A9,Y9,AB9)), UPPER(ComputeResourceName(Z9,AC9,AA9,G9,N9,O9,P9,Q9,S9,T9,V9,A9,Y9,AB9))),""),SUBSTITUTE(IFERROR(IF($H$2="Lower", LOWER(ComputeResourceName(Z9,AC9,AA9,G9,N9,O9,P9,Q9,S9,T9,V9,A9,Y9,AB9)), UPPER(ComputeResourceName(Z9,AC9,AA9,G9,N9,O9,P9,Q9,S9,T9,V9,A9,Y9,AB9))),""), "-",""))</f>
        <v/>
      </c>
      <c r="L9" s="3" t="str">
        <f xml:space="preserve"> IF(K9="","",  IFERROR(VLOOKUP(I9,Resources!$A$2:$AA$1500,9,FALSE)-LEN(K9),0))</f>
        <v/>
      </c>
      <c r="M9" s="3" t="str">
        <f>IF(K9="","",IFERROR(matches(K9,VLOOKUP(I9,Resources!$A$2:$AA$1503,16,FALSE)),FALSE))</f>
        <v/>
      </c>
      <c r="N9" s="3" t="e">
        <f>VLOOKUP(E9,Enviroments!$A$3:$D$59,1,FALSE)</f>
        <v>#N/A</v>
      </c>
      <c r="O9" s="3" t="e">
        <f>VLOOKUP(E9,Enviroments!$A$3:$D$59,2,FALSE)</f>
        <v>#N/A</v>
      </c>
      <c r="P9" s="3" t="e">
        <f>VLOOKUP(E9,Enviroments!$A$3:$D$59,3,FALSE)</f>
        <v>#N/A</v>
      </c>
      <c r="Q9" s="3" t="e">
        <f>VLOOKUP(E9,Enviroments!$A$3:$D$59,4,FALSE)</f>
        <v>#N/A</v>
      </c>
      <c r="R9" s="3" t="e">
        <f>VLOOKUP(H9,AzureRegions!$A$4:$B$1493,1,FALSE)</f>
        <v>#N/A</v>
      </c>
      <c r="S9" s="3" t="e">
        <f>VLOOKUP(H9,AzureRegions!$A$4:$B$1493,2,FALSE)</f>
        <v>#N/A</v>
      </c>
      <c r="T9" s="3" t="e">
        <f>VLOOKUP(H9,AzureRegions!$A$4:$C$1493,3,FALSE)</f>
        <v>#N/A</v>
      </c>
      <c r="U9" s="3" t="e">
        <f>VLOOKUP(I9,Resources!$A$2:$AA$1503,2,FALSE)</f>
        <v>#N/A</v>
      </c>
      <c r="V9" s="3" t="e">
        <f>VLOOKUP(I9,Resources!$A$2:$H$1503,6,FALSE)</f>
        <v>#N/A</v>
      </c>
      <c r="W9" s="3" t="str">
        <f>VLOOKUP($H$2,Casing!$A$4:$A$60,1,FALSE)</f>
        <v>Lower</v>
      </c>
      <c r="X9" s="14" t="str">
        <f t="shared" si="1"/>
        <v>001</v>
      </c>
      <c r="Y9" s="3" t="str">
        <f>IFERROR(VLOOKUP(F9,Func!$A$4:$G$1500,2,FALSE),"none")</f>
        <v>none</v>
      </c>
      <c r="Z9" s="3" t="e">
        <f>VLOOKUP(I9,Resources!$A$2:$AA$1503,18,FALSE)</f>
        <v>#N/A</v>
      </c>
      <c r="AA9" s="3" t="str">
        <f>IFERROR(VLOOKUP(B9,Orgs!$A$4:$G$1500,2,FALSE),"none")</f>
        <v>none</v>
      </c>
      <c r="AB9" s="3" t="str">
        <f>IFERROR(VLOOKUP(C9,UnitsDepts!$A$4:$G$1500,2,FALSE),"none")</f>
        <v>none</v>
      </c>
      <c r="AC9" s="3" t="str">
        <f>IFERROR(VLOOKUP(D9,ProjAppSvc!$A$4:$G$1500,2,FALSE),"none")</f>
        <v>none</v>
      </c>
    </row>
    <row r="10" spans="1:29" x14ac:dyDescent="0.45">
      <c r="A10" s="14" t="s">
        <v>23</v>
      </c>
      <c r="B10" s="14"/>
      <c r="C10" s="14"/>
      <c r="D10" s="14"/>
      <c r="H10" s="8"/>
      <c r="I10" s="3"/>
      <c r="J10" s="3" t="str">
        <f t="shared" si="0"/>
        <v/>
      </c>
      <c r="K10" s="3" t="str">
        <f>IF(ISNUMBER(SEARCH("-",V10)),IFERROR(IF($H$2="Lower", LOWER(ComputeResourceName(Z10,AC10,AA10,G10,N10,O10,P10,Q10,S10,T10,V10,A10,Y10,AB10)), UPPER(ComputeResourceName(Z10,AC10,AA10,G10,N10,O10,P10,Q10,S10,T10,V10,A10,Y10,AB10))),""),SUBSTITUTE(IFERROR(IF($H$2="Lower", LOWER(ComputeResourceName(Z10,AC10,AA10,G10,N10,O10,P10,Q10,S10,T10,V10,A10,Y10,AB10)), UPPER(ComputeResourceName(Z10,AC10,AA10,G10,N10,O10,P10,Q10,S10,T10,V10,A10,Y10,AB10))),""), "-",""))</f>
        <v/>
      </c>
      <c r="L10" s="3" t="str">
        <f xml:space="preserve"> IF(K10="","",  IFERROR(VLOOKUP(I10,Resources!$A$2:$AA$1500,9,FALSE)-LEN(K10),0))</f>
        <v/>
      </c>
      <c r="M10" s="3" t="str">
        <f>IF(K10="","",IFERROR(matches(K10,VLOOKUP(I10,Resources!$A$2:$AA$1503,16,FALSE)),FALSE))</f>
        <v/>
      </c>
      <c r="N10" s="3" t="e">
        <f>VLOOKUP(E10,Enviroments!$A$3:$D$59,1,FALSE)</f>
        <v>#N/A</v>
      </c>
      <c r="O10" s="3" t="e">
        <f>VLOOKUP(E10,Enviroments!$A$3:$D$59,2,FALSE)</f>
        <v>#N/A</v>
      </c>
      <c r="P10" s="3" t="e">
        <f>VLOOKUP(E10,Enviroments!$A$3:$D$59,3,FALSE)</f>
        <v>#N/A</v>
      </c>
      <c r="Q10" s="3" t="e">
        <f>VLOOKUP(E10,Enviroments!$A$3:$D$59,4,FALSE)</f>
        <v>#N/A</v>
      </c>
      <c r="R10" s="3" t="e">
        <f>VLOOKUP(H10,AzureRegions!$A$4:$B$1493,1,FALSE)</f>
        <v>#N/A</v>
      </c>
      <c r="S10" s="3" t="e">
        <f>VLOOKUP(H10,AzureRegions!$A$4:$B$1493,2,FALSE)</f>
        <v>#N/A</v>
      </c>
      <c r="T10" s="3" t="e">
        <f>VLOOKUP(H10,AzureRegions!$A$4:$C$1493,3,FALSE)</f>
        <v>#N/A</v>
      </c>
      <c r="U10" s="3" t="e">
        <f>VLOOKUP(I10,Resources!$A$2:$AA$1503,2,FALSE)</f>
        <v>#N/A</v>
      </c>
      <c r="V10" s="3" t="e">
        <f>VLOOKUP(I10,Resources!$A$2:$H$1503,6,FALSE)</f>
        <v>#N/A</v>
      </c>
      <c r="W10" s="3" t="str">
        <f>VLOOKUP($H$2,Casing!$A$4:$A$60,1,FALSE)</f>
        <v>Lower</v>
      </c>
      <c r="X10" s="14" t="str">
        <f t="shared" si="1"/>
        <v>001</v>
      </c>
      <c r="Y10" s="3" t="str">
        <f>IFERROR(VLOOKUP(F10,Func!$A$4:$G$1500,2,FALSE),"none")</f>
        <v>none</v>
      </c>
      <c r="Z10" s="3" t="e">
        <f>VLOOKUP(I10,Resources!$A$2:$AA$1503,18,FALSE)</f>
        <v>#N/A</v>
      </c>
      <c r="AA10" s="3" t="str">
        <f>IFERROR(VLOOKUP(B10,Orgs!$A$4:$G$1500,2,FALSE),"none")</f>
        <v>none</v>
      </c>
      <c r="AB10" s="3" t="str">
        <f>IFERROR(VLOOKUP(C10,UnitsDepts!$A$4:$G$1500,2,FALSE),"none")</f>
        <v>none</v>
      </c>
      <c r="AC10" s="3" t="str">
        <f>IFERROR(VLOOKUP(D10,ProjAppSvc!$A$4:$G$1500,2,FALSE),"none")</f>
        <v>none</v>
      </c>
    </row>
    <row r="11" spans="1:29" x14ac:dyDescent="0.45">
      <c r="A11" s="14" t="s">
        <v>23</v>
      </c>
      <c r="B11" s="14"/>
      <c r="C11" s="14"/>
      <c r="D11" s="14"/>
      <c r="H11" s="8"/>
      <c r="I11" s="3"/>
      <c r="J11" s="3" t="str">
        <f>IFERROR(Z11, "")</f>
        <v/>
      </c>
      <c r="K11" s="3" t="str">
        <f>IF(ISNUMBER(SEARCH("-",V11)),IFERROR(IF($H$2="Lower", LOWER(ComputeResourceName(Z11,AC11,AA11,G11,N11,O11,P11,Q11,S11,T11,V11,A11,Y11,AB11)), UPPER(ComputeResourceName(Z11,AC11,AA11,G11,N11,O11,P11,Q11,S11,T11,V11,A11,Y11,AB11))),""),SUBSTITUTE(IFERROR(IF($H$2="Lower", LOWER(ComputeResourceName(Z11,AC11,AA11,G11,N11,O11,P11,Q11,S11,T11,V11,A11,Y11,AB11)), UPPER(ComputeResourceName(Z11,AC11,AA11,G11,N11,O11,P11,Q11,S11,T11,V11,A11,Y11,AB11))),""), "-",""))</f>
        <v/>
      </c>
      <c r="L11" s="3" t="str">
        <f xml:space="preserve"> IF(K11="","",  IFERROR(VLOOKUP(I11,Resources!$A$2:$AA$1500,9,FALSE)-LEN(K11),0))</f>
        <v/>
      </c>
      <c r="M11" s="3" t="str">
        <f>IF(K11="","",IFERROR(matches(K11,VLOOKUP(I11,Resources!$A$2:$AA$1503,16,FALSE)),FALSE))</f>
        <v/>
      </c>
      <c r="N11" s="3" t="e">
        <f>VLOOKUP(E11,Enviroments!$A$3:$D$59,1,FALSE)</f>
        <v>#N/A</v>
      </c>
      <c r="O11" s="3" t="e">
        <f>VLOOKUP(E11,Enviroments!$A$3:$D$59,2,FALSE)</f>
        <v>#N/A</v>
      </c>
      <c r="P11" s="3" t="e">
        <f>VLOOKUP(E11,Enviroments!$A$3:$D$59,3,FALSE)</f>
        <v>#N/A</v>
      </c>
      <c r="Q11" s="3" t="e">
        <f>VLOOKUP(E11,Enviroments!$A$3:$D$59,4,FALSE)</f>
        <v>#N/A</v>
      </c>
      <c r="R11" s="3" t="e">
        <f>VLOOKUP(H11,AzureRegions!$A$4:$B$1493,1,FALSE)</f>
        <v>#N/A</v>
      </c>
      <c r="S11" s="3" t="e">
        <f>VLOOKUP(H11,AzureRegions!$A$4:$B$1493,2,FALSE)</f>
        <v>#N/A</v>
      </c>
      <c r="T11" s="3" t="e">
        <f>VLOOKUP(H11,AzureRegions!$A$4:$C$1493,3,FALSE)</f>
        <v>#N/A</v>
      </c>
      <c r="U11" s="3" t="e">
        <f>VLOOKUP(I11,Resources!$A$2:$AA$1503,2,FALSE)</f>
        <v>#N/A</v>
      </c>
      <c r="V11" s="3" t="e">
        <f>VLOOKUP(I11,Resources!$A$2:$H$1503,6,FALSE)</f>
        <v>#N/A</v>
      </c>
      <c r="W11" s="3" t="str">
        <f>VLOOKUP($H$2,Casing!$A$4:$A$60,1,FALSE)</f>
        <v>Lower</v>
      </c>
      <c r="X11" s="14" t="str">
        <f t="shared" si="1"/>
        <v>001</v>
      </c>
      <c r="Y11" s="3" t="str">
        <f>IFERROR(VLOOKUP(F11,Func!$A$4:$G$1500,2,FALSE),"none")</f>
        <v>none</v>
      </c>
      <c r="Z11" s="3" t="e">
        <f>VLOOKUP(I11,Resources!$A$2:$AA$1503,18,FALSE)</f>
        <v>#N/A</v>
      </c>
      <c r="AA11" s="3" t="str">
        <f>IFERROR(VLOOKUP(B11,Orgs!$A$4:$G$1500,2,FALSE),"none")</f>
        <v>none</v>
      </c>
      <c r="AB11" s="3" t="str">
        <f>IFERROR(VLOOKUP(C11,UnitsDepts!$A$4:$G$1500,2,FALSE),"none")</f>
        <v>none</v>
      </c>
      <c r="AC11" s="3" t="str">
        <f>IFERROR(VLOOKUP(D11,ProjAppSvc!$A$4:$G$1500,2,FALSE),"none")</f>
        <v>none</v>
      </c>
    </row>
    <row r="12" spans="1:29" x14ac:dyDescent="0.45">
      <c r="A12" s="14" t="s">
        <v>23</v>
      </c>
      <c r="B12" s="14"/>
      <c r="C12" s="14"/>
      <c r="D12" s="14"/>
      <c r="H12" s="8"/>
      <c r="I12" s="3"/>
      <c r="J12" s="3" t="str">
        <f>IFERROR(Z12, "")</f>
        <v/>
      </c>
      <c r="K12" s="3" t="str">
        <f>IF(ISNUMBER(SEARCH("-",V12)),IFERROR(IF($H$2="Lower", LOWER(ComputeResourceName(Z12,#REF!,#REF!,G12,N12,O12,P12,Q12,S12,T12,V12,A12)), UPPER(ComputeResourceName(Z12,#REF!,#REF!,G12,N12,O12,P12,Q12,S12,T12,V12,A12))),""),SUBSTITUTE(IFERROR(IF($H$2="Lower", LOWER(ComputeResourceName(#REF!,#REF!,#REF!,G12,N12,O12,P12,Q12,S12,T12,V12,A12)), UPPER(ComputeResourceName(#REF!,#REF!,#REF!,G12,N12,O12,P12,Q12,S12,T12,V12,A12))),""), "-",""))</f>
        <v/>
      </c>
      <c r="L12" s="3" t="str">
        <f xml:space="preserve"> IF(K12="","",  IFERROR(VLOOKUP(I12,Resources!$B$1:$H$1503,5,FALSE)-LEN(K12),0))</f>
        <v/>
      </c>
      <c r="M12" s="3" t="str">
        <f>IF(K12="","",IFERROR(matches(K12,VLOOKUP(I12,Resources!$A$2:$AA$1503,16,FALSE)),FALSE))</f>
        <v/>
      </c>
      <c r="N12" s="3" t="e">
        <f>VLOOKUP(E12,Enviroments!$A$3:$D$59,1,FALSE)</f>
        <v>#N/A</v>
      </c>
      <c r="O12" s="3" t="e">
        <f>VLOOKUP(E12,Enviroments!$A$3:$D$59,2,FALSE)</f>
        <v>#N/A</v>
      </c>
      <c r="P12" s="3" t="e">
        <f>VLOOKUP(E12,Enviroments!$A$3:$D$59,3,FALSE)</f>
        <v>#N/A</v>
      </c>
      <c r="Q12" s="3" t="e">
        <f>VLOOKUP(E12,Enviroments!$A$3:$D$59,4,FALSE)</f>
        <v>#N/A</v>
      </c>
      <c r="R12" s="3" t="e">
        <f>VLOOKUP(H12,AzureRegions!$A$4:$B$1493,1,FALSE)</f>
        <v>#N/A</v>
      </c>
      <c r="S12" s="3" t="e">
        <f>VLOOKUP(H12,AzureRegions!$A$4:$B$1493,2,FALSE)</f>
        <v>#N/A</v>
      </c>
      <c r="T12" s="3" t="e">
        <f>VLOOKUP(H12,AzureRegions!$A$4:$C$1493,3,FALSE)</f>
        <v>#N/A</v>
      </c>
      <c r="U12" s="3" t="e">
        <f>VLOOKUP(I12,Resources!$A$2:$AA$1503,2,FALSE)</f>
        <v>#N/A</v>
      </c>
      <c r="V12" s="3" t="e">
        <f>VLOOKUP(I12,Resources!$A$2:$H$1503,6,FALSE)</f>
        <v>#N/A</v>
      </c>
      <c r="W12" s="3" t="str">
        <f>VLOOKUP($H$2,Casing!$A$4:$A$60,1,FALSE)</f>
        <v>Lower</v>
      </c>
      <c r="X12" s="14" t="str">
        <f t="shared" si="1"/>
        <v>001</v>
      </c>
      <c r="Y12" s="3" t="str">
        <f>IFERROR(VLOOKUP(F12,Func!$A$4:$G$1500,2,FALSE),"none")</f>
        <v>none</v>
      </c>
      <c r="Z12" s="3" t="e">
        <f>VLOOKUP(I12,Resources!$A$2:$AA$1503,18,FALSE)</f>
        <v>#N/A</v>
      </c>
      <c r="AA12" s="3" t="str">
        <f>IFERROR(VLOOKUP(B12,Orgs!$A$4:$G$1500,2,FALSE),"none")</f>
        <v>none</v>
      </c>
      <c r="AB12" s="3" t="str">
        <f>IFERROR(VLOOKUP(C12,UnitsDepts!$A$4:$G$1500,2,FALSE),"none")</f>
        <v>none</v>
      </c>
      <c r="AC12" s="3" t="str">
        <f>IFERROR(VLOOKUP(D12,ProjAppSvc!$A$4:$G$1500,2,FALSE),"none")</f>
        <v>none</v>
      </c>
    </row>
    <row r="13" spans="1:29" x14ac:dyDescent="0.45">
      <c r="A13" s="14" t="s">
        <v>23</v>
      </c>
      <c r="B13" s="14"/>
      <c r="C13" s="14"/>
      <c r="D13" s="14"/>
      <c r="H13" s="8"/>
      <c r="I13" s="14"/>
      <c r="J13" s="3" t="str">
        <f t="shared" ref="J13:J76" si="2">IFERROR(Z13, "")</f>
        <v/>
      </c>
      <c r="K13" s="3" t="str">
        <f>IF(ISNUMBER(SEARCH("-",V13)),IFERROR(IF($H$2="Lower", LOWER(ComputeResourceName(Z13,#REF!,#REF!,G13,N13,O13,P13,Q13,S13,T13,V13,A13)), UPPER(ComputeResourceName(Z13,#REF!,#REF!,G13,N13,O13,P13,Q13,S13,T13,V13,A13))),""),SUBSTITUTE(IFERROR(IF($H$2="Lower", LOWER(ComputeResourceName(#REF!,#REF!,#REF!,G13,N13,O13,P13,Q13,S13,T13,V13,A13)), UPPER(ComputeResourceName(#REF!,#REF!,#REF!,G13,N13,O13,P13,Q13,S13,T13,V13,A13))),""), "-",""))</f>
        <v/>
      </c>
      <c r="L13" s="3" t="str">
        <f xml:space="preserve"> IF(K13="","",  IFERROR(VLOOKUP(I13,Resources!$B$1:$H$1503,5,FALSE)-LEN(K13),0))</f>
        <v/>
      </c>
      <c r="M13" s="3" t="str">
        <f>IF(K13="","",IFERROR(matches(K13,VLOOKUP(I13,Resources!$A$2:$AA$1503,16,FALSE)),FALSE))</f>
        <v/>
      </c>
      <c r="N13" s="3" t="e">
        <f>VLOOKUP(E13,Enviroments!$A$3:$D$59,1,FALSE)</f>
        <v>#N/A</v>
      </c>
      <c r="O13" s="3" t="e">
        <f>VLOOKUP(E13,Enviroments!$A$3:$D$59,2,FALSE)</f>
        <v>#N/A</v>
      </c>
      <c r="P13" s="3" t="e">
        <f>VLOOKUP(E13,Enviroments!$A$3:$D$59,3,FALSE)</f>
        <v>#N/A</v>
      </c>
      <c r="Q13" s="3" t="e">
        <f>VLOOKUP(E13,Enviroments!$A$3:$D$59,4,FALSE)</f>
        <v>#N/A</v>
      </c>
      <c r="R13" s="3" t="e">
        <f>VLOOKUP(H13,AzureRegions!$A$4:$B$1493,1,FALSE)</f>
        <v>#N/A</v>
      </c>
      <c r="S13" s="3" t="e">
        <f>VLOOKUP(H13,AzureRegions!$A$4:$B$1493,2,FALSE)</f>
        <v>#N/A</v>
      </c>
      <c r="T13" s="3" t="e">
        <f>VLOOKUP(H13,AzureRegions!$A$4:$C$1493,3,FALSE)</f>
        <v>#N/A</v>
      </c>
      <c r="U13" s="3" t="e">
        <f>VLOOKUP(I13,Resources!$A$2:$AA$1503,2,FALSE)</f>
        <v>#N/A</v>
      </c>
      <c r="V13" s="3" t="e">
        <f>VLOOKUP(I13,Resources!$A$2:$H$1503,6,FALSE)</f>
        <v>#N/A</v>
      </c>
      <c r="W13" s="3" t="str">
        <f>VLOOKUP($H$2,Casing!$A$4:$A$60,1,FALSE)</f>
        <v>Lower</v>
      </c>
      <c r="X13" s="14" t="str">
        <f t="shared" si="1"/>
        <v>001</v>
      </c>
      <c r="Y13" s="3" t="str">
        <f>IFERROR(VLOOKUP(F13,Func!$A$4:$G$1500,2,FALSE),"none")</f>
        <v>none</v>
      </c>
      <c r="Z13" s="3" t="e">
        <f>VLOOKUP(I13,Resources!$A$2:$AA$1503,18,FALSE)</f>
        <v>#N/A</v>
      </c>
      <c r="AA13" s="3" t="str">
        <f>IFERROR(VLOOKUP(B13,Orgs!$A$4:$G$1500,2,FALSE),"none")</f>
        <v>none</v>
      </c>
      <c r="AB13" s="3" t="str">
        <f>IFERROR(VLOOKUP(C13,UnitsDepts!$A$4:$G$1500,2,FALSE),"none")</f>
        <v>none</v>
      </c>
      <c r="AC13" s="3" t="str">
        <f>IFERROR(VLOOKUP(D13,ProjAppSvc!$A$4:$G$1500,2,FALSE),"none")</f>
        <v>none</v>
      </c>
    </row>
    <row r="14" spans="1:29" x14ac:dyDescent="0.45">
      <c r="A14" s="14" t="s">
        <v>23</v>
      </c>
      <c r="B14" s="14"/>
      <c r="C14" s="14"/>
      <c r="D14" s="14"/>
      <c r="H14" s="8"/>
      <c r="I14" s="3"/>
      <c r="J14" s="3" t="str">
        <f t="shared" si="2"/>
        <v/>
      </c>
      <c r="K14" s="3" t="str">
        <f>IF(ISNUMBER(SEARCH("-",V14)),IFERROR(IF($H$2="Lower", LOWER(ComputeResourceName(Z14,#REF!,#REF!,G14,N14,O14,P14,Q14,S14,T14,V14,A14)), UPPER(ComputeResourceName(Z14,#REF!,#REF!,G14,N14,O14,P14,Q14,S14,T14,V14,A14))),""),SUBSTITUTE(IFERROR(IF($H$2="Lower", LOWER(ComputeResourceName(#REF!,#REF!,#REF!,G14,N14,O14,P14,Q14,S14,T14,V14,A14)), UPPER(ComputeResourceName(#REF!,#REF!,#REF!,G14,N14,O14,P14,Q14,S14,T14,V14,A14))),""), "-",""))</f>
        <v/>
      </c>
      <c r="L14" s="3" t="str">
        <f xml:space="preserve"> IF(K14="","",  IFERROR(VLOOKUP(I14,Resources!$B$1:$H$1503,5,FALSE)-LEN(K14),0))</f>
        <v/>
      </c>
      <c r="M14" s="3" t="str">
        <f>IF(K14="","",IFERROR(matches(K14,VLOOKUP(I14,Resources!$A$2:$AA$1503,16,FALSE)),FALSE))</f>
        <v/>
      </c>
      <c r="N14" s="3" t="e">
        <f>VLOOKUP(E14,Enviroments!$A$3:$D$59,1,FALSE)</f>
        <v>#N/A</v>
      </c>
      <c r="O14" s="3" t="e">
        <f>VLOOKUP(E14,Enviroments!$A$3:$D$59,2,FALSE)</f>
        <v>#N/A</v>
      </c>
      <c r="P14" s="3" t="e">
        <f>VLOOKUP(E14,Enviroments!$A$3:$D$59,3,FALSE)</f>
        <v>#N/A</v>
      </c>
      <c r="Q14" s="3" t="e">
        <f>VLOOKUP(E14,Enviroments!$A$3:$D$59,4,FALSE)</f>
        <v>#N/A</v>
      </c>
      <c r="R14" s="3" t="e">
        <f>VLOOKUP(H14,AzureRegions!$A$4:$B$1493,1,FALSE)</f>
        <v>#N/A</v>
      </c>
      <c r="S14" s="3" t="e">
        <f>VLOOKUP(H14,AzureRegions!$A$4:$B$1493,2,FALSE)</f>
        <v>#N/A</v>
      </c>
      <c r="T14" s="3" t="e">
        <f>VLOOKUP(H14,AzureRegions!$A$4:$C$1493,3,FALSE)</f>
        <v>#N/A</v>
      </c>
      <c r="U14" s="3" t="e">
        <f>VLOOKUP(I14,Resources!$A$2:$AA$1503,2,FALSE)</f>
        <v>#N/A</v>
      </c>
      <c r="V14" s="3" t="e">
        <f>VLOOKUP(I14,Resources!$A$2:$H$1503,6,FALSE)</f>
        <v>#N/A</v>
      </c>
      <c r="W14" s="3" t="str">
        <f>VLOOKUP($H$2,Casing!$A$4:$A$60,1,FALSE)</f>
        <v>Lower</v>
      </c>
      <c r="X14" s="14" t="str">
        <f t="shared" si="1"/>
        <v>001</v>
      </c>
      <c r="Y14" s="3" t="str">
        <f>IFERROR(VLOOKUP(F14,Func!$A$4:$G$1500,2,FALSE),"none")</f>
        <v>none</v>
      </c>
      <c r="Z14" s="3" t="e">
        <f>VLOOKUP(I14,Resources!$A$2:$AA$1503,18,FALSE)</f>
        <v>#N/A</v>
      </c>
      <c r="AA14" s="3" t="str">
        <f>IFERROR(VLOOKUP(B14,Orgs!$A$4:$G$1500,2,FALSE),"none")</f>
        <v>none</v>
      </c>
      <c r="AB14" s="3" t="str">
        <f>IFERROR(VLOOKUP(C14,UnitsDepts!$A$4:$G$1500,2,FALSE),"none")</f>
        <v>none</v>
      </c>
      <c r="AC14" s="3" t="str">
        <f>IFERROR(VLOOKUP(D14,ProjAppSvc!$A$4:$G$1500,2,FALSE),"none")</f>
        <v>none</v>
      </c>
    </row>
    <row r="15" spans="1:29" x14ac:dyDescent="0.45">
      <c r="A15" s="14" t="s">
        <v>23</v>
      </c>
      <c r="B15" s="14"/>
      <c r="C15" s="14"/>
      <c r="D15" s="14"/>
      <c r="H15" s="8"/>
      <c r="I15" s="14"/>
      <c r="J15" s="3" t="str">
        <f t="shared" si="2"/>
        <v/>
      </c>
      <c r="K15" s="3" t="str">
        <f>IF(ISNUMBER(SEARCH("-",V15)),IFERROR(IF($H$2="Lower", LOWER(ComputeResourceName(Z15,#REF!,#REF!,G15,N15,O15,P15,Q15,S15,T15,V15,A15)), UPPER(ComputeResourceName(Z15,#REF!,#REF!,G15,N15,O15,P15,Q15,S15,T15,V15,A15))),""),SUBSTITUTE(IFERROR(IF($H$2="Lower", LOWER(ComputeResourceName(#REF!,#REF!,#REF!,G15,N15,O15,P15,Q15,S15,T15,V15,A15)), UPPER(ComputeResourceName(#REF!,#REF!,#REF!,G15,N15,O15,P15,Q15,S15,T15,V15,A15))),""), "-",""))</f>
        <v/>
      </c>
      <c r="L15" s="3" t="str">
        <f xml:space="preserve"> IF(K15="","",  IFERROR(VLOOKUP(I15,Resources!$B$1:$H$1503,5,FALSE)-LEN(K15),0))</f>
        <v/>
      </c>
      <c r="M15" s="3" t="str">
        <f>IF(K15="","",IFERROR(matches(K15,VLOOKUP(I15,Resources!$A$2:$AA$1503,16,FALSE)),FALSE))</f>
        <v/>
      </c>
      <c r="N15" s="3" t="e">
        <f>VLOOKUP(E15,Enviroments!$A$3:$D$59,1,FALSE)</f>
        <v>#N/A</v>
      </c>
      <c r="O15" s="3" t="e">
        <f>VLOOKUP(E15,Enviroments!$A$3:$D$59,2,FALSE)</f>
        <v>#N/A</v>
      </c>
      <c r="P15" s="3" t="e">
        <f>VLOOKUP(E15,Enviroments!$A$3:$D$59,3,FALSE)</f>
        <v>#N/A</v>
      </c>
      <c r="Q15" s="3" t="e">
        <f>VLOOKUP(E15,Enviroments!$A$3:$D$59,4,FALSE)</f>
        <v>#N/A</v>
      </c>
      <c r="R15" s="3" t="e">
        <f>VLOOKUP(H15,AzureRegions!$A$4:$B$1493,1,FALSE)</f>
        <v>#N/A</v>
      </c>
      <c r="S15" s="3" t="e">
        <f>VLOOKUP(H15,AzureRegions!$A$4:$B$1493,2,FALSE)</f>
        <v>#N/A</v>
      </c>
      <c r="T15" s="3" t="e">
        <f>VLOOKUP(H15,AzureRegions!$A$4:$C$1493,3,FALSE)</f>
        <v>#N/A</v>
      </c>
      <c r="U15" s="3" t="e">
        <f>VLOOKUP(I15,Resources!$A$2:$AA$1503,2,FALSE)</f>
        <v>#N/A</v>
      </c>
      <c r="V15" s="3" t="e">
        <f>VLOOKUP(I15,Resources!$A$2:$H$1503,6,FALSE)</f>
        <v>#N/A</v>
      </c>
      <c r="W15" s="3" t="str">
        <f>VLOOKUP($H$2,Casing!$A$4:$A$60,1,FALSE)</f>
        <v>Lower</v>
      </c>
      <c r="X15" s="14" t="str">
        <f t="shared" si="1"/>
        <v>001</v>
      </c>
      <c r="Y15" s="3" t="str">
        <f>IFERROR(VLOOKUP(F15,Func!$A$4:$G$1500,2,FALSE),"none")</f>
        <v>none</v>
      </c>
      <c r="Z15" s="3" t="e">
        <f>VLOOKUP(I15,Resources!$A$2:$AA$1503,18,FALSE)</f>
        <v>#N/A</v>
      </c>
      <c r="AA15" s="3" t="str">
        <f>IFERROR(VLOOKUP(B15,Orgs!$A$4:$G$1500,2,FALSE),"none")</f>
        <v>none</v>
      </c>
      <c r="AB15" s="3" t="str">
        <f>IFERROR(VLOOKUP(C15,UnitsDepts!$A$4:$G$1500,2,FALSE),"none")</f>
        <v>none</v>
      </c>
      <c r="AC15" s="3" t="str">
        <f>IFERROR(VLOOKUP(D15,ProjAppSvc!$A$4:$G$1500,2,FALSE),"none")</f>
        <v>none</v>
      </c>
    </row>
    <row r="16" spans="1:29" x14ac:dyDescent="0.45">
      <c r="A16" s="14" t="s">
        <v>23</v>
      </c>
      <c r="B16" s="14"/>
      <c r="C16" s="14"/>
      <c r="D16" s="14"/>
      <c r="H16" s="8"/>
      <c r="I16" s="3"/>
      <c r="J16" s="3" t="str">
        <f t="shared" si="2"/>
        <v/>
      </c>
      <c r="K16" s="3" t="str">
        <f>IF(ISNUMBER(SEARCH("-",V16)),IFERROR(IF($H$2="Lower", LOWER(ComputeResourceName(Z16,#REF!,#REF!,G16,N16,O16,P16,Q16,S16,T16,V16,A16)), UPPER(ComputeResourceName(Z16,#REF!,#REF!,G16,N16,O16,P16,Q16,S16,T16,V16,A16))),""),SUBSTITUTE(IFERROR(IF($H$2="Lower", LOWER(ComputeResourceName(#REF!,#REF!,#REF!,G16,N16,O16,P16,Q16,S16,T16,V16,A16)), UPPER(ComputeResourceName(#REF!,#REF!,#REF!,G16,N16,O16,P16,Q16,S16,T16,V16,A16))),""), "-",""))</f>
        <v/>
      </c>
      <c r="L16" s="3" t="str">
        <f xml:space="preserve"> IF(K16="","",  IFERROR(VLOOKUP(I16,Resources!$B$1:$H$1503,5,FALSE)-LEN(K16),0))</f>
        <v/>
      </c>
      <c r="M16" s="3" t="str">
        <f>IF(K16="","",IFERROR(matches(K16,VLOOKUP(I16,Resources!$A$2:$AA$1503,16,FALSE)),FALSE))</f>
        <v/>
      </c>
      <c r="N16" s="3" t="e">
        <f>VLOOKUP(E16,Enviroments!$A$3:$D$59,1,FALSE)</f>
        <v>#N/A</v>
      </c>
      <c r="O16" s="3" t="e">
        <f>VLOOKUP(E16,Enviroments!$A$3:$D$59,2,FALSE)</f>
        <v>#N/A</v>
      </c>
      <c r="P16" s="3" t="e">
        <f>VLOOKUP(E16,Enviroments!$A$3:$D$59,3,FALSE)</f>
        <v>#N/A</v>
      </c>
      <c r="Q16" s="3" t="e">
        <f>VLOOKUP(E16,Enviroments!$A$3:$D$59,4,FALSE)</f>
        <v>#N/A</v>
      </c>
      <c r="R16" s="3" t="e">
        <f>VLOOKUP(H16,AzureRegions!$A$4:$B$1493,1,FALSE)</f>
        <v>#N/A</v>
      </c>
      <c r="S16" s="3" t="e">
        <f>VLOOKUP(H16,AzureRegions!$A$4:$B$1493,2,FALSE)</f>
        <v>#N/A</v>
      </c>
      <c r="T16" s="3" t="e">
        <f>VLOOKUP(H16,AzureRegions!$A$4:$C$1493,3,FALSE)</f>
        <v>#N/A</v>
      </c>
      <c r="U16" s="3" t="e">
        <f>VLOOKUP(I16,Resources!$A$2:$AA$1503,2,FALSE)</f>
        <v>#N/A</v>
      </c>
      <c r="V16" s="3" t="e">
        <f>VLOOKUP(I16,Resources!$A$2:$H$1503,6,FALSE)</f>
        <v>#N/A</v>
      </c>
      <c r="W16" s="3" t="str">
        <f>VLOOKUP($H$2,Casing!$A$4:$A$60,1,FALSE)</f>
        <v>Lower</v>
      </c>
      <c r="X16" s="14" t="str">
        <f t="shared" si="1"/>
        <v>001</v>
      </c>
      <c r="Y16" s="3" t="str">
        <f>IFERROR(VLOOKUP(F16,Func!$A$4:$G$1500,2,FALSE),"none")</f>
        <v>none</v>
      </c>
      <c r="Z16" s="3" t="e">
        <f>VLOOKUP(I16,Resources!$A$2:$AA$1503,18,FALSE)</f>
        <v>#N/A</v>
      </c>
      <c r="AA16" s="3" t="str">
        <f>IFERROR(VLOOKUP(B16,Orgs!$A$4:$G$1500,2,FALSE),"none")</f>
        <v>none</v>
      </c>
      <c r="AB16" s="3" t="str">
        <f>IFERROR(VLOOKUP(C16,UnitsDepts!$A$4:$G$1500,2,FALSE),"none")</f>
        <v>none</v>
      </c>
      <c r="AC16" s="3" t="str">
        <f>IFERROR(VLOOKUP(D16,ProjAppSvc!$A$4:$G$1500,2,FALSE),"none")</f>
        <v>none</v>
      </c>
    </row>
    <row r="17" spans="1:29" x14ac:dyDescent="0.45">
      <c r="A17" s="14" t="s">
        <v>23</v>
      </c>
      <c r="B17" s="14"/>
      <c r="C17" s="14"/>
      <c r="D17" s="14"/>
      <c r="H17" s="8"/>
      <c r="I17" s="3"/>
      <c r="J17" s="3" t="str">
        <f t="shared" si="2"/>
        <v/>
      </c>
      <c r="K17" s="3" t="str">
        <f>IF(ISNUMBER(SEARCH("-",V17)),IFERROR(IF($H$2="Lower", LOWER(ComputeResourceName(Z17,#REF!,#REF!,G17,N17,O17,P17,Q17,S17,T17,V17,A17)), UPPER(ComputeResourceName(Z17,#REF!,#REF!,G17,N17,O17,P17,Q17,S17,T17,V17,A17))),""),SUBSTITUTE(IFERROR(IF($H$2="Lower", LOWER(ComputeResourceName(#REF!,#REF!,#REF!,G17,N17,O17,P17,Q17,S17,T17,V17,A17)), UPPER(ComputeResourceName(#REF!,#REF!,#REF!,G17,N17,O17,P17,Q17,S17,T17,V17,A17))),""), "-",""))</f>
        <v/>
      </c>
      <c r="L17" s="3" t="str">
        <f xml:space="preserve"> IF(K17="","",  IFERROR(VLOOKUP(I17,Resources!$B$1:$H$1503,5,FALSE)-LEN(K17),0))</f>
        <v/>
      </c>
      <c r="M17" s="3" t="str">
        <f>IF(K17="","",IFERROR(matches(K17,VLOOKUP(I17,Resources!$A$2:$AA$1503,16,FALSE)),FALSE))</f>
        <v/>
      </c>
      <c r="N17" s="3" t="e">
        <f>VLOOKUP(E17,Enviroments!$A$3:$D$59,1,FALSE)</f>
        <v>#N/A</v>
      </c>
      <c r="O17" s="3" t="e">
        <f>VLOOKUP(E17,Enviroments!$A$3:$D$59,2,FALSE)</f>
        <v>#N/A</v>
      </c>
      <c r="P17" s="3" t="e">
        <f>VLOOKUP(E17,Enviroments!$A$3:$D$59,3,FALSE)</f>
        <v>#N/A</v>
      </c>
      <c r="Q17" s="3" t="e">
        <f>VLOOKUP(E17,Enviroments!$A$3:$D$59,4,FALSE)</f>
        <v>#N/A</v>
      </c>
      <c r="R17" s="3" t="e">
        <f>VLOOKUP(H17,AzureRegions!$A$4:$B$1493,1,FALSE)</f>
        <v>#N/A</v>
      </c>
      <c r="S17" s="3" t="e">
        <f>VLOOKUP(H17,AzureRegions!$A$4:$B$1493,2,FALSE)</f>
        <v>#N/A</v>
      </c>
      <c r="T17" s="3" t="e">
        <f>VLOOKUP(H17,AzureRegions!$A$4:$C$1493,3,FALSE)</f>
        <v>#N/A</v>
      </c>
      <c r="U17" s="3" t="e">
        <f>VLOOKUP(I17,Resources!$A$2:$AA$1503,2,FALSE)</f>
        <v>#N/A</v>
      </c>
      <c r="V17" s="3" t="e">
        <f>VLOOKUP(I17,Resources!$A$2:$H$1503,6,FALSE)</f>
        <v>#N/A</v>
      </c>
      <c r="W17" s="3" t="str">
        <f>VLOOKUP($H$2,Casing!$A$4:$A$60,1,FALSE)</f>
        <v>Lower</v>
      </c>
      <c r="X17" s="14" t="str">
        <f t="shared" si="1"/>
        <v>001</v>
      </c>
      <c r="Y17" s="3" t="str">
        <f>IFERROR(VLOOKUP(F17,Func!$A$4:$G$1500,2,FALSE),"none")</f>
        <v>none</v>
      </c>
      <c r="Z17" s="3" t="e">
        <f>VLOOKUP(I17,Resources!$A$2:$AA$1503,18,FALSE)</f>
        <v>#N/A</v>
      </c>
      <c r="AA17" s="3" t="str">
        <f>IFERROR(VLOOKUP(B17,Orgs!$A$4:$G$1500,2,FALSE),"none")</f>
        <v>none</v>
      </c>
      <c r="AB17" s="3" t="str">
        <f>IFERROR(VLOOKUP(C17,UnitsDepts!$A$4:$G$1500,2,FALSE),"none")</f>
        <v>none</v>
      </c>
      <c r="AC17" s="3" t="str">
        <f>IFERROR(VLOOKUP(D17,ProjAppSvc!$A$4:$G$1500,2,FALSE),"none")</f>
        <v>none</v>
      </c>
    </row>
    <row r="18" spans="1:29" x14ac:dyDescent="0.45">
      <c r="A18" s="14" t="s">
        <v>23</v>
      </c>
      <c r="B18" s="14"/>
      <c r="C18" s="14"/>
      <c r="D18" s="14"/>
      <c r="H18" s="8"/>
      <c r="I18" s="3"/>
      <c r="J18" s="3" t="str">
        <f t="shared" si="2"/>
        <v/>
      </c>
      <c r="K18" s="3" t="str">
        <f>IF(ISNUMBER(SEARCH("-",V18)),IFERROR(IF($H$2="Lower", LOWER(ComputeResourceName(Z18,#REF!,#REF!,G18,N18,O18,P18,Q18,S18,T18,V18,A18)), UPPER(ComputeResourceName(Z18,#REF!,#REF!,G18,N18,O18,P18,Q18,S18,T18,V18,A18))),""),SUBSTITUTE(IFERROR(IF($H$2="Lower", LOWER(ComputeResourceName(#REF!,#REF!,#REF!,G18,N18,O18,P18,Q18,S18,T18,V18,A18)), UPPER(ComputeResourceName(#REF!,#REF!,#REF!,G18,N18,O18,P18,Q18,S18,T18,V18,A18))),""), "-",""))</f>
        <v/>
      </c>
      <c r="L18" s="3" t="str">
        <f xml:space="preserve"> IF(K18="","",  IFERROR(VLOOKUP(I18,Resources!$B$1:$H$1503,5,FALSE)-LEN(K18),0))</f>
        <v/>
      </c>
      <c r="M18" s="3" t="str">
        <f>IF(K18="","",IFERROR(matches(K18,VLOOKUP(I18,Resources!$A$2:$AA$1503,16,FALSE)),FALSE))</f>
        <v/>
      </c>
      <c r="N18" s="3" t="e">
        <f>VLOOKUP(E18,Enviroments!$A$3:$D$59,1,FALSE)</f>
        <v>#N/A</v>
      </c>
      <c r="O18" s="3" t="e">
        <f>VLOOKUP(E18,Enviroments!$A$3:$D$59,2,FALSE)</f>
        <v>#N/A</v>
      </c>
      <c r="P18" s="3" t="e">
        <f>VLOOKUP(E18,Enviroments!$A$3:$D$59,3,FALSE)</f>
        <v>#N/A</v>
      </c>
      <c r="Q18" s="3" t="e">
        <f>VLOOKUP(E18,Enviroments!$A$3:$D$59,4,FALSE)</f>
        <v>#N/A</v>
      </c>
      <c r="R18" s="3" t="e">
        <f>VLOOKUP(H18,AzureRegions!$A$4:$B$1493,1,FALSE)</f>
        <v>#N/A</v>
      </c>
      <c r="S18" s="3" t="e">
        <f>VLOOKUP(H18,AzureRegions!$A$4:$B$1493,2,FALSE)</f>
        <v>#N/A</v>
      </c>
      <c r="T18" s="3" t="e">
        <f>VLOOKUP(H18,AzureRegions!$A$4:$C$1493,3,FALSE)</f>
        <v>#N/A</v>
      </c>
      <c r="U18" s="3" t="e">
        <f>VLOOKUP(I18,Resources!$A$2:$AA$1503,2,FALSE)</f>
        <v>#N/A</v>
      </c>
      <c r="V18" s="3" t="e">
        <f>VLOOKUP(I18,Resources!$A$2:$H$1503,6,FALSE)</f>
        <v>#N/A</v>
      </c>
      <c r="W18" s="3" t="str">
        <f>VLOOKUP($H$2,Casing!$A$4:$A$60,1,FALSE)</f>
        <v>Lower</v>
      </c>
      <c r="X18" s="14" t="str">
        <f t="shared" si="1"/>
        <v>001</v>
      </c>
      <c r="Y18" s="3" t="str">
        <f>IFERROR(VLOOKUP(F18,Func!$A$4:$G$1500,2,FALSE),"none")</f>
        <v>none</v>
      </c>
      <c r="Z18" s="3" t="e">
        <f>VLOOKUP(I18,Resources!$A$2:$AA$1503,18,FALSE)</f>
        <v>#N/A</v>
      </c>
      <c r="AA18" s="3" t="str">
        <f>IFERROR(VLOOKUP(B18,Orgs!$A$4:$G$1500,2,FALSE),"none")</f>
        <v>none</v>
      </c>
      <c r="AB18" s="3" t="str">
        <f>IFERROR(VLOOKUP(C18,UnitsDepts!$A$4:$G$1500,2,FALSE),"none")</f>
        <v>none</v>
      </c>
      <c r="AC18" s="3" t="str">
        <f>IFERROR(VLOOKUP(D18,ProjAppSvc!$A$4:$G$1500,2,FALSE),"none")</f>
        <v>none</v>
      </c>
    </row>
    <row r="19" spans="1:29" x14ac:dyDescent="0.45">
      <c r="A19" s="14" t="s">
        <v>23</v>
      </c>
      <c r="B19" s="14"/>
      <c r="C19" s="14"/>
      <c r="D19" s="14"/>
      <c r="H19" s="8"/>
      <c r="I19" s="3"/>
      <c r="J19" s="3" t="str">
        <f t="shared" si="2"/>
        <v/>
      </c>
      <c r="K19" s="3" t="str">
        <f>IF(ISNUMBER(SEARCH("-",V19)),IFERROR(IF($H$2="Lower", LOWER(ComputeResourceName(Z19,#REF!,#REF!,G19,N19,O19,P19,Q19,S19,T19,V19,A19)), UPPER(ComputeResourceName(Z19,#REF!,#REF!,G19,N19,O19,P19,Q19,S19,T19,V19,A19))),""),SUBSTITUTE(IFERROR(IF($H$2="Lower", LOWER(ComputeResourceName(#REF!,#REF!,#REF!,G19,N19,O19,P19,Q19,S19,T19,V19,A19)), UPPER(ComputeResourceName(#REF!,#REF!,#REF!,G19,N19,O19,P19,Q19,S19,T19,V19,A19))),""), "-",""))</f>
        <v/>
      </c>
      <c r="L19" s="3" t="str">
        <f xml:space="preserve"> IF(K19="","",  IFERROR(VLOOKUP(I19,Resources!$B$1:$H$1503,5,FALSE)-LEN(K19),0))</f>
        <v/>
      </c>
      <c r="M19" s="3" t="str">
        <f>IF(K19="","",IFERROR(matches(K19,VLOOKUP(I19,Resources!$A$2:$AA$1503,16,FALSE)),FALSE))</f>
        <v/>
      </c>
      <c r="N19" s="3" t="e">
        <f>VLOOKUP(E19,Enviroments!$A$3:$D$59,1,FALSE)</f>
        <v>#N/A</v>
      </c>
      <c r="O19" s="3" t="e">
        <f>VLOOKUP(E19,Enviroments!$A$3:$D$59,2,FALSE)</f>
        <v>#N/A</v>
      </c>
      <c r="P19" s="3" t="e">
        <f>VLOOKUP(E19,Enviroments!$A$3:$D$59,3,FALSE)</f>
        <v>#N/A</v>
      </c>
      <c r="Q19" s="3" t="e">
        <f>VLOOKUP(E19,Enviroments!$A$3:$D$59,4,FALSE)</f>
        <v>#N/A</v>
      </c>
      <c r="R19" s="3" t="e">
        <f>VLOOKUP(H19,AzureRegions!$A$4:$B$1493,1,FALSE)</f>
        <v>#N/A</v>
      </c>
      <c r="S19" s="3" t="e">
        <f>VLOOKUP(H19,AzureRegions!$A$4:$B$1493,2,FALSE)</f>
        <v>#N/A</v>
      </c>
      <c r="T19" s="3" t="e">
        <f>VLOOKUP(H19,AzureRegions!$A$4:$C$1493,3,FALSE)</f>
        <v>#N/A</v>
      </c>
      <c r="U19" s="3" t="e">
        <f>VLOOKUP(I19,Resources!$A$2:$AA$1503,2,FALSE)</f>
        <v>#N/A</v>
      </c>
      <c r="V19" s="3" t="e">
        <f>VLOOKUP(I19,Resources!$A$2:$H$1503,6,FALSE)</f>
        <v>#N/A</v>
      </c>
      <c r="W19" s="3" t="str">
        <f>VLOOKUP($H$2,Casing!$A$4:$A$60,1,FALSE)</f>
        <v>Lower</v>
      </c>
      <c r="X19" s="14" t="str">
        <f t="shared" si="1"/>
        <v>001</v>
      </c>
      <c r="Y19" s="3" t="str">
        <f>IFERROR(VLOOKUP(F19,Func!$A$4:$G$1500,2,FALSE),"none")</f>
        <v>none</v>
      </c>
      <c r="Z19" s="3" t="e">
        <f>VLOOKUP(I19,Resources!$A$2:$AA$1503,18,FALSE)</f>
        <v>#N/A</v>
      </c>
      <c r="AA19" s="3" t="str">
        <f>IFERROR(VLOOKUP(B19,Orgs!$A$4:$G$1500,2,FALSE),"none")</f>
        <v>none</v>
      </c>
      <c r="AB19" s="3" t="str">
        <f>IFERROR(VLOOKUP(C19,UnitsDepts!$A$4:$G$1500,2,FALSE),"none")</f>
        <v>none</v>
      </c>
      <c r="AC19" s="3" t="str">
        <f>IFERROR(VLOOKUP(D19,ProjAppSvc!$A$4:$G$1500,2,FALSE),"none")</f>
        <v>none</v>
      </c>
    </row>
    <row r="20" spans="1:29" x14ac:dyDescent="0.45">
      <c r="A20" s="14" t="s">
        <v>23</v>
      </c>
      <c r="B20" s="14"/>
      <c r="C20" s="14"/>
      <c r="D20" s="14"/>
      <c r="H20" s="8"/>
      <c r="I20" s="3"/>
      <c r="J20" s="3" t="str">
        <f t="shared" si="2"/>
        <v/>
      </c>
      <c r="K20" s="3" t="str">
        <f>IF(ISNUMBER(SEARCH("-",V20)),IFERROR(IF($H$2="Lower", LOWER(ComputeResourceName(Z20,#REF!,#REF!,G20,N20,O20,P20,Q20,S20,T20,V20,A20)), UPPER(ComputeResourceName(Z20,#REF!,#REF!,G20,N20,O20,P20,Q20,S20,T20,V20,A20))),""),SUBSTITUTE(IFERROR(IF($H$2="Lower", LOWER(ComputeResourceName(#REF!,#REF!,#REF!,G20,N20,O20,P20,Q20,S20,T20,V20,A20)), UPPER(ComputeResourceName(#REF!,#REF!,#REF!,G20,N20,O20,P20,Q20,S20,T20,V20,A20))),""), "-",""))</f>
        <v/>
      </c>
      <c r="L20" s="3" t="str">
        <f xml:space="preserve"> IF(K20="","",  IFERROR(VLOOKUP(I20,Resources!$B$1:$H$1503,5,FALSE)-LEN(K20),0))</f>
        <v/>
      </c>
      <c r="M20" s="3" t="str">
        <f>IF(K20="","",IFERROR(matches(K20,VLOOKUP(I20,Resources!$A$2:$AA$1503,16,FALSE)),FALSE))</f>
        <v/>
      </c>
      <c r="N20" s="3" t="e">
        <f>VLOOKUP(E20,Enviroments!$A$3:$D$59,1,FALSE)</f>
        <v>#N/A</v>
      </c>
      <c r="O20" s="3" t="e">
        <f>VLOOKUP(E20,Enviroments!$A$3:$D$59,2,FALSE)</f>
        <v>#N/A</v>
      </c>
      <c r="P20" s="3" t="e">
        <f>VLOOKUP(E20,Enviroments!$A$3:$D$59,3,FALSE)</f>
        <v>#N/A</v>
      </c>
      <c r="Q20" s="3" t="e">
        <f>VLOOKUP(E20,Enviroments!$A$3:$D$59,4,FALSE)</f>
        <v>#N/A</v>
      </c>
      <c r="R20" s="3" t="e">
        <f>VLOOKUP(H20,AzureRegions!$A$4:$B$1493,1,FALSE)</f>
        <v>#N/A</v>
      </c>
      <c r="S20" s="3" t="e">
        <f>VLOOKUP(H20,AzureRegions!$A$4:$B$1493,2,FALSE)</f>
        <v>#N/A</v>
      </c>
      <c r="T20" s="3" t="e">
        <f>VLOOKUP(H20,AzureRegions!$A$4:$C$1493,3,FALSE)</f>
        <v>#N/A</v>
      </c>
      <c r="U20" s="3" t="e">
        <f>VLOOKUP(I20,Resources!$A$2:$AA$1503,2,FALSE)</f>
        <v>#N/A</v>
      </c>
      <c r="V20" s="3" t="e">
        <f>VLOOKUP(I20,Resources!$A$2:$H$1503,6,FALSE)</f>
        <v>#N/A</v>
      </c>
      <c r="W20" s="3" t="str">
        <f>VLOOKUP($H$2,Casing!$A$4:$A$60,1,FALSE)</f>
        <v>Lower</v>
      </c>
      <c r="X20" s="14" t="str">
        <f t="shared" si="1"/>
        <v>001</v>
      </c>
      <c r="Y20" s="3" t="str">
        <f>IFERROR(VLOOKUP(F20,Func!$A$4:$G$1500,2,FALSE),"none")</f>
        <v>none</v>
      </c>
      <c r="Z20" s="3" t="e">
        <f>VLOOKUP(I20,Resources!$A$2:$AA$1503,18,FALSE)</f>
        <v>#N/A</v>
      </c>
      <c r="AA20" s="3" t="str">
        <f>IFERROR(VLOOKUP(B20,Orgs!$A$4:$G$1500,2,FALSE),"none")</f>
        <v>none</v>
      </c>
      <c r="AB20" s="3" t="str">
        <f>IFERROR(VLOOKUP(C20,UnitsDepts!$A$4:$G$1500,2,FALSE),"none")</f>
        <v>none</v>
      </c>
      <c r="AC20" s="3" t="str">
        <f>IFERROR(VLOOKUP(D20,ProjAppSvc!$A$4:$G$1500,2,FALSE),"none")</f>
        <v>none</v>
      </c>
    </row>
    <row r="21" spans="1:29" x14ac:dyDescent="0.45">
      <c r="A21" s="14" t="s">
        <v>23</v>
      </c>
      <c r="B21" s="14"/>
      <c r="C21" s="14"/>
      <c r="D21" s="14"/>
      <c r="H21" s="8"/>
      <c r="I21" s="3"/>
      <c r="J21" s="3" t="str">
        <f t="shared" si="2"/>
        <v/>
      </c>
      <c r="K21" s="3" t="str">
        <f>IF(ISNUMBER(SEARCH("-",V21)),IFERROR(IF($H$2="Lower", LOWER(ComputeResourceName(Z21,#REF!,#REF!,G21,N21,O21,P21,Q21,S21,T21,V21,A21)), UPPER(ComputeResourceName(Z21,#REF!,#REF!,G21,N21,O21,P21,Q21,S21,T21,V21,A21))),""),SUBSTITUTE(IFERROR(IF($H$2="Lower", LOWER(ComputeResourceName(#REF!,#REF!,#REF!,G21,N21,O21,P21,Q21,S21,T21,V21,A21)), UPPER(ComputeResourceName(#REF!,#REF!,#REF!,G21,N21,O21,P21,Q21,S21,T21,V21,A21))),""), "-",""))</f>
        <v/>
      </c>
      <c r="L21" s="3" t="str">
        <f xml:space="preserve"> IF(K21="","",  IFERROR(VLOOKUP(I21,Resources!$B$1:$H$1503,5,FALSE)-LEN(K21),0))</f>
        <v/>
      </c>
      <c r="M21" s="3" t="str">
        <f>IF(K21="","",IFERROR(matches(K21,VLOOKUP(I21,Resources!$A$2:$AA$1503,16,FALSE)),FALSE))</f>
        <v/>
      </c>
      <c r="N21" s="3" t="e">
        <f>VLOOKUP(E21,Enviroments!$A$3:$D$59,1,FALSE)</f>
        <v>#N/A</v>
      </c>
      <c r="O21" s="3" t="e">
        <f>VLOOKUP(E21,Enviroments!$A$3:$D$59,2,FALSE)</f>
        <v>#N/A</v>
      </c>
      <c r="P21" s="3" t="e">
        <f>VLOOKUP(E21,Enviroments!$A$3:$D$59,3,FALSE)</f>
        <v>#N/A</v>
      </c>
      <c r="Q21" s="3" t="e">
        <f>VLOOKUP(E21,Enviroments!$A$3:$D$59,4,FALSE)</f>
        <v>#N/A</v>
      </c>
      <c r="R21" s="3" t="e">
        <f>VLOOKUP(H21,AzureRegions!$A$4:$B$1493,1,FALSE)</f>
        <v>#N/A</v>
      </c>
      <c r="S21" s="3" t="e">
        <f>VLOOKUP(H21,AzureRegions!$A$4:$B$1493,2,FALSE)</f>
        <v>#N/A</v>
      </c>
      <c r="T21" s="3" t="e">
        <f>VLOOKUP(H21,AzureRegions!$A$4:$C$1493,3,FALSE)</f>
        <v>#N/A</v>
      </c>
      <c r="U21" s="3" t="e">
        <f>VLOOKUP(I21,Resources!$A$2:$AA$1503,2,FALSE)</f>
        <v>#N/A</v>
      </c>
      <c r="V21" s="3" t="e">
        <f>VLOOKUP(I21,Resources!$A$2:$H$1503,6,FALSE)</f>
        <v>#N/A</v>
      </c>
      <c r="W21" s="3" t="str">
        <f>VLOOKUP($H$2,Casing!$A$4:$A$60,1,FALSE)</f>
        <v>Lower</v>
      </c>
      <c r="X21" s="14" t="str">
        <f t="shared" si="1"/>
        <v>001</v>
      </c>
      <c r="Y21" s="3" t="str">
        <f>IFERROR(VLOOKUP(F21,Func!$A$4:$G$1500,2,FALSE),"none")</f>
        <v>none</v>
      </c>
      <c r="Z21" s="3" t="e">
        <f>VLOOKUP(I21,Resources!$A$2:$AA$1503,18,FALSE)</f>
        <v>#N/A</v>
      </c>
      <c r="AA21" s="3" t="str">
        <f>IFERROR(VLOOKUP(B21,Orgs!$A$4:$G$1500,2,FALSE),"none")</f>
        <v>none</v>
      </c>
      <c r="AB21" s="3" t="str">
        <f>IFERROR(VLOOKUP(C21,UnitsDepts!$A$4:$G$1500,2,FALSE),"none")</f>
        <v>none</v>
      </c>
      <c r="AC21" s="3" t="str">
        <f>IFERROR(VLOOKUP(D21,ProjAppSvc!$A$4:$G$1500,2,FALSE),"none")</f>
        <v>none</v>
      </c>
    </row>
    <row r="22" spans="1:29" x14ac:dyDescent="0.45">
      <c r="A22" s="14" t="s">
        <v>23</v>
      </c>
      <c r="B22" s="14"/>
      <c r="C22" s="14"/>
      <c r="D22" s="14"/>
      <c r="H22" s="8"/>
      <c r="I22" s="3"/>
      <c r="J22" s="3" t="str">
        <f t="shared" si="2"/>
        <v/>
      </c>
      <c r="K22" s="3" t="str">
        <f>IF(ISNUMBER(SEARCH("-",V22)),IFERROR(IF($H$2="Lower", LOWER(ComputeResourceName(Z22,#REF!,#REF!,G22,N22,O22,P22,Q22,S22,T22,V22,A22)), UPPER(ComputeResourceName(Z22,#REF!,#REF!,G22,N22,O22,P22,Q22,S22,T22,V22,A22))),""),SUBSTITUTE(IFERROR(IF($H$2="Lower", LOWER(ComputeResourceName(#REF!,#REF!,#REF!,G22,N22,O22,P22,Q22,S22,T22,V22,A22)), UPPER(ComputeResourceName(#REF!,#REF!,#REF!,G22,N22,O22,P22,Q22,S22,T22,V22,A22))),""), "-",""))</f>
        <v/>
      </c>
      <c r="L22" s="3" t="str">
        <f xml:space="preserve"> IF(K22="","",  IFERROR(VLOOKUP(I22,Resources!$B$1:$H$1503,5,FALSE)-LEN(K22),0))</f>
        <v/>
      </c>
      <c r="M22" s="3" t="str">
        <f>IF(K22="","",IFERROR(matches(K22,VLOOKUP(I22,Resources!$A$2:$AA$1503,16,FALSE)),FALSE))</f>
        <v/>
      </c>
      <c r="N22" s="3" t="e">
        <f>VLOOKUP(E22,Enviroments!$A$3:$D$59,1,FALSE)</f>
        <v>#N/A</v>
      </c>
      <c r="O22" s="3" t="e">
        <f>VLOOKUP(E22,Enviroments!$A$3:$D$59,2,FALSE)</f>
        <v>#N/A</v>
      </c>
      <c r="P22" s="3" t="e">
        <f>VLOOKUP(E22,Enviroments!$A$3:$D$59,3,FALSE)</f>
        <v>#N/A</v>
      </c>
      <c r="Q22" s="3" t="e">
        <f>VLOOKUP(E22,Enviroments!$A$3:$D$59,4,FALSE)</f>
        <v>#N/A</v>
      </c>
      <c r="R22" s="3" t="e">
        <f>VLOOKUP(H22,AzureRegions!$A$4:$B$1493,1,FALSE)</f>
        <v>#N/A</v>
      </c>
      <c r="S22" s="3" t="e">
        <f>VLOOKUP(H22,AzureRegions!$A$4:$B$1493,2,FALSE)</f>
        <v>#N/A</v>
      </c>
      <c r="T22" s="3" t="e">
        <f>VLOOKUP(H22,AzureRegions!$A$4:$C$1493,3,FALSE)</f>
        <v>#N/A</v>
      </c>
      <c r="U22" s="3" t="e">
        <f>VLOOKUP(I22,Resources!$A$2:$AA$1503,2,FALSE)</f>
        <v>#N/A</v>
      </c>
      <c r="V22" s="3" t="e">
        <f>VLOOKUP(I22,Resources!$A$2:$H$1503,6,FALSE)</f>
        <v>#N/A</v>
      </c>
      <c r="W22" s="3" t="str">
        <f>VLOOKUP($H$2,Casing!$A$4:$A$60,1,FALSE)</f>
        <v>Lower</v>
      </c>
      <c r="X22" s="14" t="str">
        <f t="shared" si="1"/>
        <v>001</v>
      </c>
      <c r="Y22" s="3" t="str">
        <f>IFERROR(VLOOKUP(F22,Func!$A$4:$G$1500,2,FALSE),"none")</f>
        <v>none</v>
      </c>
      <c r="Z22" s="3" t="e">
        <f>VLOOKUP(I22,Resources!$A$2:$AA$1503,18,FALSE)</f>
        <v>#N/A</v>
      </c>
      <c r="AA22" s="3" t="str">
        <f>IFERROR(VLOOKUP(B22,Orgs!$A$4:$G$1500,2,FALSE),"none")</f>
        <v>none</v>
      </c>
      <c r="AB22" s="3" t="str">
        <f>IFERROR(VLOOKUP(C22,UnitsDepts!$A$4:$G$1500,2,FALSE),"none")</f>
        <v>none</v>
      </c>
      <c r="AC22" s="3" t="str">
        <f>IFERROR(VLOOKUP(D22,ProjAppSvc!$A$4:$G$1500,2,FALSE),"none")</f>
        <v>none</v>
      </c>
    </row>
    <row r="23" spans="1:29" x14ac:dyDescent="0.45">
      <c r="A23" s="14" t="s">
        <v>23</v>
      </c>
      <c r="B23" s="14"/>
      <c r="C23" s="14"/>
      <c r="D23" s="14"/>
      <c r="H23" s="8"/>
      <c r="I23" s="3"/>
      <c r="J23" s="3" t="str">
        <f t="shared" si="2"/>
        <v/>
      </c>
      <c r="K23" s="3" t="str">
        <f>IF(ISNUMBER(SEARCH("-",V23)),IFERROR(IF($H$2="Lower", LOWER(ComputeResourceName(Z23,#REF!,#REF!,G23,N23,O23,P23,Q23,S23,T23,V23,A23)), UPPER(ComputeResourceName(Z23,#REF!,#REF!,G23,N23,O23,P23,Q23,S23,T23,V23,A23))),""),SUBSTITUTE(IFERROR(IF($H$2="Lower", LOWER(ComputeResourceName(#REF!,#REF!,#REF!,G23,N23,O23,P23,Q23,S23,T23,V23,A23)), UPPER(ComputeResourceName(#REF!,#REF!,#REF!,G23,N23,O23,P23,Q23,S23,T23,V23,A23))),""), "-",""))</f>
        <v/>
      </c>
      <c r="L23" s="3" t="str">
        <f xml:space="preserve"> IF(K23="","",  IFERROR(VLOOKUP(I23,Resources!$B$1:$H$1503,5,FALSE)-LEN(K23),0))</f>
        <v/>
      </c>
      <c r="M23" s="3" t="str">
        <f>IF(K23="","",IFERROR(matches(K23,VLOOKUP(I23,Resources!$A$2:$AA$1503,16,FALSE)),FALSE))</f>
        <v/>
      </c>
      <c r="N23" s="3" t="e">
        <f>VLOOKUP(E23,Enviroments!$A$3:$D$59,1,FALSE)</f>
        <v>#N/A</v>
      </c>
      <c r="O23" s="3" t="e">
        <f>VLOOKUP(E23,Enviroments!$A$3:$D$59,2,FALSE)</f>
        <v>#N/A</v>
      </c>
      <c r="P23" s="3" t="e">
        <f>VLOOKUP(E23,Enviroments!$A$3:$D$59,3,FALSE)</f>
        <v>#N/A</v>
      </c>
      <c r="Q23" s="3" t="e">
        <f>VLOOKUP(E23,Enviroments!$A$3:$D$59,4,FALSE)</f>
        <v>#N/A</v>
      </c>
      <c r="R23" s="3" t="e">
        <f>VLOOKUP(H23,AzureRegions!$A$4:$B$1493,1,FALSE)</f>
        <v>#N/A</v>
      </c>
      <c r="S23" s="3" t="e">
        <f>VLOOKUP(H23,AzureRegions!$A$4:$B$1493,2,FALSE)</f>
        <v>#N/A</v>
      </c>
      <c r="T23" s="3" t="e">
        <f>VLOOKUP(H23,AzureRegions!$A$4:$C$1493,3,FALSE)</f>
        <v>#N/A</v>
      </c>
      <c r="U23" s="3" t="e">
        <f>VLOOKUP(I23,Resources!$A$2:$AA$1503,2,FALSE)</f>
        <v>#N/A</v>
      </c>
      <c r="V23" s="3" t="e">
        <f>VLOOKUP(I23,Resources!$A$2:$H$1503,6,FALSE)</f>
        <v>#N/A</v>
      </c>
      <c r="W23" s="3" t="str">
        <f>VLOOKUP($H$2,Casing!$A$4:$A$60,1,FALSE)</f>
        <v>Lower</v>
      </c>
      <c r="X23" s="14" t="str">
        <f t="shared" si="1"/>
        <v>001</v>
      </c>
      <c r="Y23" s="3" t="str">
        <f>IFERROR(VLOOKUP(F23,Func!$A$4:$G$1500,2,FALSE),"none")</f>
        <v>none</v>
      </c>
      <c r="Z23" s="3" t="e">
        <f>VLOOKUP(I23,Resources!$A$2:$AA$1503,18,FALSE)</f>
        <v>#N/A</v>
      </c>
      <c r="AA23" s="3" t="str">
        <f>IFERROR(VLOOKUP(B23,Orgs!$A$4:$G$1500,2,FALSE),"none")</f>
        <v>none</v>
      </c>
      <c r="AB23" s="3" t="str">
        <f>IFERROR(VLOOKUP(C23,UnitsDepts!$A$4:$G$1500,2,FALSE),"none")</f>
        <v>none</v>
      </c>
      <c r="AC23" s="3" t="str">
        <f>IFERROR(VLOOKUP(D23,ProjAppSvc!$A$4:$G$1500,2,FALSE),"none")</f>
        <v>none</v>
      </c>
    </row>
    <row r="24" spans="1:29" x14ac:dyDescent="0.45">
      <c r="A24" s="14" t="s">
        <v>23</v>
      </c>
      <c r="B24" s="14"/>
      <c r="C24" s="14"/>
      <c r="D24" s="14"/>
      <c r="H24" s="8"/>
      <c r="I24" s="3"/>
      <c r="J24" s="3" t="str">
        <f t="shared" si="2"/>
        <v/>
      </c>
      <c r="K24" s="3" t="str">
        <f>IF(ISNUMBER(SEARCH("-",V24)),IFERROR(IF($H$2="Lower", LOWER(ComputeResourceName(Z24,#REF!,#REF!,G24,N24,O24,P24,Q24,S24,T24,V24,A24)), UPPER(ComputeResourceName(Z24,#REF!,#REF!,G24,N24,O24,P24,Q24,S24,T24,V24,A24))),""),SUBSTITUTE(IFERROR(IF($H$2="Lower", LOWER(ComputeResourceName(#REF!,#REF!,#REF!,G24,N24,O24,P24,Q24,S24,T24,V24,A24)), UPPER(ComputeResourceName(#REF!,#REF!,#REF!,G24,N24,O24,P24,Q24,S24,T24,V24,A24))),""), "-",""))</f>
        <v/>
      </c>
      <c r="L24" s="3" t="str">
        <f xml:space="preserve"> IF(K24="","",  IFERROR(VLOOKUP(I24,Resources!$B$1:$H$1503,5,FALSE)-LEN(K24),0))</f>
        <v/>
      </c>
      <c r="M24" s="3" t="str">
        <f>IF(K24="","",IFERROR(matches(K24,VLOOKUP(I24,Resources!$A$2:$AA$1503,16,FALSE)),FALSE))</f>
        <v/>
      </c>
      <c r="N24" s="3" t="e">
        <f>VLOOKUP(E24,Enviroments!$A$3:$D$59,1,FALSE)</f>
        <v>#N/A</v>
      </c>
      <c r="O24" s="3" t="e">
        <f>VLOOKUP(E24,Enviroments!$A$3:$D$59,2,FALSE)</f>
        <v>#N/A</v>
      </c>
      <c r="P24" s="3" t="e">
        <f>VLOOKUP(E24,Enviroments!$A$3:$D$59,3,FALSE)</f>
        <v>#N/A</v>
      </c>
      <c r="Q24" s="3" t="e">
        <f>VLOOKUP(E24,Enviroments!$A$3:$D$59,4,FALSE)</f>
        <v>#N/A</v>
      </c>
      <c r="R24" s="3" t="e">
        <f>VLOOKUP(H24,AzureRegions!$A$4:$B$1493,1,FALSE)</f>
        <v>#N/A</v>
      </c>
      <c r="S24" s="3" t="e">
        <f>VLOOKUP(H24,AzureRegions!$A$4:$B$1493,2,FALSE)</f>
        <v>#N/A</v>
      </c>
      <c r="T24" s="3" t="e">
        <f>VLOOKUP(H24,AzureRegions!$A$4:$C$1493,3,FALSE)</f>
        <v>#N/A</v>
      </c>
      <c r="U24" s="3" t="e">
        <f>VLOOKUP(I24,Resources!$A$2:$AA$1503,2,FALSE)</f>
        <v>#N/A</v>
      </c>
      <c r="V24" s="3" t="e">
        <f>VLOOKUP(I24,Resources!$A$2:$H$1503,6,FALSE)</f>
        <v>#N/A</v>
      </c>
      <c r="W24" s="3" t="str">
        <f>VLOOKUP($H$2,Casing!$A$4:$A$60,1,FALSE)</f>
        <v>Lower</v>
      </c>
      <c r="X24" s="14" t="str">
        <f t="shared" si="1"/>
        <v>001</v>
      </c>
      <c r="Y24" s="3" t="str">
        <f>IFERROR(VLOOKUP(F24,Func!$A$4:$G$1500,2,FALSE),"none")</f>
        <v>none</v>
      </c>
      <c r="Z24" s="3" t="e">
        <f>VLOOKUP(I24,Resources!$A$2:$AA$1503,18,FALSE)</f>
        <v>#N/A</v>
      </c>
      <c r="AA24" s="3" t="str">
        <f>IFERROR(VLOOKUP(B24,Orgs!$A$4:$G$1500,2,FALSE),"none")</f>
        <v>none</v>
      </c>
      <c r="AB24" s="3" t="str">
        <f>IFERROR(VLOOKUP(C24,UnitsDepts!$A$4:$G$1500,2,FALSE),"none")</f>
        <v>none</v>
      </c>
      <c r="AC24" s="3" t="str">
        <f>IFERROR(VLOOKUP(D24,ProjAppSvc!$A$4:$G$1500,2,FALSE),"none")</f>
        <v>none</v>
      </c>
    </row>
    <row r="25" spans="1:29" x14ac:dyDescent="0.45">
      <c r="A25" s="14" t="s">
        <v>23</v>
      </c>
      <c r="B25" s="14"/>
      <c r="C25" s="14"/>
      <c r="D25" s="14"/>
      <c r="H25" s="8"/>
      <c r="I25" s="3"/>
      <c r="J25" s="3" t="str">
        <f t="shared" si="2"/>
        <v/>
      </c>
      <c r="K25" s="3" t="str">
        <f>IF(ISNUMBER(SEARCH("-",V25)),IFERROR(IF($H$2="Lower", LOWER(ComputeResourceName(Z25,#REF!,#REF!,G25,N25,O25,P25,Q25,S25,T25,V25,A25)), UPPER(ComputeResourceName(Z25,#REF!,#REF!,G25,N25,O25,P25,Q25,S25,T25,V25,A25))),""),SUBSTITUTE(IFERROR(IF($H$2="Lower", LOWER(ComputeResourceName(#REF!,#REF!,#REF!,G25,N25,O25,P25,Q25,S25,T25,V25,A25)), UPPER(ComputeResourceName(#REF!,#REF!,#REF!,G25,N25,O25,P25,Q25,S25,T25,V25,A25))),""), "-",""))</f>
        <v/>
      </c>
      <c r="L25" s="3" t="str">
        <f xml:space="preserve"> IF(K25="","",  IFERROR(VLOOKUP(I25,Resources!$B$1:$H$1503,5,FALSE)-LEN(K25),0))</f>
        <v/>
      </c>
      <c r="M25" s="3" t="str">
        <f>IF(K25="","",IFERROR(matches(K25,VLOOKUP(I25,Resources!$A$2:$AA$1503,16,FALSE)),FALSE))</f>
        <v/>
      </c>
      <c r="N25" s="3" t="e">
        <f>VLOOKUP(E25,Enviroments!$A$3:$D$59,1,FALSE)</f>
        <v>#N/A</v>
      </c>
      <c r="O25" s="3" t="e">
        <f>VLOOKUP(E25,Enviroments!$A$3:$D$59,2,FALSE)</f>
        <v>#N/A</v>
      </c>
      <c r="P25" s="3" t="e">
        <f>VLOOKUP(E25,Enviroments!$A$3:$D$59,3,FALSE)</f>
        <v>#N/A</v>
      </c>
      <c r="Q25" s="3" t="e">
        <f>VLOOKUP(E25,Enviroments!$A$3:$D$59,4,FALSE)</f>
        <v>#N/A</v>
      </c>
      <c r="R25" s="3" t="e">
        <f>VLOOKUP(H25,AzureRegions!$A$4:$B$1493,1,FALSE)</f>
        <v>#N/A</v>
      </c>
      <c r="S25" s="3" t="e">
        <f>VLOOKUP(H25,AzureRegions!$A$4:$B$1493,2,FALSE)</f>
        <v>#N/A</v>
      </c>
      <c r="T25" s="3" t="e">
        <f>VLOOKUP(H25,AzureRegions!$A$4:$C$1493,3,FALSE)</f>
        <v>#N/A</v>
      </c>
      <c r="U25" s="3" t="e">
        <f>VLOOKUP(I25,Resources!$A$2:$AA$1503,2,FALSE)</f>
        <v>#N/A</v>
      </c>
      <c r="V25" s="3" t="e">
        <f>VLOOKUP(I25,Resources!$A$2:$H$1503,6,FALSE)</f>
        <v>#N/A</v>
      </c>
      <c r="W25" s="3" t="str">
        <f>VLOOKUP($H$2,Casing!$A$4:$A$60,1,FALSE)</f>
        <v>Lower</v>
      </c>
      <c r="X25" s="14" t="str">
        <f t="shared" si="1"/>
        <v>001</v>
      </c>
      <c r="Y25" s="3" t="str">
        <f>IFERROR(VLOOKUP(F25,Func!$A$4:$G$1500,2,FALSE),"none")</f>
        <v>none</v>
      </c>
      <c r="Z25" s="3" t="e">
        <f>VLOOKUP(I25,Resources!$A$2:$AA$1503,18,FALSE)</f>
        <v>#N/A</v>
      </c>
      <c r="AA25" s="3" t="str">
        <f>IFERROR(VLOOKUP(B25,Orgs!$A$4:$G$1500,2,FALSE),"none")</f>
        <v>none</v>
      </c>
      <c r="AB25" s="3" t="str">
        <f>IFERROR(VLOOKUP(C25,UnitsDepts!$A$4:$G$1500,2,FALSE),"none")</f>
        <v>none</v>
      </c>
      <c r="AC25" s="3" t="str">
        <f>IFERROR(VLOOKUP(D25,ProjAppSvc!$A$4:$G$1500,2,FALSE),"none")</f>
        <v>none</v>
      </c>
    </row>
    <row r="26" spans="1:29" x14ac:dyDescent="0.45">
      <c r="A26" s="14" t="s">
        <v>23</v>
      </c>
      <c r="B26" s="14"/>
      <c r="C26" s="14"/>
      <c r="D26" s="14"/>
      <c r="H26" s="8"/>
      <c r="I26" s="3"/>
      <c r="J26" s="3" t="str">
        <f t="shared" si="2"/>
        <v/>
      </c>
      <c r="K26" s="3" t="str">
        <f>IF(ISNUMBER(SEARCH("-",V26)),IFERROR(IF($H$2="Lower", LOWER(ComputeResourceName(Z26,#REF!,#REF!,G26,N26,O26,P26,Q26,S26,T26,V26,A26)), UPPER(ComputeResourceName(Z26,#REF!,#REF!,G26,N26,O26,P26,Q26,S26,T26,V26,A26))),""),SUBSTITUTE(IFERROR(IF($H$2="Lower", LOWER(ComputeResourceName(#REF!,#REF!,#REF!,G26,N26,O26,P26,Q26,S26,T26,V26,A26)), UPPER(ComputeResourceName(#REF!,#REF!,#REF!,G26,N26,O26,P26,Q26,S26,T26,V26,A26))),""), "-",""))</f>
        <v/>
      </c>
      <c r="L26" s="3" t="str">
        <f xml:space="preserve"> IF(K26="","",  IFERROR(VLOOKUP(I26,Resources!$B$1:$H$1503,5,FALSE)-LEN(K26),0))</f>
        <v/>
      </c>
      <c r="M26" s="3" t="str">
        <f>IF(K26="","",IFERROR(matches(K26,VLOOKUP(I26,Resources!$A$2:$AA$1503,16,FALSE)),FALSE))</f>
        <v/>
      </c>
      <c r="N26" s="3" t="e">
        <f>VLOOKUP(E26,Enviroments!$A$3:$D$59,1,FALSE)</f>
        <v>#N/A</v>
      </c>
      <c r="O26" s="3" t="e">
        <f>VLOOKUP(E26,Enviroments!$A$3:$D$59,2,FALSE)</f>
        <v>#N/A</v>
      </c>
      <c r="P26" s="3" t="e">
        <f>VLOOKUP(E26,Enviroments!$A$3:$D$59,3,FALSE)</f>
        <v>#N/A</v>
      </c>
      <c r="Q26" s="3" t="e">
        <f>VLOOKUP(E26,Enviroments!$A$3:$D$59,4,FALSE)</f>
        <v>#N/A</v>
      </c>
      <c r="R26" s="3" t="e">
        <f>VLOOKUP(H26,AzureRegions!$A$4:$B$1493,1,FALSE)</f>
        <v>#N/A</v>
      </c>
      <c r="S26" s="3" t="e">
        <f>VLOOKUP(H26,AzureRegions!$A$4:$B$1493,2,FALSE)</f>
        <v>#N/A</v>
      </c>
      <c r="T26" s="3" t="e">
        <f>VLOOKUP(H26,AzureRegions!$A$4:$C$1493,3,FALSE)</f>
        <v>#N/A</v>
      </c>
      <c r="U26" s="3" t="e">
        <f>VLOOKUP(I26,Resources!$A$2:$AA$1503,2,FALSE)</f>
        <v>#N/A</v>
      </c>
      <c r="V26" s="3" t="e">
        <f>VLOOKUP(I26,Resources!$A$2:$H$1503,6,FALSE)</f>
        <v>#N/A</v>
      </c>
      <c r="W26" s="3" t="str">
        <f>VLOOKUP($H$2,Casing!$A$4:$A$60,1,FALSE)</f>
        <v>Lower</v>
      </c>
      <c r="X26" s="14" t="str">
        <f t="shared" si="1"/>
        <v>001</v>
      </c>
      <c r="Y26" s="3" t="str">
        <f>IFERROR(VLOOKUP(F26,Func!$A$4:$G$1500,2,FALSE),"none")</f>
        <v>none</v>
      </c>
      <c r="Z26" s="3" t="e">
        <f>VLOOKUP(I26,Resources!$A$2:$AA$1503,18,FALSE)</f>
        <v>#N/A</v>
      </c>
      <c r="AA26" s="3" t="str">
        <f>IFERROR(VLOOKUP(B26,Orgs!$A$4:$G$1500,2,FALSE),"none")</f>
        <v>none</v>
      </c>
      <c r="AB26" s="3" t="str">
        <f>IFERROR(VLOOKUP(C26,UnitsDepts!$A$4:$G$1500,2,FALSE),"none")</f>
        <v>none</v>
      </c>
      <c r="AC26" s="3" t="str">
        <f>IFERROR(VLOOKUP(D26,ProjAppSvc!$A$4:$G$1500,2,FALSE),"none")</f>
        <v>none</v>
      </c>
    </row>
    <row r="27" spans="1:29" x14ac:dyDescent="0.45">
      <c r="A27" s="14" t="s">
        <v>23</v>
      </c>
      <c r="B27" s="14"/>
      <c r="C27" s="14"/>
      <c r="D27" s="14"/>
      <c r="H27" s="8"/>
      <c r="I27" s="3"/>
      <c r="J27" s="3" t="str">
        <f t="shared" si="2"/>
        <v/>
      </c>
      <c r="K27" s="3" t="str">
        <f>IF(ISNUMBER(SEARCH("-",V27)),IFERROR(IF($H$2="Lower", LOWER(ComputeResourceName(Z27,#REF!,#REF!,G27,N27,O27,P27,Q27,S27,T27,V27,A27)), UPPER(ComputeResourceName(Z27,#REF!,#REF!,G27,N27,O27,P27,Q27,S27,T27,V27,A27))),""),SUBSTITUTE(IFERROR(IF($H$2="Lower", LOWER(ComputeResourceName(#REF!,#REF!,#REF!,G27,N27,O27,P27,Q27,S27,T27,V27,A27)), UPPER(ComputeResourceName(#REF!,#REF!,#REF!,G27,N27,O27,P27,Q27,S27,T27,V27,A27))),""), "-",""))</f>
        <v/>
      </c>
      <c r="L27" s="3" t="str">
        <f xml:space="preserve"> IF(K27="","",  IFERROR(VLOOKUP(I27,Resources!$B$1:$H$1503,5,FALSE)-LEN(K27),0))</f>
        <v/>
      </c>
      <c r="M27" s="3" t="str">
        <f>IF(K27="","",IFERROR(matches(K27,VLOOKUP(I27,Resources!$A$2:$AA$1503,16,FALSE)),FALSE))</f>
        <v/>
      </c>
      <c r="N27" s="3" t="e">
        <f>VLOOKUP(E27,Enviroments!$A$3:$D$59,1,FALSE)</f>
        <v>#N/A</v>
      </c>
      <c r="O27" s="3" t="e">
        <f>VLOOKUP(E27,Enviroments!$A$3:$D$59,2,FALSE)</f>
        <v>#N/A</v>
      </c>
      <c r="P27" s="3" t="e">
        <f>VLOOKUP(E27,Enviroments!$A$3:$D$59,3,FALSE)</f>
        <v>#N/A</v>
      </c>
      <c r="Q27" s="3" t="e">
        <f>VLOOKUP(E27,Enviroments!$A$3:$D$59,4,FALSE)</f>
        <v>#N/A</v>
      </c>
      <c r="R27" s="3" t="e">
        <f>VLOOKUP(H27,AzureRegions!$A$4:$B$1493,1,FALSE)</f>
        <v>#N/A</v>
      </c>
      <c r="S27" s="3" t="e">
        <f>VLOOKUP(H27,AzureRegions!$A$4:$B$1493,2,FALSE)</f>
        <v>#N/A</v>
      </c>
      <c r="T27" s="3" t="e">
        <f>VLOOKUP(H27,AzureRegions!$A$4:$C$1493,3,FALSE)</f>
        <v>#N/A</v>
      </c>
      <c r="U27" s="3" t="e">
        <f>VLOOKUP(I27,Resources!$A$2:$AA$1503,2,FALSE)</f>
        <v>#N/A</v>
      </c>
      <c r="V27" s="3" t="e">
        <f>VLOOKUP(I27,Resources!$A$2:$H$1503,6,FALSE)</f>
        <v>#N/A</v>
      </c>
      <c r="W27" s="3" t="str">
        <f>VLOOKUP($H$2,Casing!$A$4:$A$60,1,FALSE)</f>
        <v>Lower</v>
      </c>
      <c r="X27" s="14" t="str">
        <f t="shared" si="1"/>
        <v>001</v>
      </c>
      <c r="Y27" s="3" t="str">
        <f>IFERROR(VLOOKUP(F27,Func!$A$4:$G$1500,2,FALSE),"none")</f>
        <v>none</v>
      </c>
      <c r="Z27" s="3" t="e">
        <f>VLOOKUP(I27,Resources!$A$2:$AA$1503,18,FALSE)</f>
        <v>#N/A</v>
      </c>
      <c r="AA27" s="3" t="str">
        <f>IFERROR(VLOOKUP(B27,Orgs!$A$4:$G$1500,2,FALSE),"none")</f>
        <v>none</v>
      </c>
      <c r="AB27" s="3" t="str">
        <f>IFERROR(VLOOKUP(C27,UnitsDepts!$A$4:$G$1500,2,FALSE),"none")</f>
        <v>none</v>
      </c>
      <c r="AC27" s="3" t="str">
        <f>IFERROR(VLOOKUP(D27,ProjAppSvc!$A$4:$G$1500,2,FALSE),"none")</f>
        <v>none</v>
      </c>
    </row>
    <row r="28" spans="1:29" x14ac:dyDescent="0.45">
      <c r="A28" s="14" t="s">
        <v>23</v>
      </c>
      <c r="B28" s="14"/>
      <c r="C28" s="14"/>
      <c r="D28" s="14"/>
      <c r="H28" s="8"/>
      <c r="I28" s="3"/>
      <c r="J28" s="3" t="str">
        <f t="shared" si="2"/>
        <v/>
      </c>
      <c r="K28" s="3" t="str">
        <f>IF(ISNUMBER(SEARCH("-",V28)),IFERROR(IF($H$2="Lower", LOWER(ComputeResourceName(Z28,#REF!,#REF!,G28,N28,O28,P28,Q28,S28,T28,V28,A28)), UPPER(ComputeResourceName(Z28,#REF!,#REF!,G28,N28,O28,P28,Q28,S28,T28,V28,A28))),""),SUBSTITUTE(IFERROR(IF($H$2="Lower", LOWER(ComputeResourceName(#REF!,#REF!,#REF!,G28,N28,O28,P28,Q28,S28,T28,V28,A28)), UPPER(ComputeResourceName(#REF!,#REF!,#REF!,G28,N28,O28,P28,Q28,S28,T28,V28,A28))),""), "-",""))</f>
        <v/>
      </c>
      <c r="L28" s="3" t="str">
        <f xml:space="preserve"> IF(K28="","",  IFERROR(VLOOKUP(I28,Resources!$B$1:$H$1503,5,FALSE)-LEN(K28),0))</f>
        <v/>
      </c>
      <c r="M28" s="3" t="str">
        <f>IF(K28="","",IFERROR(matches(K28,VLOOKUP(I28,Resources!$A$2:$AA$1503,16,FALSE)),FALSE))</f>
        <v/>
      </c>
      <c r="N28" s="3" t="e">
        <f>VLOOKUP(E28,Enviroments!$A$3:$D$59,1,FALSE)</f>
        <v>#N/A</v>
      </c>
      <c r="O28" s="3" t="e">
        <f>VLOOKUP(E28,Enviroments!$A$3:$D$59,2,FALSE)</f>
        <v>#N/A</v>
      </c>
      <c r="P28" s="3" t="e">
        <f>VLOOKUP(E28,Enviroments!$A$3:$D$59,3,FALSE)</f>
        <v>#N/A</v>
      </c>
      <c r="Q28" s="3" t="e">
        <f>VLOOKUP(E28,Enviroments!$A$3:$D$59,4,FALSE)</f>
        <v>#N/A</v>
      </c>
      <c r="R28" s="3" t="e">
        <f>VLOOKUP(H28,AzureRegions!$A$4:$B$1493,1,FALSE)</f>
        <v>#N/A</v>
      </c>
      <c r="S28" s="3" t="e">
        <f>VLOOKUP(H28,AzureRegions!$A$4:$B$1493,2,FALSE)</f>
        <v>#N/A</v>
      </c>
      <c r="T28" s="3" t="e">
        <f>VLOOKUP(H28,AzureRegions!$A$4:$C$1493,3,FALSE)</f>
        <v>#N/A</v>
      </c>
      <c r="U28" s="3" t="e">
        <f>VLOOKUP(I28,Resources!$A$2:$AA$1503,2,FALSE)</f>
        <v>#N/A</v>
      </c>
      <c r="V28" s="3" t="e">
        <f>VLOOKUP(I28,Resources!$A$2:$H$1503,6,FALSE)</f>
        <v>#N/A</v>
      </c>
      <c r="W28" s="3" t="str">
        <f>VLOOKUP($H$2,Casing!$A$4:$A$60,1,FALSE)</f>
        <v>Lower</v>
      </c>
      <c r="X28" s="14" t="str">
        <f t="shared" si="1"/>
        <v>001</v>
      </c>
      <c r="Y28" s="3" t="str">
        <f>IFERROR(VLOOKUP(F28,Func!$A$4:$G$1500,2,FALSE),"none")</f>
        <v>none</v>
      </c>
      <c r="Z28" s="3" t="e">
        <f>VLOOKUP(I28,Resources!$A$2:$AA$1503,18,FALSE)</f>
        <v>#N/A</v>
      </c>
      <c r="AA28" s="3" t="str">
        <f>IFERROR(VLOOKUP(B28,Orgs!$A$4:$G$1500,2,FALSE),"none")</f>
        <v>none</v>
      </c>
      <c r="AB28" s="3" t="str">
        <f>IFERROR(VLOOKUP(C28,UnitsDepts!$A$4:$G$1500,2,FALSE),"none")</f>
        <v>none</v>
      </c>
      <c r="AC28" s="3" t="str">
        <f>IFERROR(VLOOKUP(D28,ProjAppSvc!$A$4:$G$1500,2,FALSE),"none")</f>
        <v>none</v>
      </c>
    </row>
    <row r="29" spans="1:29" x14ac:dyDescent="0.45">
      <c r="A29" s="14" t="s">
        <v>23</v>
      </c>
      <c r="B29" s="14"/>
      <c r="C29" s="14"/>
      <c r="D29" s="14"/>
      <c r="H29" s="8"/>
      <c r="I29" s="3"/>
      <c r="J29" s="3" t="str">
        <f t="shared" si="2"/>
        <v/>
      </c>
      <c r="K29" s="3" t="str">
        <f>IF(ISNUMBER(SEARCH("-",V29)),IFERROR(IF($H$2="Lower", LOWER(ComputeResourceName(Z29,#REF!,#REF!,G29,N29,O29,P29,Q29,S29,T29,V29,A29)), UPPER(ComputeResourceName(Z29,#REF!,#REF!,G29,N29,O29,P29,Q29,S29,T29,V29,A29))),""),SUBSTITUTE(IFERROR(IF($H$2="Lower", LOWER(ComputeResourceName(#REF!,#REF!,#REF!,G29,N29,O29,P29,Q29,S29,T29,V29,A29)), UPPER(ComputeResourceName(#REF!,#REF!,#REF!,G29,N29,O29,P29,Q29,S29,T29,V29,A29))),""), "-",""))</f>
        <v/>
      </c>
      <c r="L29" s="3" t="str">
        <f xml:space="preserve"> IF(K29="","",  IFERROR(VLOOKUP(I29,Resources!$B$1:$H$1503,5,FALSE)-LEN(K29),0))</f>
        <v/>
      </c>
      <c r="M29" s="3" t="str">
        <f>IF(K29="","",IFERROR(matches(K29,VLOOKUP(I29,Resources!$A$2:$AA$1503,16,FALSE)),FALSE))</f>
        <v/>
      </c>
      <c r="N29" s="3" t="e">
        <f>VLOOKUP(E29,Enviroments!$A$3:$D$59,1,FALSE)</f>
        <v>#N/A</v>
      </c>
      <c r="O29" s="3" t="e">
        <f>VLOOKUP(E29,Enviroments!$A$3:$D$59,2,FALSE)</f>
        <v>#N/A</v>
      </c>
      <c r="P29" s="3" t="e">
        <f>VLOOKUP(E29,Enviroments!$A$3:$D$59,3,FALSE)</f>
        <v>#N/A</v>
      </c>
      <c r="Q29" s="3" t="e">
        <f>VLOOKUP(E29,Enviroments!$A$3:$D$59,4,FALSE)</f>
        <v>#N/A</v>
      </c>
      <c r="R29" s="3" t="e">
        <f>VLOOKUP(H29,AzureRegions!$A$4:$B$1493,1,FALSE)</f>
        <v>#N/A</v>
      </c>
      <c r="S29" s="3" t="e">
        <f>VLOOKUP(H29,AzureRegions!$A$4:$B$1493,2,FALSE)</f>
        <v>#N/A</v>
      </c>
      <c r="T29" s="3" t="e">
        <f>VLOOKUP(H29,AzureRegions!$A$4:$C$1493,3,FALSE)</f>
        <v>#N/A</v>
      </c>
      <c r="U29" s="3" t="e">
        <f>VLOOKUP(I29,Resources!$A$2:$AA$1503,2,FALSE)</f>
        <v>#N/A</v>
      </c>
      <c r="V29" s="3" t="e">
        <f>VLOOKUP(I29,Resources!$A$2:$H$1503,6,FALSE)</f>
        <v>#N/A</v>
      </c>
      <c r="W29" s="3" t="str">
        <f>VLOOKUP($H$2,Casing!$A$4:$A$60,1,FALSE)</f>
        <v>Lower</v>
      </c>
      <c r="X29" s="14" t="str">
        <f t="shared" si="1"/>
        <v>001</v>
      </c>
      <c r="Y29" s="3" t="str">
        <f>IFERROR(VLOOKUP(F29,Func!$A$4:$G$1500,2,FALSE),"none")</f>
        <v>none</v>
      </c>
      <c r="Z29" s="3" t="e">
        <f>VLOOKUP(I29,Resources!$A$2:$AA$1503,18,FALSE)</f>
        <v>#N/A</v>
      </c>
      <c r="AA29" s="3" t="str">
        <f>IFERROR(VLOOKUP(B29,Orgs!$A$4:$G$1500,2,FALSE),"none")</f>
        <v>none</v>
      </c>
      <c r="AB29" s="3" t="str">
        <f>IFERROR(VLOOKUP(C29,UnitsDepts!$A$4:$G$1500,2,FALSE),"none")</f>
        <v>none</v>
      </c>
      <c r="AC29" s="3" t="str">
        <f>IFERROR(VLOOKUP(D29,ProjAppSvc!$A$4:$G$1500,2,FALSE),"none")</f>
        <v>none</v>
      </c>
    </row>
    <row r="30" spans="1:29" x14ac:dyDescent="0.45">
      <c r="A30" s="14" t="s">
        <v>23</v>
      </c>
      <c r="B30" s="14"/>
      <c r="C30" s="14"/>
      <c r="D30" s="14"/>
      <c r="H30" s="8"/>
      <c r="I30" s="3"/>
      <c r="J30" s="3" t="str">
        <f t="shared" si="2"/>
        <v/>
      </c>
      <c r="K30" s="3" t="str">
        <f>IF(ISNUMBER(SEARCH("-",V30)),IFERROR(IF($H$2="Lower", LOWER(ComputeResourceName(Z30,#REF!,#REF!,G30,N30,O30,P30,Q30,S30,T30,V30,A30)), UPPER(ComputeResourceName(Z30,#REF!,#REF!,G30,N30,O30,P30,Q30,S30,T30,V30,A30))),""),SUBSTITUTE(IFERROR(IF($H$2="Lower", LOWER(ComputeResourceName(#REF!,#REF!,#REF!,G30,N30,O30,P30,Q30,S30,T30,V30,A30)), UPPER(ComputeResourceName(#REF!,#REF!,#REF!,G30,N30,O30,P30,Q30,S30,T30,V30,A30))),""), "-",""))</f>
        <v/>
      </c>
      <c r="L30" s="3" t="str">
        <f xml:space="preserve"> IF(K30="","",  IFERROR(VLOOKUP(I30,Resources!$B$1:$H$1503,5,FALSE)-LEN(K30),0))</f>
        <v/>
      </c>
      <c r="M30" s="3" t="str">
        <f>IF(K30="","",IFERROR(matches(K30,VLOOKUP(I30,Resources!$A$2:$AA$1503,16,FALSE)),FALSE))</f>
        <v/>
      </c>
      <c r="N30" s="3" t="e">
        <f>VLOOKUP(E30,Enviroments!$A$3:$D$59,1,FALSE)</f>
        <v>#N/A</v>
      </c>
      <c r="O30" s="3" t="e">
        <f>VLOOKUP(E30,Enviroments!$A$3:$D$59,2,FALSE)</f>
        <v>#N/A</v>
      </c>
      <c r="P30" s="3" t="e">
        <f>VLOOKUP(E30,Enviroments!$A$3:$D$59,3,FALSE)</f>
        <v>#N/A</v>
      </c>
      <c r="Q30" s="3" t="e">
        <f>VLOOKUP(E30,Enviroments!$A$3:$D$59,4,FALSE)</f>
        <v>#N/A</v>
      </c>
      <c r="R30" s="3" t="e">
        <f>VLOOKUP(H30,AzureRegions!$A$4:$B$1493,1,FALSE)</f>
        <v>#N/A</v>
      </c>
      <c r="S30" s="3" t="e">
        <f>VLOOKUP(H30,AzureRegions!$A$4:$B$1493,2,FALSE)</f>
        <v>#N/A</v>
      </c>
      <c r="T30" s="3" t="e">
        <f>VLOOKUP(H30,AzureRegions!$A$4:$C$1493,3,FALSE)</f>
        <v>#N/A</v>
      </c>
      <c r="U30" s="3" t="e">
        <f>VLOOKUP(I30,Resources!$A$2:$AA$1503,2,FALSE)</f>
        <v>#N/A</v>
      </c>
      <c r="V30" s="3" t="e">
        <f>VLOOKUP(I30,Resources!$A$2:$H$1503,6,FALSE)</f>
        <v>#N/A</v>
      </c>
      <c r="W30" s="3" t="str">
        <f>VLOOKUP($H$2,Casing!$A$4:$A$60,1,FALSE)</f>
        <v>Lower</v>
      </c>
      <c r="X30" s="14" t="str">
        <f t="shared" si="1"/>
        <v>001</v>
      </c>
      <c r="Y30" s="3" t="str">
        <f>IFERROR(VLOOKUP(F30,Func!$A$4:$G$1500,2,FALSE),"none")</f>
        <v>none</v>
      </c>
      <c r="Z30" s="3" t="e">
        <f>VLOOKUP(I30,Resources!$A$2:$AA$1503,18,FALSE)</f>
        <v>#N/A</v>
      </c>
      <c r="AA30" s="3" t="str">
        <f>IFERROR(VLOOKUP(B30,Orgs!$A$4:$G$1500,2,FALSE),"none")</f>
        <v>none</v>
      </c>
      <c r="AB30" s="3" t="str">
        <f>IFERROR(VLOOKUP(C30,UnitsDepts!$A$4:$G$1500,2,FALSE),"none")</f>
        <v>none</v>
      </c>
      <c r="AC30" s="3" t="str">
        <f>IFERROR(VLOOKUP(D30,ProjAppSvc!$A$4:$G$1500,2,FALSE),"none")</f>
        <v>none</v>
      </c>
    </row>
    <row r="31" spans="1:29" x14ac:dyDescent="0.45">
      <c r="A31" s="14" t="s">
        <v>23</v>
      </c>
      <c r="B31" s="14"/>
      <c r="C31" s="14"/>
      <c r="D31" s="14"/>
      <c r="H31" s="8"/>
      <c r="I31" s="3"/>
      <c r="J31" s="3" t="str">
        <f t="shared" si="2"/>
        <v/>
      </c>
      <c r="K31" s="3" t="str">
        <f>IF(ISNUMBER(SEARCH("-",V31)),IFERROR(IF($H$2="Lower", LOWER(ComputeResourceName(Z31,#REF!,#REF!,G31,N31,O31,P31,Q31,S31,T31,V31,A31)), UPPER(ComputeResourceName(Z31,#REF!,#REF!,G31,N31,O31,P31,Q31,S31,T31,V31,A31))),""),SUBSTITUTE(IFERROR(IF($H$2="Lower", LOWER(ComputeResourceName(#REF!,#REF!,#REF!,G31,N31,O31,P31,Q31,S31,T31,V31,A31)), UPPER(ComputeResourceName(#REF!,#REF!,#REF!,G31,N31,O31,P31,Q31,S31,T31,V31,A31))),""), "-",""))</f>
        <v/>
      </c>
      <c r="L31" s="3" t="str">
        <f xml:space="preserve"> IF(K31="","",  IFERROR(VLOOKUP(I31,Resources!$B$1:$H$1503,5,FALSE)-LEN(K31),0))</f>
        <v/>
      </c>
      <c r="M31" s="3" t="str">
        <f>IF(K31="","",IFERROR(matches(K31,VLOOKUP(I31,Resources!$A$2:$AA$1503,16,FALSE)),FALSE))</f>
        <v/>
      </c>
      <c r="N31" s="3" t="e">
        <f>VLOOKUP(E31,Enviroments!$A$3:$D$59,1,FALSE)</f>
        <v>#N/A</v>
      </c>
      <c r="O31" s="3" t="e">
        <f>VLOOKUP(E31,Enviroments!$A$3:$D$59,2,FALSE)</f>
        <v>#N/A</v>
      </c>
      <c r="P31" s="3" t="e">
        <f>VLOOKUP(E31,Enviroments!$A$3:$D$59,3,FALSE)</f>
        <v>#N/A</v>
      </c>
      <c r="Q31" s="3" t="e">
        <f>VLOOKUP(E31,Enviroments!$A$3:$D$59,4,FALSE)</f>
        <v>#N/A</v>
      </c>
      <c r="R31" s="3" t="e">
        <f>VLOOKUP(H31,AzureRegions!$A$4:$B$1493,1,FALSE)</f>
        <v>#N/A</v>
      </c>
      <c r="S31" s="3" t="e">
        <f>VLOOKUP(H31,AzureRegions!$A$4:$B$1493,2,FALSE)</f>
        <v>#N/A</v>
      </c>
      <c r="T31" s="3" t="e">
        <f>VLOOKUP(H31,AzureRegions!$A$4:$C$1493,3,FALSE)</f>
        <v>#N/A</v>
      </c>
      <c r="U31" s="3" t="e">
        <f>VLOOKUP(I31,Resources!$A$2:$AA$1503,2,FALSE)</f>
        <v>#N/A</v>
      </c>
      <c r="V31" s="3" t="e">
        <f>VLOOKUP(I31,Resources!$A$2:$H$1503,6,FALSE)</f>
        <v>#N/A</v>
      </c>
      <c r="W31" s="3" t="str">
        <f>VLOOKUP($H$2,Casing!$A$4:$A$60,1,FALSE)</f>
        <v>Lower</v>
      </c>
      <c r="X31" s="14" t="str">
        <f t="shared" si="1"/>
        <v>001</v>
      </c>
      <c r="Y31" s="3" t="str">
        <f>IFERROR(VLOOKUP(F31,Func!$A$4:$G$1500,2,FALSE),"none")</f>
        <v>none</v>
      </c>
      <c r="Z31" s="3" t="e">
        <f>VLOOKUP(I31,Resources!$A$2:$AA$1503,18,FALSE)</f>
        <v>#N/A</v>
      </c>
      <c r="AA31" s="3" t="str">
        <f>IFERROR(VLOOKUP(B31,Orgs!$A$4:$G$1500,2,FALSE),"none")</f>
        <v>none</v>
      </c>
      <c r="AB31" s="3" t="str">
        <f>IFERROR(VLOOKUP(C31,UnitsDepts!$A$4:$G$1500,2,FALSE),"none")</f>
        <v>none</v>
      </c>
      <c r="AC31" s="3" t="str">
        <f>IFERROR(VLOOKUP(D31,ProjAppSvc!$A$4:$G$1500,2,FALSE),"none")</f>
        <v>none</v>
      </c>
    </row>
    <row r="32" spans="1:29" x14ac:dyDescent="0.45">
      <c r="A32" s="14" t="s">
        <v>23</v>
      </c>
      <c r="B32" s="14"/>
      <c r="C32" s="14"/>
      <c r="D32" s="14"/>
      <c r="H32" s="8"/>
      <c r="I32" s="3"/>
      <c r="J32" s="3" t="str">
        <f t="shared" si="2"/>
        <v/>
      </c>
      <c r="K32" s="3" t="str">
        <f>IF(ISNUMBER(SEARCH("-",V32)),IFERROR(IF($H$2="Lower", LOWER(ComputeResourceName(Z32,#REF!,#REF!,G32,N32,O32,P32,Q32,S32,T32,V32,A32)), UPPER(ComputeResourceName(Z32,#REF!,#REF!,G32,N32,O32,P32,Q32,S32,T32,V32,A32))),""),SUBSTITUTE(IFERROR(IF($H$2="Lower", LOWER(ComputeResourceName(#REF!,#REF!,#REF!,G32,N32,O32,P32,Q32,S32,T32,V32,A32)), UPPER(ComputeResourceName(#REF!,#REF!,#REF!,G32,N32,O32,P32,Q32,S32,T32,V32,A32))),""), "-",""))</f>
        <v/>
      </c>
      <c r="L32" s="3" t="str">
        <f xml:space="preserve"> IF(K32="","",  IFERROR(VLOOKUP(I32,Resources!$B$1:$H$1503,5,FALSE)-LEN(K32),0))</f>
        <v/>
      </c>
      <c r="M32" s="3" t="str">
        <f>IF(K32="","",IFERROR(matches(K32,VLOOKUP(I32,Resources!$A$2:$AA$1503,16,FALSE)),FALSE))</f>
        <v/>
      </c>
      <c r="N32" s="3" t="e">
        <f>VLOOKUP(E32,Enviroments!$A$3:$D$59,1,FALSE)</f>
        <v>#N/A</v>
      </c>
      <c r="O32" s="3" t="e">
        <f>VLOOKUP(E32,Enviroments!$A$3:$D$59,2,FALSE)</f>
        <v>#N/A</v>
      </c>
      <c r="P32" s="3" t="e">
        <f>VLOOKUP(E32,Enviroments!$A$3:$D$59,3,FALSE)</f>
        <v>#N/A</v>
      </c>
      <c r="Q32" s="3" t="e">
        <f>VLOOKUP(E32,Enviroments!$A$3:$D$59,4,FALSE)</f>
        <v>#N/A</v>
      </c>
      <c r="R32" s="3" t="e">
        <f>VLOOKUP(H32,AzureRegions!$A$4:$B$1493,1,FALSE)</f>
        <v>#N/A</v>
      </c>
      <c r="S32" s="3" t="e">
        <f>VLOOKUP(H32,AzureRegions!$A$4:$B$1493,2,FALSE)</f>
        <v>#N/A</v>
      </c>
      <c r="T32" s="3" t="e">
        <f>VLOOKUP(H32,AzureRegions!$A$4:$C$1493,3,FALSE)</f>
        <v>#N/A</v>
      </c>
      <c r="U32" s="3" t="e">
        <f>VLOOKUP(I32,Resources!$A$2:$AA$1503,2,FALSE)</f>
        <v>#N/A</v>
      </c>
      <c r="V32" s="3" t="e">
        <f>VLOOKUP(I32,Resources!$A$2:$H$1503,6,FALSE)</f>
        <v>#N/A</v>
      </c>
      <c r="W32" s="3" t="str">
        <f>VLOOKUP($H$2,Casing!$A$4:$A$60,1,FALSE)</f>
        <v>Lower</v>
      </c>
      <c r="X32" s="14" t="str">
        <f t="shared" si="1"/>
        <v>001</v>
      </c>
      <c r="Y32" s="3" t="str">
        <f>IFERROR(VLOOKUP(F32,Func!$A$4:$G$1500,2,FALSE),"none")</f>
        <v>none</v>
      </c>
      <c r="Z32" s="3" t="e">
        <f>VLOOKUP(I32,Resources!$A$2:$AA$1503,18,FALSE)</f>
        <v>#N/A</v>
      </c>
      <c r="AA32" s="3" t="str">
        <f>IFERROR(VLOOKUP(B32,Orgs!$A$4:$G$1500,2,FALSE),"none")</f>
        <v>none</v>
      </c>
      <c r="AB32" s="3" t="str">
        <f>IFERROR(VLOOKUP(C32,UnitsDepts!$A$4:$G$1500,2,FALSE),"none")</f>
        <v>none</v>
      </c>
      <c r="AC32" s="3" t="str">
        <f>IFERROR(VLOOKUP(D32,ProjAppSvc!$A$4:$G$1500,2,FALSE),"none")</f>
        <v>none</v>
      </c>
    </row>
    <row r="33" spans="1:29" x14ac:dyDescent="0.45">
      <c r="A33" s="14" t="s">
        <v>23</v>
      </c>
      <c r="B33" s="14"/>
      <c r="C33" s="14"/>
      <c r="D33" s="14"/>
      <c r="H33" s="8"/>
      <c r="I33" s="3"/>
      <c r="J33" s="3" t="str">
        <f t="shared" si="2"/>
        <v/>
      </c>
      <c r="K33" s="3" t="str">
        <f>IF(ISNUMBER(SEARCH("-",V33)),IFERROR(IF($H$2="Lower", LOWER(ComputeResourceName(Z33,#REF!,#REF!,G33,N33,O33,P33,Q33,S33,T33,V33,A33)), UPPER(ComputeResourceName(Z33,#REF!,#REF!,G33,N33,O33,P33,Q33,S33,T33,V33,A33))),""),SUBSTITUTE(IFERROR(IF($H$2="Lower", LOWER(ComputeResourceName(#REF!,#REF!,#REF!,G33,N33,O33,P33,Q33,S33,T33,V33,A33)), UPPER(ComputeResourceName(#REF!,#REF!,#REF!,G33,N33,O33,P33,Q33,S33,T33,V33,A33))),""), "-",""))</f>
        <v/>
      </c>
      <c r="L33" s="3" t="str">
        <f xml:space="preserve"> IF(K33="","",  IFERROR(VLOOKUP(I33,Resources!$B$1:$H$1503,5,FALSE)-LEN(K33),0))</f>
        <v/>
      </c>
      <c r="M33" s="3" t="str">
        <f>IF(K33="","",IFERROR(matches(K33,VLOOKUP(I33,Resources!$A$2:$AA$1503,16,FALSE)),FALSE))</f>
        <v/>
      </c>
      <c r="N33" s="3" t="e">
        <f>VLOOKUP(E33,Enviroments!$A$3:$D$59,1,FALSE)</f>
        <v>#N/A</v>
      </c>
      <c r="O33" s="3" t="e">
        <f>VLOOKUP(E33,Enviroments!$A$3:$D$59,2,FALSE)</f>
        <v>#N/A</v>
      </c>
      <c r="P33" s="3" t="e">
        <f>VLOOKUP(E33,Enviroments!$A$3:$D$59,3,FALSE)</f>
        <v>#N/A</v>
      </c>
      <c r="Q33" s="3" t="e">
        <f>VLOOKUP(E33,Enviroments!$A$3:$D$59,4,FALSE)</f>
        <v>#N/A</v>
      </c>
      <c r="R33" s="3" t="e">
        <f>VLOOKUP(H33,AzureRegions!$A$4:$B$1493,1,FALSE)</f>
        <v>#N/A</v>
      </c>
      <c r="S33" s="3" t="e">
        <f>VLOOKUP(H33,AzureRegions!$A$4:$B$1493,2,FALSE)</f>
        <v>#N/A</v>
      </c>
      <c r="T33" s="3" t="e">
        <f>VLOOKUP(H33,AzureRegions!$A$4:$C$1493,3,FALSE)</f>
        <v>#N/A</v>
      </c>
      <c r="U33" s="3" t="e">
        <f>VLOOKUP(I33,Resources!$A$2:$AA$1503,2,FALSE)</f>
        <v>#N/A</v>
      </c>
      <c r="V33" s="3" t="e">
        <f>VLOOKUP(I33,Resources!$A$2:$H$1503,6,FALSE)</f>
        <v>#N/A</v>
      </c>
      <c r="W33" s="3" t="str">
        <f>VLOOKUP($H$2,Casing!$A$4:$A$60,1,FALSE)</f>
        <v>Lower</v>
      </c>
      <c r="X33" s="14" t="str">
        <f t="shared" si="1"/>
        <v>001</v>
      </c>
      <c r="Y33" s="3" t="str">
        <f>IFERROR(VLOOKUP(F33,Func!$A$4:$G$1500,2,FALSE),"none")</f>
        <v>none</v>
      </c>
      <c r="Z33" s="3" t="e">
        <f>VLOOKUP(I33,Resources!$A$2:$AA$1503,18,FALSE)</f>
        <v>#N/A</v>
      </c>
      <c r="AA33" s="3" t="str">
        <f>IFERROR(VLOOKUP(B33,Orgs!$A$4:$G$1500,2,FALSE),"none")</f>
        <v>none</v>
      </c>
      <c r="AB33" s="3" t="str">
        <f>IFERROR(VLOOKUP(C33,UnitsDepts!$A$4:$G$1500,2,FALSE),"none")</f>
        <v>none</v>
      </c>
      <c r="AC33" s="3" t="str">
        <f>IFERROR(VLOOKUP(D33,ProjAppSvc!$A$4:$G$1500,2,FALSE),"none")</f>
        <v>none</v>
      </c>
    </row>
    <row r="34" spans="1:29" x14ac:dyDescent="0.45">
      <c r="A34" s="14" t="s">
        <v>23</v>
      </c>
      <c r="B34" s="14"/>
      <c r="C34" s="14"/>
      <c r="D34" s="14"/>
      <c r="H34" s="8"/>
      <c r="I34" s="3"/>
      <c r="J34" s="3" t="str">
        <f t="shared" si="2"/>
        <v/>
      </c>
      <c r="K34" s="3" t="str">
        <f>IF(ISNUMBER(SEARCH("-",V34)),IFERROR(IF($H$2="Lower", LOWER(ComputeResourceName(Z34,#REF!,#REF!,G34,N34,O34,P34,Q34,S34,T34,V34,A34)), UPPER(ComputeResourceName(Z34,#REF!,#REF!,G34,N34,O34,P34,Q34,S34,T34,V34,A34))),""),SUBSTITUTE(IFERROR(IF($H$2="Lower", LOWER(ComputeResourceName(#REF!,#REF!,#REF!,G34,N34,O34,P34,Q34,S34,T34,V34,A34)), UPPER(ComputeResourceName(#REF!,#REF!,#REF!,G34,N34,O34,P34,Q34,S34,T34,V34,A34))),""), "-",""))</f>
        <v/>
      </c>
      <c r="L34" s="3" t="str">
        <f xml:space="preserve"> IF(K34="","",  IFERROR(VLOOKUP(I34,Resources!$B$1:$H$1503,5,FALSE)-LEN(K34),0))</f>
        <v/>
      </c>
      <c r="M34" s="3" t="str">
        <f>IF(K34="","",IFERROR(matches(K34,VLOOKUP(I34,Resources!$A$2:$AA$1503,16,FALSE)),FALSE))</f>
        <v/>
      </c>
      <c r="N34" s="3" t="e">
        <f>VLOOKUP(E34,Enviroments!$A$3:$D$59,1,FALSE)</f>
        <v>#N/A</v>
      </c>
      <c r="O34" s="3" t="e">
        <f>VLOOKUP(E34,Enviroments!$A$3:$D$59,2,FALSE)</f>
        <v>#N/A</v>
      </c>
      <c r="P34" s="3" t="e">
        <f>VLOOKUP(E34,Enviroments!$A$3:$D$59,3,FALSE)</f>
        <v>#N/A</v>
      </c>
      <c r="Q34" s="3" t="e">
        <f>VLOOKUP(E34,Enviroments!$A$3:$D$59,4,FALSE)</f>
        <v>#N/A</v>
      </c>
      <c r="R34" s="3" t="e">
        <f>VLOOKUP(H34,AzureRegions!$A$4:$B$1493,1,FALSE)</f>
        <v>#N/A</v>
      </c>
      <c r="S34" s="3" t="e">
        <f>VLOOKUP(H34,AzureRegions!$A$4:$B$1493,2,FALSE)</f>
        <v>#N/A</v>
      </c>
      <c r="T34" s="3" t="e">
        <f>VLOOKUP(H34,AzureRegions!$A$4:$C$1493,3,FALSE)</f>
        <v>#N/A</v>
      </c>
      <c r="U34" s="3" t="e">
        <f>VLOOKUP(I34,Resources!$A$2:$AA$1503,2,FALSE)</f>
        <v>#N/A</v>
      </c>
      <c r="V34" s="3" t="e">
        <f>VLOOKUP(I34,Resources!$A$2:$H$1503,6,FALSE)</f>
        <v>#N/A</v>
      </c>
      <c r="W34" s="3" t="str">
        <f>VLOOKUP($H$2,Casing!$A$4:$A$60,1,FALSE)</f>
        <v>Lower</v>
      </c>
      <c r="X34" s="14" t="str">
        <f t="shared" si="1"/>
        <v>001</v>
      </c>
      <c r="Y34" s="3" t="str">
        <f>IFERROR(VLOOKUP(F34,Func!$A$4:$G$1500,2,FALSE),"none")</f>
        <v>none</v>
      </c>
      <c r="Z34" s="3" t="e">
        <f>VLOOKUP(I34,Resources!$A$2:$AA$1503,18,FALSE)</f>
        <v>#N/A</v>
      </c>
      <c r="AA34" s="3" t="str">
        <f>IFERROR(VLOOKUP(B34,Orgs!$A$4:$G$1500,2,FALSE),"none")</f>
        <v>none</v>
      </c>
      <c r="AB34" s="3" t="str">
        <f>IFERROR(VLOOKUP(C34,UnitsDepts!$A$4:$G$1500,2,FALSE),"none")</f>
        <v>none</v>
      </c>
      <c r="AC34" s="3" t="str">
        <f>IFERROR(VLOOKUP(D34,ProjAppSvc!$A$4:$G$1500,2,FALSE),"none")</f>
        <v>none</v>
      </c>
    </row>
    <row r="35" spans="1:29" x14ac:dyDescent="0.45">
      <c r="A35" s="14" t="s">
        <v>23</v>
      </c>
      <c r="B35" s="14"/>
      <c r="C35" s="14"/>
      <c r="D35" s="14"/>
      <c r="H35" s="8"/>
      <c r="I35" s="3"/>
      <c r="J35" s="3" t="str">
        <f t="shared" si="2"/>
        <v/>
      </c>
      <c r="K35" s="3" t="str">
        <f>IF(ISNUMBER(SEARCH("-",V35)),IFERROR(IF($H$2="Lower", LOWER(ComputeResourceName(Z35,#REF!,#REF!,G35,N35,O35,P35,Q35,S35,T35,V35,A35)), UPPER(ComputeResourceName(Z35,#REF!,#REF!,G35,N35,O35,P35,Q35,S35,T35,V35,A35))),""),SUBSTITUTE(IFERROR(IF($H$2="Lower", LOWER(ComputeResourceName(#REF!,#REF!,#REF!,G35,N35,O35,P35,Q35,S35,T35,V35,A35)), UPPER(ComputeResourceName(#REF!,#REF!,#REF!,G35,N35,O35,P35,Q35,S35,T35,V35,A35))),""), "-",""))</f>
        <v/>
      </c>
      <c r="L35" s="3" t="str">
        <f xml:space="preserve"> IF(K35="","",  IFERROR(VLOOKUP(I35,Resources!$B$1:$H$1503,5,FALSE)-LEN(K35),0))</f>
        <v/>
      </c>
      <c r="M35" s="3" t="str">
        <f>IF(K35="","",IFERROR(matches(K35,VLOOKUP(I35,Resources!$A$2:$AA$1503,16,FALSE)),FALSE))</f>
        <v/>
      </c>
      <c r="N35" s="3" t="e">
        <f>VLOOKUP(E35,Enviroments!$A$3:$D$59,1,FALSE)</f>
        <v>#N/A</v>
      </c>
      <c r="O35" s="3" t="e">
        <f>VLOOKUP(E35,Enviroments!$A$3:$D$59,2,FALSE)</f>
        <v>#N/A</v>
      </c>
      <c r="P35" s="3" t="e">
        <f>VLOOKUP(E35,Enviroments!$A$3:$D$59,3,FALSE)</f>
        <v>#N/A</v>
      </c>
      <c r="Q35" s="3" t="e">
        <f>VLOOKUP(E35,Enviroments!$A$3:$D$59,4,FALSE)</f>
        <v>#N/A</v>
      </c>
      <c r="R35" s="3" t="e">
        <f>VLOOKUP(H35,AzureRegions!$A$4:$B$1493,1,FALSE)</f>
        <v>#N/A</v>
      </c>
      <c r="S35" s="3" t="e">
        <f>VLOOKUP(H35,AzureRegions!$A$4:$B$1493,2,FALSE)</f>
        <v>#N/A</v>
      </c>
      <c r="T35" s="3" t="e">
        <f>VLOOKUP(H35,AzureRegions!$A$4:$C$1493,3,FALSE)</f>
        <v>#N/A</v>
      </c>
      <c r="U35" s="3" t="e">
        <f>VLOOKUP(I35,Resources!$A$2:$AA$1503,2,FALSE)</f>
        <v>#N/A</v>
      </c>
      <c r="V35" s="3" t="e">
        <f>VLOOKUP(I35,Resources!$A$2:$H$1503,6,FALSE)</f>
        <v>#N/A</v>
      </c>
      <c r="W35" s="3" t="str">
        <f>VLOOKUP($H$2,Casing!$A$4:$A$60,1,FALSE)</f>
        <v>Lower</v>
      </c>
      <c r="X35" s="14" t="str">
        <f t="shared" si="1"/>
        <v>001</v>
      </c>
      <c r="Y35" s="3" t="str">
        <f>IFERROR(VLOOKUP(F35,Func!$A$4:$G$1500,2,FALSE),"none")</f>
        <v>none</v>
      </c>
      <c r="Z35" s="3" t="e">
        <f>VLOOKUP(I35,Resources!$A$2:$AA$1503,18,FALSE)</f>
        <v>#N/A</v>
      </c>
      <c r="AA35" s="3" t="str">
        <f>IFERROR(VLOOKUP(B35,Orgs!$A$4:$G$1500,2,FALSE),"none")</f>
        <v>none</v>
      </c>
      <c r="AB35" s="3" t="str">
        <f>IFERROR(VLOOKUP(C35,UnitsDepts!$A$4:$G$1500,2,FALSE),"none")</f>
        <v>none</v>
      </c>
      <c r="AC35" s="3" t="str">
        <f>IFERROR(VLOOKUP(D35,ProjAppSvc!$A$4:$G$1500,2,FALSE),"none")</f>
        <v>none</v>
      </c>
    </row>
    <row r="36" spans="1:29" x14ac:dyDescent="0.45">
      <c r="A36" s="14" t="s">
        <v>23</v>
      </c>
      <c r="B36" s="14"/>
      <c r="C36" s="14"/>
      <c r="D36" s="14"/>
      <c r="H36" s="8"/>
      <c r="I36" s="3"/>
      <c r="J36" s="3" t="str">
        <f t="shared" si="2"/>
        <v/>
      </c>
      <c r="K36" s="3" t="str">
        <f>IF(ISNUMBER(SEARCH("-",V36)),IFERROR(IF($H$2="Lower", LOWER(ComputeResourceName(Z36,#REF!,#REF!,G36,N36,O36,P36,Q36,S36,T36,V36,A36)), UPPER(ComputeResourceName(Z36,#REF!,#REF!,G36,N36,O36,P36,Q36,S36,T36,V36,A36))),""),SUBSTITUTE(IFERROR(IF($H$2="Lower", LOWER(ComputeResourceName(#REF!,#REF!,#REF!,G36,N36,O36,P36,Q36,S36,T36,V36,A36)), UPPER(ComputeResourceName(#REF!,#REF!,#REF!,G36,N36,O36,P36,Q36,S36,T36,V36,A36))),""), "-",""))</f>
        <v/>
      </c>
      <c r="L36" s="3" t="str">
        <f xml:space="preserve"> IF(K36="","",  IFERROR(VLOOKUP(I36,Resources!$B$1:$H$1503,5,FALSE)-LEN(K36),0))</f>
        <v/>
      </c>
      <c r="M36" s="3" t="str">
        <f>IF(K36="","",IFERROR(matches(K36,VLOOKUP(I36,Resources!$A$2:$AA$1503,16,FALSE)),FALSE))</f>
        <v/>
      </c>
      <c r="N36" s="3" t="e">
        <f>VLOOKUP(E36,Enviroments!$A$3:$D$59,1,FALSE)</f>
        <v>#N/A</v>
      </c>
      <c r="O36" s="3" t="e">
        <f>VLOOKUP(E36,Enviroments!$A$3:$D$59,2,FALSE)</f>
        <v>#N/A</v>
      </c>
      <c r="P36" s="3" t="e">
        <f>VLOOKUP(E36,Enviroments!$A$3:$D$59,3,FALSE)</f>
        <v>#N/A</v>
      </c>
      <c r="Q36" s="3" t="e">
        <f>VLOOKUP(E36,Enviroments!$A$3:$D$59,4,FALSE)</f>
        <v>#N/A</v>
      </c>
      <c r="R36" s="3" t="e">
        <f>VLOOKUP(H36,AzureRegions!$A$4:$B$1493,1,FALSE)</f>
        <v>#N/A</v>
      </c>
      <c r="S36" s="3" t="e">
        <f>VLOOKUP(H36,AzureRegions!$A$4:$B$1493,2,FALSE)</f>
        <v>#N/A</v>
      </c>
      <c r="T36" s="3" t="e">
        <f>VLOOKUP(H36,AzureRegions!$A$4:$C$1493,3,FALSE)</f>
        <v>#N/A</v>
      </c>
      <c r="U36" s="3" t="e">
        <f>VLOOKUP(I36,Resources!$A$2:$AA$1503,2,FALSE)</f>
        <v>#N/A</v>
      </c>
      <c r="V36" s="3" t="e">
        <f>VLOOKUP(I36,Resources!$A$2:$H$1503,6,FALSE)</f>
        <v>#N/A</v>
      </c>
      <c r="W36" s="3" t="str">
        <f>VLOOKUP($H$2,Casing!$A$4:$A$60,1,FALSE)</f>
        <v>Lower</v>
      </c>
      <c r="X36" s="14" t="str">
        <f t="shared" si="1"/>
        <v>001</v>
      </c>
      <c r="Y36" s="3" t="str">
        <f>IFERROR(VLOOKUP(F36,Func!$A$4:$G$1500,2,FALSE),"none")</f>
        <v>none</v>
      </c>
      <c r="Z36" s="3" t="e">
        <f>VLOOKUP(I36,Resources!$A$2:$AA$1503,18,FALSE)</f>
        <v>#N/A</v>
      </c>
      <c r="AA36" s="3" t="str">
        <f>IFERROR(VLOOKUP(B36,Orgs!$A$4:$G$1500,2,FALSE),"none")</f>
        <v>none</v>
      </c>
      <c r="AB36" s="3" t="str">
        <f>IFERROR(VLOOKUP(C36,UnitsDepts!$A$4:$G$1500,2,FALSE),"none")</f>
        <v>none</v>
      </c>
      <c r="AC36" s="3" t="str">
        <f>IFERROR(VLOOKUP(D36,ProjAppSvc!$A$4:$G$1500,2,FALSE),"none")</f>
        <v>none</v>
      </c>
    </row>
    <row r="37" spans="1:29" x14ac:dyDescent="0.45">
      <c r="A37" s="14" t="s">
        <v>23</v>
      </c>
      <c r="B37" s="14"/>
      <c r="C37" s="14"/>
      <c r="D37" s="14"/>
      <c r="H37" s="8"/>
      <c r="I37" s="3"/>
      <c r="J37" s="3" t="str">
        <f t="shared" si="2"/>
        <v/>
      </c>
      <c r="K37" s="3" t="str">
        <f>IF(ISNUMBER(SEARCH("-",V37)),IFERROR(IF($H$2="Lower", LOWER(ComputeResourceName(Z37,#REF!,#REF!,G37,N37,O37,P37,Q37,S37,T37,V37,A37)), UPPER(ComputeResourceName(Z37,#REF!,#REF!,G37,N37,O37,P37,Q37,S37,T37,V37,A37))),""),SUBSTITUTE(IFERROR(IF($H$2="Lower", LOWER(ComputeResourceName(#REF!,#REF!,#REF!,G37,N37,O37,P37,Q37,S37,T37,V37,A37)), UPPER(ComputeResourceName(#REF!,#REF!,#REF!,G37,N37,O37,P37,Q37,S37,T37,V37,A37))),""), "-",""))</f>
        <v/>
      </c>
      <c r="L37" s="3" t="str">
        <f xml:space="preserve"> IF(K37="","",  IFERROR(VLOOKUP(I37,Resources!$B$1:$H$1503,5,FALSE)-LEN(K37),0))</f>
        <v/>
      </c>
      <c r="M37" s="3" t="str">
        <f>IF(K37="","",IFERROR(matches(K37,VLOOKUP(I37,Resources!$A$2:$AA$1503,16,FALSE)),FALSE))</f>
        <v/>
      </c>
      <c r="N37" s="3" t="e">
        <f>VLOOKUP(E37,Enviroments!$A$3:$D$59,1,FALSE)</f>
        <v>#N/A</v>
      </c>
      <c r="O37" s="3" t="e">
        <f>VLOOKUP(E37,Enviroments!$A$3:$D$59,2,FALSE)</f>
        <v>#N/A</v>
      </c>
      <c r="P37" s="3" t="e">
        <f>VLOOKUP(E37,Enviroments!$A$3:$D$59,3,FALSE)</f>
        <v>#N/A</v>
      </c>
      <c r="Q37" s="3" t="e">
        <f>VLOOKUP(E37,Enviroments!$A$3:$D$59,4,FALSE)</f>
        <v>#N/A</v>
      </c>
      <c r="R37" s="3" t="e">
        <f>VLOOKUP(H37,AzureRegions!$A$4:$B$1493,1,FALSE)</f>
        <v>#N/A</v>
      </c>
      <c r="S37" s="3" t="e">
        <f>VLOOKUP(H37,AzureRegions!$A$4:$B$1493,2,FALSE)</f>
        <v>#N/A</v>
      </c>
      <c r="T37" s="3" t="e">
        <f>VLOOKUP(H37,AzureRegions!$A$4:$C$1493,3,FALSE)</f>
        <v>#N/A</v>
      </c>
      <c r="U37" s="3" t="e">
        <f>VLOOKUP(I37,Resources!$A$2:$AA$1503,2,FALSE)</f>
        <v>#N/A</v>
      </c>
      <c r="V37" s="3" t="e">
        <f>VLOOKUP(I37,Resources!$A$2:$H$1503,6,FALSE)</f>
        <v>#N/A</v>
      </c>
      <c r="W37" s="3" t="str">
        <f>VLOOKUP($H$2,Casing!$A$4:$A$60,1,FALSE)</f>
        <v>Lower</v>
      </c>
      <c r="X37" s="14" t="str">
        <f t="shared" si="1"/>
        <v>001</v>
      </c>
      <c r="Y37" s="3" t="str">
        <f>IFERROR(VLOOKUP(F37,Func!$A$4:$G$1500,2,FALSE),"none")</f>
        <v>none</v>
      </c>
      <c r="Z37" s="3" t="e">
        <f>VLOOKUP(I37,Resources!$A$2:$AA$1503,18,FALSE)</f>
        <v>#N/A</v>
      </c>
      <c r="AA37" s="3" t="str">
        <f>IFERROR(VLOOKUP(B37,Orgs!$A$4:$G$1500,2,FALSE),"none")</f>
        <v>none</v>
      </c>
      <c r="AB37" s="3" t="str">
        <f>IFERROR(VLOOKUP(C37,UnitsDepts!$A$4:$G$1500,2,FALSE),"none")</f>
        <v>none</v>
      </c>
      <c r="AC37" s="3" t="str">
        <f>IFERROR(VLOOKUP(D37,ProjAppSvc!$A$4:$G$1500,2,FALSE),"none")</f>
        <v>none</v>
      </c>
    </row>
    <row r="38" spans="1:29" x14ac:dyDescent="0.45">
      <c r="A38" s="14" t="s">
        <v>23</v>
      </c>
      <c r="B38" s="14"/>
      <c r="C38" s="14"/>
      <c r="D38" s="14"/>
      <c r="H38" s="8"/>
      <c r="I38" s="3"/>
      <c r="J38" s="3" t="str">
        <f t="shared" si="2"/>
        <v/>
      </c>
      <c r="K38" s="3" t="str">
        <f>IF(ISNUMBER(SEARCH("-",V38)),IFERROR(IF($H$2="Lower", LOWER(ComputeResourceName(Z38,#REF!,#REF!,G38,N38,O38,P38,Q38,S38,T38,V38,A38)), UPPER(ComputeResourceName(Z38,#REF!,#REF!,G38,N38,O38,P38,Q38,S38,T38,V38,A38))),""),SUBSTITUTE(IFERROR(IF($H$2="Lower", LOWER(ComputeResourceName(#REF!,#REF!,#REF!,G38,N38,O38,P38,Q38,S38,T38,V38,A38)), UPPER(ComputeResourceName(#REF!,#REF!,#REF!,G38,N38,O38,P38,Q38,S38,T38,V38,A38))),""), "-",""))</f>
        <v/>
      </c>
      <c r="L38" s="3" t="str">
        <f xml:space="preserve"> IF(K38="","",  IFERROR(VLOOKUP(I38,Resources!$B$1:$H$1503,5,FALSE)-LEN(K38),0))</f>
        <v/>
      </c>
      <c r="M38" s="3" t="str">
        <f>IF(K38="","",IFERROR(matches(K38,VLOOKUP(I38,Resources!$A$2:$AA$1503,16,FALSE)),FALSE))</f>
        <v/>
      </c>
      <c r="N38" s="3" t="e">
        <f>VLOOKUP(E38,Enviroments!$A$3:$D$59,1,FALSE)</f>
        <v>#N/A</v>
      </c>
      <c r="O38" s="3" t="e">
        <f>VLOOKUP(E38,Enviroments!$A$3:$D$59,2,FALSE)</f>
        <v>#N/A</v>
      </c>
      <c r="P38" s="3" t="e">
        <f>VLOOKUP(E38,Enviroments!$A$3:$D$59,3,FALSE)</f>
        <v>#N/A</v>
      </c>
      <c r="Q38" s="3" t="e">
        <f>VLOOKUP(E38,Enviroments!$A$3:$D$59,4,FALSE)</f>
        <v>#N/A</v>
      </c>
      <c r="R38" s="3" t="e">
        <f>VLOOKUP(H38,AzureRegions!$A$4:$B$1493,1,FALSE)</f>
        <v>#N/A</v>
      </c>
      <c r="S38" s="3" t="e">
        <f>VLOOKUP(H38,AzureRegions!$A$4:$B$1493,2,FALSE)</f>
        <v>#N/A</v>
      </c>
      <c r="T38" s="3" t="e">
        <f>VLOOKUP(H38,AzureRegions!$A$4:$C$1493,3,FALSE)</f>
        <v>#N/A</v>
      </c>
      <c r="U38" s="3" t="e">
        <f>VLOOKUP(I38,Resources!$A$2:$AA$1503,2,FALSE)</f>
        <v>#N/A</v>
      </c>
      <c r="V38" s="3" t="e">
        <f>VLOOKUP(I38,Resources!$A$2:$H$1503,6,FALSE)</f>
        <v>#N/A</v>
      </c>
      <c r="W38" s="3" t="str">
        <f>VLOOKUP($H$2,Casing!$A$4:$A$60,1,FALSE)</f>
        <v>Lower</v>
      </c>
      <c r="X38" s="14" t="str">
        <f t="shared" si="1"/>
        <v>001</v>
      </c>
      <c r="Y38" s="3" t="str">
        <f>IFERROR(VLOOKUP(F38,Func!$A$4:$G$1500,2,FALSE),"none")</f>
        <v>none</v>
      </c>
      <c r="Z38" s="3" t="e">
        <f>VLOOKUP(I38,Resources!$A$2:$AA$1503,18,FALSE)</f>
        <v>#N/A</v>
      </c>
      <c r="AA38" s="3" t="str">
        <f>IFERROR(VLOOKUP(B38,Orgs!$A$4:$G$1500,2,FALSE),"none")</f>
        <v>none</v>
      </c>
      <c r="AB38" s="3" t="str">
        <f>IFERROR(VLOOKUP(C38,UnitsDepts!$A$4:$G$1500,2,FALSE),"none")</f>
        <v>none</v>
      </c>
      <c r="AC38" s="3" t="str">
        <f>IFERROR(VLOOKUP(D38,ProjAppSvc!$A$4:$G$1500,2,FALSE),"none")</f>
        <v>none</v>
      </c>
    </row>
    <row r="39" spans="1:29" x14ac:dyDescent="0.45">
      <c r="A39" s="14" t="s">
        <v>23</v>
      </c>
      <c r="B39" s="14"/>
      <c r="C39" s="14"/>
      <c r="D39" s="14"/>
      <c r="H39" s="8"/>
      <c r="I39" s="3"/>
      <c r="J39" s="3" t="str">
        <f t="shared" si="2"/>
        <v/>
      </c>
      <c r="K39" s="3" t="str">
        <f>IF(ISNUMBER(SEARCH("-",V39)),IFERROR(IF($H$2="Lower", LOWER(ComputeResourceName(Z39,#REF!,#REF!,G39,N39,O39,P39,Q39,S39,T39,V39,A39)), UPPER(ComputeResourceName(Z39,#REF!,#REF!,G39,N39,O39,P39,Q39,S39,T39,V39,A39))),""),SUBSTITUTE(IFERROR(IF($H$2="Lower", LOWER(ComputeResourceName(#REF!,#REF!,#REF!,G39,N39,O39,P39,Q39,S39,T39,V39,A39)), UPPER(ComputeResourceName(#REF!,#REF!,#REF!,G39,N39,O39,P39,Q39,S39,T39,V39,A39))),""), "-",""))</f>
        <v/>
      </c>
      <c r="L39" s="3" t="str">
        <f xml:space="preserve"> IF(K39="","",  IFERROR(VLOOKUP(I39,Resources!$B$1:$H$1503,5,FALSE)-LEN(K39),0))</f>
        <v/>
      </c>
      <c r="M39" s="3" t="str">
        <f>IF(K39="","",IFERROR(matches(K39,VLOOKUP(I39,Resources!$A$2:$AA$1503,16,FALSE)),FALSE))</f>
        <v/>
      </c>
      <c r="N39" s="3" t="e">
        <f>VLOOKUP(E39,Enviroments!$A$3:$D$59,1,FALSE)</f>
        <v>#N/A</v>
      </c>
      <c r="O39" s="3" t="e">
        <f>VLOOKUP(E39,Enviroments!$A$3:$D$59,2,FALSE)</f>
        <v>#N/A</v>
      </c>
      <c r="P39" s="3" t="e">
        <f>VLOOKUP(E39,Enviroments!$A$3:$D$59,3,FALSE)</f>
        <v>#N/A</v>
      </c>
      <c r="Q39" s="3" t="e">
        <f>VLOOKUP(E39,Enviroments!$A$3:$D$59,4,FALSE)</f>
        <v>#N/A</v>
      </c>
      <c r="R39" s="3" t="e">
        <f>VLOOKUP(H39,AzureRegions!$A$4:$B$1493,1,FALSE)</f>
        <v>#N/A</v>
      </c>
      <c r="S39" s="3" t="e">
        <f>VLOOKUP(H39,AzureRegions!$A$4:$B$1493,2,FALSE)</f>
        <v>#N/A</v>
      </c>
      <c r="T39" s="3" t="e">
        <f>VLOOKUP(H39,AzureRegions!$A$4:$C$1493,3,FALSE)</f>
        <v>#N/A</v>
      </c>
      <c r="U39" s="3" t="e">
        <f>VLOOKUP(I39,Resources!$A$2:$AA$1503,2,FALSE)</f>
        <v>#N/A</v>
      </c>
      <c r="V39" s="3" t="e">
        <f>VLOOKUP(I39,Resources!$A$2:$H$1503,6,FALSE)</f>
        <v>#N/A</v>
      </c>
      <c r="W39" s="3" t="str">
        <f>VLOOKUP($H$2,Casing!$A$4:$A$60,1,FALSE)</f>
        <v>Lower</v>
      </c>
      <c r="X39" s="14" t="str">
        <f t="shared" si="1"/>
        <v>001</v>
      </c>
      <c r="Y39" s="3" t="str">
        <f>IFERROR(VLOOKUP(F39,Func!$A$4:$G$1500,2,FALSE),"none")</f>
        <v>none</v>
      </c>
      <c r="Z39" s="3" t="e">
        <f>VLOOKUP(I39,Resources!$A$2:$AA$1503,18,FALSE)</f>
        <v>#N/A</v>
      </c>
      <c r="AA39" s="3" t="str">
        <f>IFERROR(VLOOKUP(B39,Orgs!$A$4:$G$1500,2,FALSE),"none")</f>
        <v>none</v>
      </c>
      <c r="AB39" s="3" t="str">
        <f>IFERROR(VLOOKUP(C39,UnitsDepts!$A$4:$G$1500,2,FALSE),"none")</f>
        <v>none</v>
      </c>
      <c r="AC39" s="3" t="str">
        <f>IFERROR(VLOOKUP(D39,ProjAppSvc!$A$4:$G$1500,2,FALSE),"none")</f>
        <v>none</v>
      </c>
    </row>
    <row r="40" spans="1:29" x14ac:dyDescent="0.45">
      <c r="A40" s="14" t="s">
        <v>23</v>
      </c>
      <c r="B40" s="14"/>
      <c r="C40" s="14"/>
      <c r="D40" s="14"/>
      <c r="H40" s="8"/>
      <c r="I40" s="3"/>
      <c r="J40" s="3" t="str">
        <f t="shared" si="2"/>
        <v/>
      </c>
      <c r="K40" s="3" t="str">
        <f>IF(ISNUMBER(SEARCH("-",V40)),IFERROR(IF($H$2="Lower", LOWER(ComputeResourceName(Z40,#REF!,#REF!,G40,N40,O40,P40,Q40,S40,T40,V40,A40)), UPPER(ComputeResourceName(Z40,#REF!,#REF!,G40,N40,O40,P40,Q40,S40,T40,V40,A40))),""),SUBSTITUTE(IFERROR(IF($H$2="Lower", LOWER(ComputeResourceName(#REF!,#REF!,#REF!,G40,N40,O40,P40,Q40,S40,T40,V40,A40)), UPPER(ComputeResourceName(#REF!,#REF!,#REF!,G40,N40,O40,P40,Q40,S40,T40,V40,A40))),""), "-",""))</f>
        <v/>
      </c>
      <c r="L40" s="3" t="str">
        <f xml:space="preserve"> IF(K40="","",  IFERROR(VLOOKUP(I40,Resources!$B$1:$H$1503,5,FALSE)-LEN(K40),0))</f>
        <v/>
      </c>
      <c r="M40" s="3" t="str">
        <f>IF(K40="","",IFERROR(matches(K40,VLOOKUP(I40,Resources!$A$2:$AA$1503,16,FALSE)),FALSE))</f>
        <v/>
      </c>
      <c r="N40" s="3" t="e">
        <f>VLOOKUP(E40,Enviroments!$A$3:$D$59,1,FALSE)</f>
        <v>#N/A</v>
      </c>
      <c r="O40" s="3" t="e">
        <f>VLOOKUP(E40,Enviroments!$A$3:$D$59,2,FALSE)</f>
        <v>#N/A</v>
      </c>
      <c r="P40" s="3" t="e">
        <f>VLOOKUP(E40,Enviroments!$A$3:$D$59,3,FALSE)</f>
        <v>#N/A</v>
      </c>
      <c r="Q40" s="3" t="e">
        <f>VLOOKUP(E40,Enviroments!$A$3:$D$59,4,FALSE)</f>
        <v>#N/A</v>
      </c>
      <c r="R40" s="3" t="e">
        <f>VLOOKUP(H40,AzureRegions!$A$4:$B$1493,1,FALSE)</f>
        <v>#N/A</v>
      </c>
      <c r="S40" s="3" t="e">
        <f>VLOOKUP(H40,AzureRegions!$A$4:$B$1493,2,FALSE)</f>
        <v>#N/A</v>
      </c>
      <c r="T40" s="3" t="e">
        <f>VLOOKUP(H40,AzureRegions!$A$4:$C$1493,3,FALSE)</f>
        <v>#N/A</v>
      </c>
      <c r="U40" s="3" t="e">
        <f>VLOOKUP(I40,Resources!$A$2:$AA$1503,2,FALSE)</f>
        <v>#N/A</v>
      </c>
      <c r="V40" s="3" t="e">
        <f>VLOOKUP(I40,Resources!$A$2:$H$1503,6,FALSE)</f>
        <v>#N/A</v>
      </c>
      <c r="W40" s="3" t="str">
        <f>VLOOKUP($H$2,Casing!$A$4:$A$60,1,FALSE)</f>
        <v>Lower</v>
      </c>
      <c r="X40" s="14" t="str">
        <f t="shared" si="1"/>
        <v>001</v>
      </c>
      <c r="Y40" s="3" t="str">
        <f>IFERROR(VLOOKUP(F40,Func!$A$4:$G$1500,2,FALSE),"none")</f>
        <v>none</v>
      </c>
      <c r="Z40" s="3" t="e">
        <f>VLOOKUP(I40,Resources!$A$2:$AA$1503,18,FALSE)</f>
        <v>#N/A</v>
      </c>
      <c r="AA40" s="3" t="str">
        <f>IFERROR(VLOOKUP(B40,Orgs!$A$4:$G$1500,2,FALSE),"none")</f>
        <v>none</v>
      </c>
      <c r="AB40" s="3" t="str">
        <f>IFERROR(VLOOKUP(C40,UnitsDepts!$A$4:$G$1500,2,FALSE),"none")</f>
        <v>none</v>
      </c>
      <c r="AC40" s="3" t="str">
        <f>IFERROR(VLOOKUP(D40,ProjAppSvc!$A$4:$G$1500,2,FALSE),"none")</f>
        <v>none</v>
      </c>
    </row>
    <row r="41" spans="1:29" x14ac:dyDescent="0.45">
      <c r="A41" s="14" t="s">
        <v>23</v>
      </c>
      <c r="B41" s="14"/>
      <c r="C41" s="14"/>
      <c r="D41" s="14"/>
      <c r="H41" s="8"/>
      <c r="I41" s="3"/>
      <c r="J41" s="3" t="str">
        <f t="shared" si="2"/>
        <v/>
      </c>
      <c r="K41" s="3" t="str">
        <f>IF(ISNUMBER(SEARCH("-",V41)),IFERROR(IF($H$2="Lower", LOWER(ComputeResourceName(Z41,#REF!,#REF!,G41,N41,O41,P41,Q41,S41,T41,V41,A41)), UPPER(ComputeResourceName(Z41,#REF!,#REF!,G41,N41,O41,P41,Q41,S41,T41,V41,A41))),""),SUBSTITUTE(IFERROR(IF($H$2="Lower", LOWER(ComputeResourceName(#REF!,#REF!,#REF!,G41,N41,O41,P41,Q41,S41,T41,V41,A41)), UPPER(ComputeResourceName(#REF!,#REF!,#REF!,G41,N41,O41,P41,Q41,S41,T41,V41,A41))),""), "-",""))</f>
        <v/>
      </c>
      <c r="L41" s="3" t="str">
        <f xml:space="preserve"> IF(K41="","",  IFERROR(VLOOKUP(I41,Resources!$B$1:$H$1503,5,FALSE)-LEN(K41),0))</f>
        <v/>
      </c>
      <c r="M41" s="3" t="str">
        <f>IF(K41="","",IFERROR(matches(K41,VLOOKUP(I41,Resources!$A$2:$AA$1503,16,FALSE)),FALSE))</f>
        <v/>
      </c>
      <c r="N41" s="3" t="e">
        <f>VLOOKUP(E41,Enviroments!$A$3:$D$59,1,FALSE)</f>
        <v>#N/A</v>
      </c>
      <c r="O41" s="3" t="e">
        <f>VLOOKUP(E41,Enviroments!$A$3:$D$59,2,FALSE)</f>
        <v>#N/A</v>
      </c>
      <c r="P41" s="3" t="e">
        <f>VLOOKUP(E41,Enviroments!$A$3:$D$59,3,FALSE)</f>
        <v>#N/A</v>
      </c>
      <c r="Q41" s="3" t="e">
        <f>VLOOKUP(E41,Enviroments!$A$3:$D$59,4,FALSE)</f>
        <v>#N/A</v>
      </c>
      <c r="R41" s="3" t="e">
        <f>VLOOKUP(H41,AzureRegions!$A$4:$B$1493,1,FALSE)</f>
        <v>#N/A</v>
      </c>
      <c r="S41" s="3" t="e">
        <f>VLOOKUP(H41,AzureRegions!$A$4:$B$1493,2,FALSE)</f>
        <v>#N/A</v>
      </c>
      <c r="T41" s="3" t="e">
        <f>VLOOKUP(H41,AzureRegions!$A$4:$C$1493,3,FALSE)</f>
        <v>#N/A</v>
      </c>
      <c r="U41" s="3" t="e">
        <f>VLOOKUP(I41,Resources!$A$2:$AA$1503,2,FALSE)</f>
        <v>#N/A</v>
      </c>
      <c r="V41" s="3" t="e">
        <f>VLOOKUP(I41,Resources!$A$2:$H$1503,6,FALSE)</f>
        <v>#N/A</v>
      </c>
      <c r="W41" s="3" t="str">
        <f>VLOOKUP($H$2,Casing!$A$4:$A$60,1,FALSE)</f>
        <v>Lower</v>
      </c>
      <c r="X41" s="14" t="str">
        <f t="shared" si="1"/>
        <v>001</v>
      </c>
      <c r="Y41" s="3" t="str">
        <f>IFERROR(VLOOKUP(F41,Func!$A$4:$G$1500,2,FALSE),"none")</f>
        <v>none</v>
      </c>
      <c r="Z41" s="3" t="e">
        <f>VLOOKUP(I41,Resources!$A$2:$AA$1503,18,FALSE)</f>
        <v>#N/A</v>
      </c>
      <c r="AA41" s="3" t="str">
        <f>IFERROR(VLOOKUP(B41,Orgs!$A$4:$G$1500,2,FALSE),"none")</f>
        <v>none</v>
      </c>
      <c r="AB41" s="3" t="str">
        <f>IFERROR(VLOOKUP(C41,UnitsDepts!$A$4:$G$1500,2,FALSE),"none")</f>
        <v>none</v>
      </c>
      <c r="AC41" s="3" t="str">
        <f>IFERROR(VLOOKUP(D41,ProjAppSvc!$A$4:$G$1500,2,FALSE),"none")</f>
        <v>none</v>
      </c>
    </row>
    <row r="42" spans="1:29" x14ac:dyDescent="0.45">
      <c r="A42" s="14" t="s">
        <v>23</v>
      </c>
      <c r="B42" s="14"/>
      <c r="C42" s="14"/>
      <c r="D42" s="14"/>
      <c r="H42" s="8"/>
      <c r="I42" s="3"/>
      <c r="J42" s="3" t="str">
        <f t="shared" si="2"/>
        <v/>
      </c>
      <c r="K42" s="3" t="str">
        <f>IF(ISNUMBER(SEARCH("-",V42)),IFERROR(IF($H$2="Lower", LOWER(ComputeResourceName(Z42,#REF!,#REF!,G42,N42,O42,P42,Q42,S42,T42,V42,A42)), UPPER(ComputeResourceName(Z42,#REF!,#REF!,G42,N42,O42,P42,Q42,S42,T42,V42,A42))),""),SUBSTITUTE(IFERROR(IF($H$2="Lower", LOWER(ComputeResourceName(#REF!,#REF!,#REF!,G42,N42,O42,P42,Q42,S42,T42,V42,A42)), UPPER(ComputeResourceName(#REF!,#REF!,#REF!,G42,N42,O42,P42,Q42,S42,T42,V42,A42))),""), "-",""))</f>
        <v/>
      </c>
      <c r="L42" s="3" t="str">
        <f xml:space="preserve"> IF(K42="","",  IFERROR(VLOOKUP(I42,Resources!$B$1:$H$1503,5,FALSE)-LEN(K42),0))</f>
        <v/>
      </c>
      <c r="M42" s="3" t="str">
        <f>IF(K42="","",IFERROR(matches(K42,VLOOKUP(I42,Resources!$A$2:$AA$1503,16,FALSE)),FALSE))</f>
        <v/>
      </c>
      <c r="N42" s="3" t="e">
        <f>VLOOKUP(E42,Enviroments!$A$3:$D$59,1,FALSE)</f>
        <v>#N/A</v>
      </c>
      <c r="O42" s="3" t="e">
        <f>VLOOKUP(E42,Enviroments!$A$3:$D$59,2,FALSE)</f>
        <v>#N/A</v>
      </c>
      <c r="P42" s="3" t="e">
        <f>VLOOKUP(E42,Enviroments!$A$3:$D$59,3,FALSE)</f>
        <v>#N/A</v>
      </c>
      <c r="Q42" s="3" t="e">
        <f>VLOOKUP(E42,Enviroments!$A$3:$D$59,4,FALSE)</f>
        <v>#N/A</v>
      </c>
      <c r="R42" s="3" t="e">
        <f>VLOOKUP(H42,AzureRegions!$A$4:$B$1493,1,FALSE)</f>
        <v>#N/A</v>
      </c>
      <c r="S42" s="3" t="e">
        <f>VLOOKUP(H42,AzureRegions!$A$4:$B$1493,2,FALSE)</f>
        <v>#N/A</v>
      </c>
      <c r="T42" s="3" t="e">
        <f>VLOOKUP(H42,AzureRegions!$A$4:$C$1493,3,FALSE)</f>
        <v>#N/A</v>
      </c>
      <c r="U42" s="3" t="e">
        <f>VLOOKUP(I42,Resources!$A$2:$AA$1503,2,FALSE)</f>
        <v>#N/A</v>
      </c>
      <c r="V42" s="3" t="e">
        <f>VLOOKUP(I42,Resources!$A$2:$H$1503,6,FALSE)</f>
        <v>#N/A</v>
      </c>
      <c r="W42" s="3" t="str">
        <f>VLOOKUP($H$2,Casing!$A$4:$A$60,1,FALSE)</f>
        <v>Lower</v>
      </c>
      <c r="X42" s="14" t="str">
        <f t="shared" si="1"/>
        <v>001</v>
      </c>
      <c r="Y42" s="3" t="str">
        <f>IFERROR(VLOOKUP(F42,Func!$A$4:$G$1500,2,FALSE),"none")</f>
        <v>none</v>
      </c>
      <c r="Z42" s="3" t="e">
        <f>VLOOKUP(I42,Resources!$A$2:$AA$1503,18,FALSE)</f>
        <v>#N/A</v>
      </c>
      <c r="AA42" s="3" t="str">
        <f>IFERROR(VLOOKUP(B42,Orgs!$A$4:$G$1500,2,FALSE),"none")</f>
        <v>none</v>
      </c>
      <c r="AB42" s="3" t="str">
        <f>IFERROR(VLOOKUP(C42,UnitsDepts!$A$4:$G$1500,2,FALSE),"none")</f>
        <v>none</v>
      </c>
      <c r="AC42" s="3" t="str">
        <f>IFERROR(VLOOKUP(D42,ProjAppSvc!$A$4:$G$1500,2,FALSE),"none")</f>
        <v>none</v>
      </c>
    </row>
    <row r="43" spans="1:29" x14ac:dyDescent="0.45">
      <c r="A43" s="14" t="s">
        <v>23</v>
      </c>
      <c r="B43" s="14"/>
      <c r="C43" s="14"/>
      <c r="D43" s="14"/>
      <c r="H43" s="8"/>
      <c r="I43" s="3"/>
      <c r="J43" s="3" t="str">
        <f t="shared" si="2"/>
        <v/>
      </c>
      <c r="K43" s="3" t="str">
        <f>IF(ISNUMBER(SEARCH("-",V43)),IFERROR(IF($H$2="Lower", LOWER(ComputeResourceName(Z43,#REF!,#REF!,G43,N43,O43,P43,Q43,S43,T43,V43,A43)), UPPER(ComputeResourceName(Z43,#REF!,#REF!,G43,N43,O43,P43,Q43,S43,T43,V43,A43))),""),SUBSTITUTE(IFERROR(IF($H$2="Lower", LOWER(ComputeResourceName(#REF!,#REF!,#REF!,G43,N43,O43,P43,Q43,S43,T43,V43,A43)), UPPER(ComputeResourceName(#REF!,#REF!,#REF!,G43,N43,O43,P43,Q43,S43,T43,V43,A43))),""), "-",""))</f>
        <v/>
      </c>
      <c r="L43" s="3" t="str">
        <f xml:space="preserve"> IF(K43="","",  IFERROR(VLOOKUP(I43,Resources!$B$1:$H$1503,5,FALSE)-LEN(K43),0))</f>
        <v/>
      </c>
      <c r="M43" s="3" t="str">
        <f>IF(K43="","",IFERROR(matches(K43,VLOOKUP(I43,Resources!$A$2:$AA$1503,16,FALSE)),FALSE))</f>
        <v/>
      </c>
      <c r="N43" s="3" t="e">
        <f>VLOOKUP(E43,Enviroments!$A$3:$D$59,1,FALSE)</f>
        <v>#N/A</v>
      </c>
      <c r="O43" s="3" t="e">
        <f>VLOOKUP(E43,Enviroments!$A$3:$D$59,2,FALSE)</f>
        <v>#N/A</v>
      </c>
      <c r="P43" s="3" t="e">
        <f>VLOOKUP(E43,Enviroments!$A$3:$D$59,3,FALSE)</f>
        <v>#N/A</v>
      </c>
      <c r="Q43" s="3" t="e">
        <f>VLOOKUP(E43,Enviroments!$A$3:$D$59,4,FALSE)</f>
        <v>#N/A</v>
      </c>
      <c r="R43" s="3" t="e">
        <f>VLOOKUP(H43,AzureRegions!$A$4:$B$1493,1,FALSE)</f>
        <v>#N/A</v>
      </c>
      <c r="S43" s="3" t="e">
        <f>VLOOKUP(H43,AzureRegions!$A$4:$B$1493,2,FALSE)</f>
        <v>#N/A</v>
      </c>
      <c r="T43" s="3" t="e">
        <f>VLOOKUP(H43,AzureRegions!$A$4:$C$1493,3,FALSE)</f>
        <v>#N/A</v>
      </c>
      <c r="U43" s="3" t="e">
        <f>VLOOKUP(I43,Resources!$A$2:$AA$1503,2,FALSE)</f>
        <v>#N/A</v>
      </c>
      <c r="V43" s="3" t="e">
        <f>VLOOKUP(I43,Resources!$A$2:$H$1503,6,FALSE)</f>
        <v>#N/A</v>
      </c>
      <c r="W43" s="3" t="str">
        <f>VLOOKUP($H$2,Casing!$A$4:$A$60,1,FALSE)</f>
        <v>Lower</v>
      </c>
      <c r="X43" s="14" t="str">
        <f t="shared" si="1"/>
        <v>001</v>
      </c>
      <c r="Y43" s="3" t="str">
        <f>IFERROR(VLOOKUP(F43,Func!$A$4:$G$1500,2,FALSE),"none")</f>
        <v>none</v>
      </c>
      <c r="Z43" s="3" t="e">
        <f>VLOOKUP(I43,Resources!$A$2:$AA$1503,18,FALSE)</f>
        <v>#N/A</v>
      </c>
      <c r="AA43" s="3" t="str">
        <f>IFERROR(VLOOKUP(B43,Orgs!$A$4:$G$1500,2,FALSE),"none")</f>
        <v>none</v>
      </c>
      <c r="AB43" s="3" t="str">
        <f>IFERROR(VLOOKUP(C43,UnitsDepts!$A$4:$G$1500,2,FALSE),"none")</f>
        <v>none</v>
      </c>
      <c r="AC43" s="3" t="str">
        <f>IFERROR(VLOOKUP(D43,ProjAppSvc!$A$4:$G$1500,2,FALSE),"none")</f>
        <v>none</v>
      </c>
    </row>
    <row r="44" spans="1:29" x14ac:dyDescent="0.45">
      <c r="A44" s="14" t="s">
        <v>23</v>
      </c>
      <c r="B44" s="14"/>
      <c r="C44" s="14"/>
      <c r="D44" s="14"/>
      <c r="H44" s="8"/>
      <c r="I44" s="3"/>
      <c r="J44" s="3" t="str">
        <f t="shared" si="2"/>
        <v/>
      </c>
      <c r="K44" s="3" t="str">
        <f>IF(ISNUMBER(SEARCH("-",V44)),IFERROR(IF($H$2="Lower", LOWER(ComputeResourceName(Z44,#REF!,#REF!,G44,N44,O44,P44,Q44,S44,T44,V44,A44)), UPPER(ComputeResourceName(Z44,#REF!,#REF!,G44,N44,O44,P44,Q44,S44,T44,V44,A44))),""),SUBSTITUTE(IFERROR(IF($H$2="Lower", LOWER(ComputeResourceName(#REF!,#REF!,#REF!,G44,N44,O44,P44,Q44,S44,T44,V44,A44)), UPPER(ComputeResourceName(#REF!,#REF!,#REF!,G44,N44,O44,P44,Q44,S44,T44,V44,A44))),""), "-",""))</f>
        <v/>
      </c>
      <c r="L44" s="3" t="str">
        <f xml:space="preserve"> IF(K44="","",  IFERROR(VLOOKUP(I44,Resources!$B$1:$H$1503,5,FALSE)-LEN(K44),0))</f>
        <v/>
      </c>
      <c r="M44" s="3" t="str">
        <f>IF(K44="","",IFERROR(matches(K44,VLOOKUP(I44,Resources!$A$2:$AA$1503,16,FALSE)),FALSE))</f>
        <v/>
      </c>
      <c r="N44" s="3" t="e">
        <f>VLOOKUP(E44,Enviroments!$A$3:$D$59,1,FALSE)</f>
        <v>#N/A</v>
      </c>
      <c r="O44" s="3" t="e">
        <f>VLOOKUP(E44,Enviroments!$A$3:$D$59,2,FALSE)</f>
        <v>#N/A</v>
      </c>
      <c r="P44" s="3" t="e">
        <f>VLOOKUP(E44,Enviroments!$A$3:$D$59,3,FALSE)</f>
        <v>#N/A</v>
      </c>
      <c r="Q44" s="3" t="e">
        <f>VLOOKUP(E44,Enviroments!$A$3:$D$59,4,FALSE)</f>
        <v>#N/A</v>
      </c>
      <c r="R44" s="3" t="e">
        <f>VLOOKUP(H44,AzureRegions!$A$4:$B$1493,1,FALSE)</f>
        <v>#N/A</v>
      </c>
      <c r="S44" s="3" t="e">
        <f>VLOOKUP(H44,AzureRegions!$A$4:$B$1493,2,FALSE)</f>
        <v>#N/A</v>
      </c>
      <c r="T44" s="3" t="e">
        <f>VLOOKUP(H44,AzureRegions!$A$4:$C$1493,3,FALSE)</f>
        <v>#N/A</v>
      </c>
      <c r="U44" s="3" t="e">
        <f>VLOOKUP(I44,Resources!$A$2:$AA$1503,2,FALSE)</f>
        <v>#N/A</v>
      </c>
      <c r="V44" s="3" t="e">
        <f>VLOOKUP(I44,Resources!$A$2:$H$1503,6,FALSE)</f>
        <v>#N/A</v>
      </c>
      <c r="W44" s="3" t="str">
        <f>VLOOKUP($H$2,Casing!$A$4:$A$60,1,FALSE)</f>
        <v>Lower</v>
      </c>
      <c r="X44" s="14" t="str">
        <f t="shared" si="1"/>
        <v>001</v>
      </c>
      <c r="Y44" s="3" t="str">
        <f>IFERROR(VLOOKUP(F44,Func!$A$4:$G$1500,2,FALSE),"none")</f>
        <v>none</v>
      </c>
      <c r="Z44" s="3" t="e">
        <f>VLOOKUP(I44,Resources!$A$2:$AA$1503,18,FALSE)</f>
        <v>#N/A</v>
      </c>
      <c r="AA44" s="3" t="str">
        <f>IFERROR(VLOOKUP(B44,Orgs!$A$4:$G$1500,2,FALSE),"none")</f>
        <v>none</v>
      </c>
      <c r="AB44" s="3" t="str">
        <f>IFERROR(VLOOKUP(C44,UnitsDepts!$A$4:$G$1500,2,FALSE),"none")</f>
        <v>none</v>
      </c>
      <c r="AC44" s="3" t="str">
        <f>IFERROR(VLOOKUP(D44,ProjAppSvc!$A$4:$G$1500,2,FALSE),"none")</f>
        <v>none</v>
      </c>
    </row>
    <row r="45" spans="1:29" x14ac:dyDescent="0.45">
      <c r="A45" s="14" t="s">
        <v>23</v>
      </c>
      <c r="B45" s="14"/>
      <c r="C45" s="14"/>
      <c r="D45" s="14"/>
      <c r="H45" s="8"/>
      <c r="I45" s="3"/>
      <c r="J45" s="3" t="str">
        <f t="shared" si="2"/>
        <v/>
      </c>
      <c r="K45" s="3" t="str">
        <f>IF(ISNUMBER(SEARCH("-",V45)),IFERROR(IF($H$2="Lower", LOWER(ComputeResourceName(Z45,#REF!,#REF!,G45,N45,O45,P45,Q45,S45,T45,V45,A45)), UPPER(ComputeResourceName(Z45,#REF!,#REF!,G45,N45,O45,P45,Q45,S45,T45,V45,A45))),""),SUBSTITUTE(IFERROR(IF($H$2="Lower", LOWER(ComputeResourceName(#REF!,#REF!,#REF!,G45,N45,O45,P45,Q45,S45,T45,V45,A45)), UPPER(ComputeResourceName(#REF!,#REF!,#REF!,G45,N45,O45,P45,Q45,S45,T45,V45,A45))),""), "-",""))</f>
        <v/>
      </c>
      <c r="L45" s="3" t="str">
        <f xml:space="preserve"> IF(K45="","",  IFERROR(VLOOKUP(I45,Resources!$B$1:$H$1503,5,FALSE)-LEN(K45),0))</f>
        <v/>
      </c>
      <c r="M45" s="3" t="str">
        <f>IF(K45="","",IFERROR(matches(K45,VLOOKUP(I45,Resources!$A$2:$AA$1503,16,FALSE)),FALSE))</f>
        <v/>
      </c>
      <c r="N45" s="3" t="e">
        <f>VLOOKUP(E45,Enviroments!$A$3:$D$59,1,FALSE)</f>
        <v>#N/A</v>
      </c>
      <c r="O45" s="3" t="e">
        <f>VLOOKUP(E45,Enviroments!$A$3:$D$59,2,FALSE)</f>
        <v>#N/A</v>
      </c>
      <c r="P45" s="3" t="e">
        <f>VLOOKUP(E45,Enviroments!$A$3:$D$59,3,FALSE)</f>
        <v>#N/A</v>
      </c>
      <c r="Q45" s="3" t="e">
        <f>VLOOKUP(E45,Enviroments!$A$3:$D$59,4,FALSE)</f>
        <v>#N/A</v>
      </c>
      <c r="R45" s="3" t="e">
        <f>VLOOKUP(H45,AzureRegions!$A$4:$B$1493,1,FALSE)</f>
        <v>#N/A</v>
      </c>
      <c r="S45" s="3" t="e">
        <f>VLOOKUP(H45,AzureRegions!$A$4:$B$1493,2,FALSE)</f>
        <v>#N/A</v>
      </c>
      <c r="T45" s="3" t="e">
        <f>VLOOKUP(H45,AzureRegions!$A$4:$C$1493,3,FALSE)</f>
        <v>#N/A</v>
      </c>
      <c r="U45" s="3" t="e">
        <f>VLOOKUP(I45,Resources!$A$2:$AA$1503,2,FALSE)</f>
        <v>#N/A</v>
      </c>
      <c r="V45" s="3" t="e">
        <f>VLOOKUP(I45,Resources!$A$2:$H$1503,6,FALSE)</f>
        <v>#N/A</v>
      </c>
      <c r="W45" s="3" t="str">
        <f>VLOOKUP($H$2,Casing!$A$4:$A$60,1,FALSE)</f>
        <v>Lower</v>
      </c>
      <c r="X45" s="14" t="s">
        <v>1262</v>
      </c>
      <c r="Y45" s="3" t="str">
        <f>IFERROR(VLOOKUP(F45,Func!$A$4:$G$1500,2,FALSE),"none")</f>
        <v>none</v>
      </c>
      <c r="Z45" s="3" t="e">
        <f>VLOOKUP(I45,Resources!$A$2:$AA$1503,18,FALSE)</f>
        <v>#N/A</v>
      </c>
      <c r="AA45" s="3" t="str">
        <f>IFERROR(VLOOKUP(B45,Orgs!$A$4:$G$1500,2,FALSE),"none")</f>
        <v>none</v>
      </c>
      <c r="AB45" s="3" t="str">
        <f>IFERROR(VLOOKUP(C45,UnitsDepts!$A$4:$G$1500,2,FALSE),"none")</f>
        <v>none</v>
      </c>
      <c r="AC45" s="3" t="str">
        <f>IFERROR(VLOOKUP(D45,ProjAppSvc!$A$4:$G$1500,2,FALSE),"none")</f>
        <v>none</v>
      </c>
    </row>
    <row r="46" spans="1:29" x14ac:dyDescent="0.45">
      <c r="A46" s="14" t="s">
        <v>23</v>
      </c>
      <c r="B46" s="14"/>
      <c r="C46" s="14"/>
      <c r="D46" s="14"/>
      <c r="H46" s="8"/>
      <c r="I46" s="3"/>
      <c r="J46" s="3" t="str">
        <f t="shared" si="2"/>
        <v/>
      </c>
      <c r="K46" s="3" t="str">
        <f>IF(ISNUMBER(SEARCH("-",V46)),IFERROR(IF($H$2="Lower", LOWER(ComputeResourceName(Z46,#REF!,#REF!,G46,N46,O46,P46,Q46,S46,T46,V46,A46)), UPPER(ComputeResourceName(Z46,#REF!,#REF!,G46,N46,O46,P46,Q46,S46,T46,V46,A46))),""),SUBSTITUTE(IFERROR(IF($H$2="Lower", LOWER(ComputeResourceName(#REF!,#REF!,#REF!,G46,N46,O46,P46,Q46,S46,T46,V46,A46)), UPPER(ComputeResourceName(#REF!,#REF!,#REF!,G46,N46,O46,P46,Q46,S46,T46,V46,A46))),""), "-",""))</f>
        <v/>
      </c>
      <c r="L46" s="3" t="str">
        <f xml:space="preserve"> IF(K46="","",  IFERROR(VLOOKUP(I46,Resources!$B$1:$H$1503,5,FALSE)-LEN(K46),0))</f>
        <v/>
      </c>
      <c r="M46" s="3" t="str">
        <f>IF(K46="","",IFERROR(matches(K46,VLOOKUP(I46,Resources!$A$2:$AA$1503,16,FALSE)),FALSE))</f>
        <v/>
      </c>
      <c r="N46" s="3" t="e">
        <f>VLOOKUP(E46,Enviroments!$A$3:$D$59,1,FALSE)</f>
        <v>#N/A</v>
      </c>
      <c r="O46" s="3" t="e">
        <f>VLOOKUP(E46,Enviroments!$A$3:$D$59,2,FALSE)</f>
        <v>#N/A</v>
      </c>
      <c r="P46" s="3" t="e">
        <f>VLOOKUP(E46,Enviroments!$A$3:$D$59,3,FALSE)</f>
        <v>#N/A</v>
      </c>
      <c r="Q46" s="3" t="e">
        <f>VLOOKUP(E46,Enviroments!$A$3:$D$59,4,FALSE)</f>
        <v>#N/A</v>
      </c>
      <c r="R46" s="3" t="e">
        <f>VLOOKUP(H46,AzureRegions!$A$4:$B$1493,1,FALSE)</f>
        <v>#N/A</v>
      </c>
      <c r="S46" s="3" t="e">
        <f>VLOOKUP(H46,AzureRegions!$A$4:$B$1493,2,FALSE)</f>
        <v>#N/A</v>
      </c>
      <c r="T46" s="3" t="e">
        <f>VLOOKUP(H46,AzureRegions!$A$4:$C$1493,3,FALSE)</f>
        <v>#N/A</v>
      </c>
      <c r="U46" s="3" t="e">
        <f>VLOOKUP(I46,Resources!$A$2:$AA$1503,2,FALSE)</f>
        <v>#N/A</v>
      </c>
      <c r="V46" s="3" t="e">
        <f>VLOOKUP(I46,Resources!$A$2:$H$1503,6,FALSE)</f>
        <v>#N/A</v>
      </c>
      <c r="W46" s="3" t="str">
        <f>VLOOKUP($H$2,Casing!$A$4:$A$60,1,FALSE)</f>
        <v>Lower</v>
      </c>
      <c r="X46" s="14" t="str">
        <f t="shared" si="1"/>
        <v>001</v>
      </c>
      <c r="Y46" s="3" t="str">
        <f>IFERROR(VLOOKUP(F46,Func!$A$4:$G$1500,2,FALSE),"none")</f>
        <v>none</v>
      </c>
      <c r="Z46" s="3" t="e">
        <f>VLOOKUP(I46,Resources!$A$2:$AA$1503,18,FALSE)</f>
        <v>#N/A</v>
      </c>
      <c r="AA46" s="3" t="str">
        <f>IFERROR(VLOOKUP(B46,Orgs!$A$4:$G$1500,2,FALSE),"none")</f>
        <v>none</v>
      </c>
      <c r="AB46" s="3" t="str">
        <f>IFERROR(VLOOKUP(C46,UnitsDepts!$A$4:$G$1500,2,FALSE),"none")</f>
        <v>none</v>
      </c>
      <c r="AC46" s="3" t="str">
        <f>IFERROR(VLOOKUP(D46,ProjAppSvc!$A$4:$G$1500,2,FALSE),"none")</f>
        <v>none</v>
      </c>
    </row>
    <row r="47" spans="1:29" x14ac:dyDescent="0.45">
      <c r="A47" s="14" t="s">
        <v>23</v>
      </c>
      <c r="B47" s="14"/>
      <c r="C47" s="14"/>
      <c r="D47" s="14"/>
      <c r="H47" s="8"/>
      <c r="I47" s="3"/>
      <c r="J47" s="3" t="str">
        <f t="shared" si="2"/>
        <v/>
      </c>
      <c r="K47" s="3" t="str">
        <f>IF(ISNUMBER(SEARCH("-",V47)),IFERROR(IF($H$2="Lower", LOWER(ComputeResourceName(Z47,#REF!,#REF!,G47,N47,O47,P47,Q47,S47,T47,V47,A47)), UPPER(ComputeResourceName(Z47,#REF!,#REF!,G47,N47,O47,P47,Q47,S47,T47,V47,A47))),""),SUBSTITUTE(IFERROR(IF($H$2="Lower", LOWER(ComputeResourceName(#REF!,#REF!,#REF!,G47,N47,O47,P47,Q47,S47,T47,V47,A47)), UPPER(ComputeResourceName(#REF!,#REF!,#REF!,G47,N47,O47,P47,Q47,S47,T47,V47,A47))),""), "-",""))</f>
        <v/>
      </c>
      <c r="L47" s="3" t="str">
        <f xml:space="preserve"> IF(K47="","",  IFERROR(VLOOKUP(I47,Resources!$B$1:$H$1503,5,FALSE)-LEN(K47),0))</f>
        <v/>
      </c>
      <c r="M47" s="3" t="str">
        <f>IF(K47="","",IFERROR(matches(K47,VLOOKUP(I47,Resources!$A$2:$AA$1503,16,FALSE)),FALSE))</f>
        <v/>
      </c>
      <c r="N47" s="3" t="e">
        <f>VLOOKUP(E47,Enviroments!$A$3:$D$59,1,FALSE)</f>
        <v>#N/A</v>
      </c>
      <c r="O47" s="3" t="e">
        <f>VLOOKUP(E47,Enviroments!$A$3:$D$59,2,FALSE)</f>
        <v>#N/A</v>
      </c>
      <c r="P47" s="3" t="e">
        <f>VLOOKUP(E47,Enviroments!$A$3:$D$59,3,FALSE)</f>
        <v>#N/A</v>
      </c>
      <c r="Q47" s="3" t="e">
        <f>VLOOKUP(E47,Enviroments!$A$3:$D$59,4,FALSE)</f>
        <v>#N/A</v>
      </c>
      <c r="R47" s="3" t="e">
        <f>VLOOKUP(H47,AzureRegions!$A$4:$B$1493,1,FALSE)</f>
        <v>#N/A</v>
      </c>
      <c r="S47" s="3" t="e">
        <f>VLOOKUP(H47,AzureRegions!$A$4:$B$1493,2,FALSE)</f>
        <v>#N/A</v>
      </c>
      <c r="T47" s="3" t="e">
        <f>VLOOKUP(H47,AzureRegions!$A$4:$C$1493,3,FALSE)</f>
        <v>#N/A</v>
      </c>
      <c r="U47" s="3" t="e">
        <f>VLOOKUP(I47,Resources!$A$2:$AA$1503,2,FALSE)</f>
        <v>#N/A</v>
      </c>
      <c r="V47" s="3" t="e">
        <f>VLOOKUP(I47,Resources!$A$2:$H$1503,6,FALSE)</f>
        <v>#N/A</v>
      </c>
      <c r="W47" s="3" t="str">
        <f>VLOOKUP($H$2,Casing!$A$4:$A$60,1,FALSE)</f>
        <v>Lower</v>
      </c>
      <c r="X47" s="14" t="str">
        <f t="shared" si="1"/>
        <v>001</v>
      </c>
      <c r="Y47" s="3" t="str">
        <f>IFERROR(VLOOKUP(F47,Func!$A$4:$G$1500,2,FALSE),"none")</f>
        <v>none</v>
      </c>
      <c r="Z47" s="3" t="e">
        <f>VLOOKUP(I47,Resources!$A$2:$AA$1503,18,FALSE)</f>
        <v>#N/A</v>
      </c>
      <c r="AA47" s="3" t="str">
        <f>IFERROR(VLOOKUP(B47,Orgs!$A$4:$G$1500,2,FALSE),"none")</f>
        <v>none</v>
      </c>
      <c r="AB47" s="3" t="str">
        <f>IFERROR(VLOOKUP(C47,UnitsDepts!$A$4:$G$1500,2,FALSE),"none")</f>
        <v>none</v>
      </c>
      <c r="AC47" s="3" t="str">
        <f>IFERROR(VLOOKUP(D47,ProjAppSvc!$A$4:$G$1500,2,FALSE),"none")</f>
        <v>none</v>
      </c>
    </row>
    <row r="48" spans="1:29" x14ac:dyDescent="0.45">
      <c r="A48" s="14" t="s">
        <v>23</v>
      </c>
      <c r="B48" s="14"/>
      <c r="C48" s="14"/>
      <c r="D48" s="14"/>
      <c r="H48" s="8"/>
      <c r="I48" s="3"/>
      <c r="J48" s="3" t="str">
        <f t="shared" si="2"/>
        <v/>
      </c>
      <c r="K48" s="3" t="str">
        <f>IF(ISNUMBER(SEARCH("-",V48)),IFERROR(IF($H$2="Lower", LOWER(ComputeResourceName(Z48,#REF!,#REF!,G48,N48,O48,P48,Q48,S48,T48,V48,A48)), UPPER(ComputeResourceName(Z48,#REF!,#REF!,G48,N48,O48,P48,Q48,S48,T48,V48,A48))),""),SUBSTITUTE(IFERROR(IF($H$2="Lower", LOWER(ComputeResourceName(#REF!,#REF!,#REF!,G48,N48,O48,P48,Q48,S48,T48,V48,A48)), UPPER(ComputeResourceName(#REF!,#REF!,#REF!,G48,N48,O48,P48,Q48,S48,T48,V48,A48))),""), "-",""))</f>
        <v/>
      </c>
      <c r="L48" s="3" t="str">
        <f xml:space="preserve"> IF(K48="","",  IFERROR(VLOOKUP(I48,Resources!$B$1:$H$1503,5,FALSE)-LEN(K48),0))</f>
        <v/>
      </c>
      <c r="M48" s="3" t="str">
        <f>IF(K48="","",IFERROR(matches(K48,VLOOKUP(I48,Resources!$A$2:$AA$1503,16,FALSE)),FALSE))</f>
        <v/>
      </c>
      <c r="N48" s="3" t="e">
        <f>VLOOKUP(E48,Enviroments!$A$3:$D$59,1,FALSE)</f>
        <v>#N/A</v>
      </c>
      <c r="O48" s="3" t="e">
        <f>VLOOKUP(E48,Enviroments!$A$3:$D$59,2,FALSE)</f>
        <v>#N/A</v>
      </c>
      <c r="P48" s="3" t="e">
        <f>VLOOKUP(E48,Enviroments!$A$3:$D$59,3,FALSE)</f>
        <v>#N/A</v>
      </c>
      <c r="Q48" s="3" t="e">
        <f>VLOOKUP(E48,Enviroments!$A$3:$D$59,4,FALSE)</f>
        <v>#N/A</v>
      </c>
      <c r="R48" s="3" t="e">
        <f>VLOOKUP(H48,AzureRegions!$A$4:$B$1493,1,FALSE)</f>
        <v>#N/A</v>
      </c>
      <c r="S48" s="3" t="e">
        <f>VLOOKUP(H48,AzureRegions!$A$4:$B$1493,2,FALSE)</f>
        <v>#N/A</v>
      </c>
      <c r="T48" s="3" t="e">
        <f>VLOOKUP(H48,AzureRegions!$A$4:$C$1493,3,FALSE)</f>
        <v>#N/A</v>
      </c>
      <c r="U48" s="3" t="e">
        <f>VLOOKUP(I48,Resources!$A$2:$AA$1503,2,FALSE)</f>
        <v>#N/A</v>
      </c>
      <c r="V48" s="3" t="e">
        <f>VLOOKUP(I48,Resources!$A$2:$H$1503,6,FALSE)</f>
        <v>#N/A</v>
      </c>
      <c r="W48" s="3" t="str">
        <f>VLOOKUP($H$2,Casing!$A$4:$A$60,1,FALSE)</f>
        <v>Lower</v>
      </c>
      <c r="X48" s="14" t="str">
        <f t="shared" si="1"/>
        <v>001</v>
      </c>
      <c r="Y48" s="3" t="str">
        <f>IFERROR(VLOOKUP(F48,Func!$A$4:$G$1500,2,FALSE),"none")</f>
        <v>none</v>
      </c>
      <c r="Z48" s="3" t="e">
        <f>VLOOKUP(I48,Resources!$A$2:$AA$1503,18,FALSE)</f>
        <v>#N/A</v>
      </c>
      <c r="AA48" s="3" t="str">
        <f>IFERROR(VLOOKUP(B48,Orgs!$A$4:$G$1500,2,FALSE),"none")</f>
        <v>none</v>
      </c>
      <c r="AB48" s="3" t="str">
        <f>IFERROR(VLOOKUP(C48,UnitsDepts!$A$4:$G$1500,2,FALSE),"none")</f>
        <v>none</v>
      </c>
      <c r="AC48" s="3" t="str">
        <f>IFERROR(VLOOKUP(D48,ProjAppSvc!$A$4:$G$1500,2,FALSE),"none")</f>
        <v>none</v>
      </c>
    </row>
    <row r="49" spans="1:29" x14ac:dyDescent="0.45">
      <c r="A49" s="14" t="s">
        <v>23</v>
      </c>
      <c r="B49" s="14"/>
      <c r="C49" s="14"/>
      <c r="D49" s="14"/>
      <c r="H49" s="8"/>
      <c r="I49" s="3"/>
      <c r="J49" s="3" t="str">
        <f t="shared" si="2"/>
        <v/>
      </c>
      <c r="K49" s="3" t="str">
        <f>IF(ISNUMBER(SEARCH("-",V49)),IFERROR(IF($H$2="Lower", LOWER(ComputeResourceName(Z49,#REF!,#REF!,G49,N49,O49,P49,Q49,S49,T49,V49,A49)), UPPER(ComputeResourceName(Z49,#REF!,#REF!,G49,N49,O49,P49,Q49,S49,T49,V49,A49))),""),SUBSTITUTE(IFERROR(IF($H$2="Lower", LOWER(ComputeResourceName(#REF!,#REF!,#REF!,G49,N49,O49,P49,Q49,S49,T49,V49,A49)), UPPER(ComputeResourceName(#REF!,#REF!,#REF!,G49,N49,O49,P49,Q49,S49,T49,V49,A49))),""), "-",""))</f>
        <v/>
      </c>
      <c r="L49" s="3" t="str">
        <f xml:space="preserve"> IF(K49="","",  IFERROR(VLOOKUP(I49,Resources!$B$1:$H$1503,5,FALSE)-LEN(K49),0))</f>
        <v/>
      </c>
      <c r="M49" s="3" t="str">
        <f>IF(K49="","",IFERROR(matches(K49,VLOOKUP(I49,Resources!$A$2:$AA$1503,16,FALSE)),FALSE))</f>
        <v/>
      </c>
      <c r="N49" s="3" t="e">
        <f>VLOOKUP(E49,Enviroments!$A$3:$D$59,1,FALSE)</f>
        <v>#N/A</v>
      </c>
      <c r="O49" s="3" t="e">
        <f>VLOOKUP(E49,Enviroments!$A$3:$D$59,2,FALSE)</f>
        <v>#N/A</v>
      </c>
      <c r="P49" s="3" t="e">
        <f>VLOOKUP(E49,Enviroments!$A$3:$D$59,3,FALSE)</f>
        <v>#N/A</v>
      </c>
      <c r="Q49" s="3" t="e">
        <f>VLOOKUP(E49,Enviroments!$A$3:$D$59,4,FALSE)</f>
        <v>#N/A</v>
      </c>
      <c r="R49" s="3" t="e">
        <f>VLOOKUP(H49,AzureRegions!$A$4:$B$1493,1,FALSE)</f>
        <v>#N/A</v>
      </c>
      <c r="S49" s="3" t="e">
        <f>VLOOKUP(H49,AzureRegions!$A$4:$B$1493,2,FALSE)</f>
        <v>#N/A</v>
      </c>
      <c r="T49" s="3" t="e">
        <f>VLOOKUP(H49,AzureRegions!$A$4:$C$1493,3,FALSE)</f>
        <v>#N/A</v>
      </c>
      <c r="U49" s="3" t="e">
        <f>VLOOKUP(I49,Resources!$A$2:$AA$1503,2,FALSE)</f>
        <v>#N/A</v>
      </c>
      <c r="V49" s="3" t="e">
        <f>VLOOKUP(I49,Resources!$A$2:$H$1503,6,FALSE)</f>
        <v>#N/A</v>
      </c>
      <c r="W49" s="3" t="str">
        <f>VLOOKUP($H$2,Casing!$A$4:$A$60,1,FALSE)</f>
        <v>Lower</v>
      </c>
      <c r="X49" s="14" t="str">
        <f t="shared" si="1"/>
        <v>001</v>
      </c>
      <c r="Y49" s="3" t="str">
        <f>IFERROR(VLOOKUP(F49,Func!$A$4:$G$1500,2,FALSE),"none")</f>
        <v>none</v>
      </c>
      <c r="Z49" s="3" t="e">
        <f>VLOOKUP(I49,Resources!$A$2:$AA$1503,18,FALSE)</f>
        <v>#N/A</v>
      </c>
      <c r="AA49" s="3" t="str">
        <f>IFERROR(VLOOKUP(B49,Orgs!$A$4:$G$1500,2,FALSE),"none")</f>
        <v>none</v>
      </c>
      <c r="AB49" s="3" t="str">
        <f>IFERROR(VLOOKUP(C49,UnitsDepts!$A$4:$G$1500,2,FALSE),"none")</f>
        <v>none</v>
      </c>
      <c r="AC49" s="3" t="str">
        <f>IFERROR(VLOOKUP(D49,ProjAppSvc!$A$4:$G$1500,2,FALSE),"none")</f>
        <v>none</v>
      </c>
    </row>
    <row r="50" spans="1:29" x14ac:dyDescent="0.45">
      <c r="A50" s="14" t="s">
        <v>23</v>
      </c>
      <c r="B50" s="14"/>
      <c r="C50" s="14"/>
      <c r="D50" s="14"/>
      <c r="H50" s="8"/>
      <c r="I50" s="3"/>
      <c r="J50" s="3" t="str">
        <f t="shared" si="2"/>
        <v/>
      </c>
      <c r="K50" s="3" t="str">
        <f>IF(ISNUMBER(SEARCH("-",V50)),IFERROR(IF($H$2="Lower", LOWER(ComputeResourceName(Z50,#REF!,#REF!,G50,N50,O50,P50,Q50,S50,T50,V50,A50)), UPPER(ComputeResourceName(Z50,#REF!,#REF!,G50,N50,O50,P50,Q50,S50,T50,V50,A50))),""),SUBSTITUTE(IFERROR(IF($H$2="Lower", LOWER(ComputeResourceName(#REF!,#REF!,#REF!,G50,N50,O50,P50,Q50,S50,T50,V50,A50)), UPPER(ComputeResourceName(#REF!,#REF!,#REF!,G50,N50,O50,P50,Q50,S50,T50,V50,A50))),""), "-",""))</f>
        <v/>
      </c>
      <c r="L50" s="3" t="str">
        <f xml:space="preserve"> IF(K50="","",  IFERROR(VLOOKUP(I50,Resources!$B$1:$H$1503,5,FALSE)-LEN(K50),0))</f>
        <v/>
      </c>
      <c r="M50" s="3" t="str">
        <f>IF(K50="","",IFERROR(matches(K50,VLOOKUP(I50,Resources!$A$2:$AA$1503,16,FALSE)),FALSE))</f>
        <v/>
      </c>
      <c r="N50" s="3" t="e">
        <f>VLOOKUP(E50,Enviroments!$A$3:$D$59,1,FALSE)</f>
        <v>#N/A</v>
      </c>
      <c r="O50" s="3" t="e">
        <f>VLOOKUP(E50,Enviroments!$A$3:$D$59,2,FALSE)</f>
        <v>#N/A</v>
      </c>
      <c r="P50" s="3" t="e">
        <f>VLOOKUP(E50,Enviroments!$A$3:$D$59,3,FALSE)</f>
        <v>#N/A</v>
      </c>
      <c r="Q50" s="3" t="e">
        <f>VLOOKUP(E50,Enviroments!$A$3:$D$59,4,FALSE)</f>
        <v>#N/A</v>
      </c>
      <c r="R50" s="3" t="e">
        <f>VLOOKUP(H50,AzureRegions!$A$4:$B$1493,1,FALSE)</f>
        <v>#N/A</v>
      </c>
      <c r="S50" s="3" t="e">
        <f>VLOOKUP(H50,AzureRegions!$A$4:$B$1493,2,FALSE)</f>
        <v>#N/A</v>
      </c>
      <c r="T50" s="3" t="e">
        <f>VLOOKUP(H50,AzureRegions!$A$4:$C$1493,3,FALSE)</f>
        <v>#N/A</v>
      </c>
      <c r="U50" s="3" t="e">
        <f>VLOOKUP(I50,Resources!$A$2:$AA$1503,2,FALSE)</f>
        <v>#N/A</v>
      </c>
      <c r="V50" s="3" t="e">
        <f>VLOOKUP(I50,Resources!$A$2:$H$1503,6,FALSE)</f>
        <v>#N/A</v>
      </c>
      <c r="W50" s="3" t="str">
        <f>VLOOKUP($H$2,Casing!$A$4:$A$60,1,FALSE)</f>
        <v>Lower</v>
      </c>
      <c r="X50" s="14" t="str">
        <f t="shared" si="1"/>
        <v>001</v>
      </c>
      <c r="Y50" s="3" t="str">
        <f>IFERROR(VLOOKUP(F50,Func!$A$4:$G$1500,2,FALSE),"none")</f>
        <v>none</v>
      </c>
      <c r="Z50" s="3" t="e">
        <f>VLOOKUP(I50,Resources!$A$2:$AA$1503,18,FALSE)</f>
        <v>#N/A</v>
      </c>
      <c r="AA50" s="3" t="str">
        <f>IFERROR(VLOOKUP(B50,Orgs!$A$4:$G$1500,2,FALSE),"none")</f>
        <v>none</v>
      </c>
      <c r="AB50" s="3" t="str">
        <f>IFERROR(VLOOKUP(C50,UnitsDepts!$A$4:$G$1500,2,FALSE),"none")</f>
        <v>none</v>
      </c>
      <c r="AC50" s="3" t="str">
        <f>IFERROR(VLOOKUP(D50,ProjAppSvc!$A$4:$G$1500,2,FALSE),"none")</f>
        <v>none</v>
      </c>
    </row>
    <row r="51" spans="1:29" x14ac:dyDescent="0.45">
      <c r="A51" s="14" t="s">
        <v>23</v>
      </c>
      <c r="B51" s="14"/>
      <c r="C51" s="14"/>
      <c r="D51" s="14"/>
      <c r="H51" s="8"/>
      <c r="I51" s="3"/>
      <c r="J51" s="3" t="str">
        <f t="shared" si="2"/>
        <v/>
      </c>
      <c r="K51" s="3" t="str">
        <f>IF(ISNUMBER(SEARCH("-",V51)),IFERROR(IF($H$2="Lower", LOWER(ComputeResourceName(Z51,#REF!,#REF!,G51,N51,O51,P51,Q51,S51,T51,V51,A51)), UPPER(ComputeResourceName(Z51,#REF!,#REF!,G51,N51,O51,P51,Q51,S51,T51,V51,A51))),""),SUBSTITUTE(IFERROR(IF($H$2="Lower", LOWER(ComputeResourceName(#REF!,#REF!,#REF!,G51,N51,O51,P51,Q51,S51,T51,V51,A51)), UPPER(ComputeResourceName(#REF!,#REF!,#REF!,G51,N51,O51,P51,Q51,S51,T51,V51,A51))),""), "-",""))</f>
        <v/>
      </c>
      <c r="L51" s="3" t="str">
        <f xml:space="preserve"> IF(K51="","",  IFERROR(VLOOKUP(I51,Resources!$B$1:$H$1503,5,FALSE)-LEN(K51),0))</f>
        <v/>
      </c>
      <c r="M51" s="3" t="str">
        <f>IF(K51="","",IFERROR(matches(K51,VLOOKUP(I51,Resources!$A$2:$AA$1503,16,FALSE)),FALSE))</f>
        <v/>
      </c>
      <c r="N51" s="3" t="e">
        <f>VLOOKUP(E51,Enviroments!$A$3:$D$59,1,FALSE)</f>
        <v>#N/A</v>
      </c>
      <c r="O51" s="3" t="e">
        <f>VLOOKUP(E51,Enviroments!$A$3:$D$59,2,FALSE)</f>
        <v>#N/A</v>
      </c>
      <c r="P51" s="3" t="e">
        <f>VLOOKUP(E51,Enviroments!$A$3:$D$59,3,FALSE)</f>
        <v>#N/A</v>
      </c>
      <c r="Q51" s="3" t="e">
        <f>VLOOKUP(E51,Enviroments!$A$3:$D$59,4,FALSE)</f>
        <v>#N/A</v>
      </c>
      <c r="R51" s="3" t="e">
        <f>VLOOKUP(H51,AzureRegions!$A$4:$B$1493,1,FALSE)</f>
        <v>#N/A</v>
      </c>
      <c r="S51" s="3" t="e">
        <f>VLOOKUP(H51,AzureRegions!$A$4:$B$1493,2,FALSE)</f>
        <v>#N/A</v>
      </c>
      <c r="T51" s="3" t="e">
        <f>VLOOKUP(H51,AzureRegions!$A$4:$C$1493,3,FALSE)</f>
        <v>#N/A</v>
      </c>
      <c r="U51" s="3" t="e">
        <f>VLOOKUP(I51,Resources!$A$2:$AA$1503,2,FALSE)</f>
        <v>#N/A</v>
      </c>
      <c r="V51" s="3" t="e">
        <f>VLOOKUP(I51,Resources!$A$2:$H$1503,6,FALSE)</f>
        <v>#N/A</v>
      </c>
      <c r="W51" s="3" t="str">
        <f>VLOOKUP($H$2,Casing!$A$4:$A$60,1,FALSE)</f>
        <v>Lower</v>
      </c>
      <c r="X51" s="14" t="str">
        <f t="shared" si="1"/>
        <v>001</v>
      </c>
      <c r="Y51" s="3" t="str">
        <f>IFERROR(VLOOKUP(F51,Func!$A$4:$G$1500,2,FALSE),"none")</f>
        <v>none</v>
      </c>
      <c r="Z51" s="3" t="e">
        <f>VLOOKUP(I51,Resources!$A$2:$AA$1503,18,FALSE)</f>
        <v>#N/A</v>
      </c>
      <c r="AA51" s="3" t="str">
        <f>IFERROR(VLOOKUP(B51,Orgs!$A$4:$G$1500,2,FALSE),"none")</f>
        <v>none</v>
      </c>
      <c r="AB51" s="3" t="str">
        <f>IFERROR(VLOOKUP(C51,UnitsDepts!$A$4:$G$1500,2,FALSE),"none")</f>
        <v>none</v>
      </c>
      <c r="AC51" s="3" t="str">
        <f>IFERROR(VLOOKUP(D51,ProjAppSvc!$A$4:$G$1500,2,FALSE),"none")</f>
        <v>none</v>
      </c>
    </row>
    <row r="52" spans="1:29" x14ac:dyDescent="0.45">
      <c r="A52" s="14" t="s">
        <v>23</v>
      </c>
      <c r="B52" s="14"/>
      <c r="C52" s="14"/>
      <c r="D52" s="14"/>
      <c r="H52" s="8"/>
      <c r="I52" s="3"/>
      <c r="J52" s="3" t="str">
        <f t="shared" si="2"/>
        <v/>
      </c>
      <c r="K52" s="3" t="str">
        <f>IF(ISNUMBER(SEARCH("-",V52)),IFERROR(IF($H$2="Lower", LOWER(ComputeResourceName(Z52,#REF!,#REF!,G52,N52,O52,P52,Q52,S52,T52,V52,A52)), UPPER(ComputeResourceName(Z52,#REF!,#REF!,G52,N52,O52,P52,Q52,S52,T52,V52,A52))),""),SUBSTITUTE(IFERROR(IF($H$2="Lower", LOWER(ComputeResourceName(#REF!,#REF!,#REF!,G52,N52,O52,P52,Q52,S52,T52,V52,A52)), UPPER(ComputeResourceName(#REF!,#REF!,#REF!,G52,N52,O52,P52,Q52,S52,T52,V52,A52))),""), "-",""))</f>
        <v/>
      </c>
      <c r="L52" s="3" t="str">
        <f xml:space="preserve"> IF(K52="","",  IFERROR(VLOOKUP(I52,Resources!$B$1:$H$1503,5,FALSE)-LEN(K52),0))</f>
        <v/>
      </c>
      <c r="M52" s="3" t="str">
        <f>IF(K52="","",IFERROR(matches(K52,VLOOKUP(I52,Resources!$A$2:$AA$1503,16,FALSE)),FALSE))</f>
        <v/>
      </c>
      <c r="N52" s="3" t="e">
        <f>VLOOKUP(E52,Enviroments!$A$3:$D$59,1,FALSE)</f>
        <v>#N/A</v>
      </c>
      <c r="O52" s="3" t="e">
        <f>VLOOKUP(E52,Enviroments!$A$3:$D$59,2,FALSE)</f>
        <v>#N/A</v>
      </c>
      <c r="P52" s="3" t="e">
        <f>VLOOKUP(E52,Enviroments!$A$3:$D$59,3,FALSE)</f>
        <v>#N/A</v>
      </c>
      <c r="Q52" s="3" t="e">
        <f>VLOOKUP(E52,Enviroments!$A$3:$D$59,4,FALSE)</f>
        <v>#N/A</v>
      </c>
      <c r="R52" s="3" t="e">
        <f>VLOOKUP(H52,AzureRegions!$A$4:$B$1493,1,FALSE)</f>
        <v>#N/A</v>
      </c>
      <c r="S52" s="3" t="e">
        <f>VLOOKUP(H52,AzureRegions!$A$4:$B$1493,2,FALSE)</f>
        <v>#N/A</v>
      </c>
      <c r="T52" s="3" t="e">
        <f>VLOOKUP(H52,AzureRegions!$A$4:$C$1493,3,FALSE)</f>
        <v>#N/A</v>
      </c>
      <c r="U52" s="3" t="e">
        <f>VLOOKUP(I52,Resources!$A$2:$AA$1503,2,FALSE)</f>
        <v>#N/A</v>
      </c>
      <c r="V52" s="3" t="e">
        <f>VLOOKUP(I52,Resources!$A$2:$H$1503,6,FALSE)</f>
        <v>#N/A</v>
      </c>
      <c r="W52" s="3" t="str">
        <f>VLOOKUP($H$2,Casing!$A$4:$A$60,1,FALSE)</f>
        <v>Lower</v>
      </c>
      <c r="X52" s="14" t="str">
        <f t="shared" si="1"/>
        <v>001</v>
      </c>
      <c r="Y52" s="3" t="str">
        <f>IFERROR(VLOOKUP(F52,Func!$A$4:$G$1500,2,FALSE),"none")</f>
        <v>none</v>
      </c>
      <c r="Z52" s="3" t="e">
        <f>VLOOKUP(I52,Resources!$A$2:$AA$1503,18,FALSE)</f>
        <v>#N/A</v>
      </c>
      <c r="AA52" s="3" t="str">
        <f>IFERROR(VLOOKUP(B52,Orgs!$A$4:$G$1500,2,FALSE),"none")</f>
        <v>none</v>
      </c>
      <c r="AB52" s="3" t="str">
        <f>IFERROR(VLOOKUP(C52,UnitsDepts!$A$4:$G$1500,2,FALSE),"none")</f>
        <v>none</v>
      </c>
      <c r="AC52" s="3" t="str">
        <f>IFERROR(VLOOKUP(D52,ProjAppSvc!$A$4:$G$1500,2,FALSE),"none")</f>
        <v>none</v>
      </c>
    </row>
    <row r="53" spans="1:29" x14ac:dyDescent="0.45">
      <c r="A53" s="14" t="s">
        <v>23</v>
      </c>
      <c r="B53" s="14"/>
      <c r="C53" s="14"/>
      <c r="D53" s="14"/>
      <c r="H53" s="8"/>
      <c r="I53" s="3"/>
      <c r="J53" s="3" t="str">
        <f t="shared" si="2"/>
        <v/>
      </c>
      <c r="K53" s="3" t="str">
        <f>IF(ISNUMBER(SEARCH("-",V53)),IFERROR(IF($H$2="Lower", LOWER(ComputeResourceName(Z53,#REF!,#REF!,G53,N53,O53,P53,Q53,S53,T53,V53,A53)), UPPER(ComputeResourceName(Z53,#REF!,#REF!,G53,N53,O53,P53,Q53,S53,T53,V53,A53))),""),SUBSTITUTE(IFERROR(IF($H$2="Lower", LOWER(ComputeResourceName(#REF!,#REF!,#REF!,G53,N53,O53,P53,Q53,S53,T53,V53,A53)), UPPER(ComputeResourceName(#REF!,#REF!,#REF!,G53,N53,O53,P53,Q53,S53,T53,V53,A53))),""), "-",""))</f>
        <v/>
      </c>
      <c r="L53" s="3" t="str">
        <f xml:space="preserve"> IF(K53="","",  IFERROR(VLOOKUP(I53,Resources!$B$1:$H$1503,5,FALSE)-LEN(K53),0))</f>
        <v/>
      </c>
      <c r="M53" s="3" t="str">
        <f>IF(K53="","",IFERROR(matches(K53,VLOOKUP(I53,Resources!$A$2:$AA$1503,16,FALSE)),FALSE))</f>
        <v/>
      </c>
      <c r="N53" s="3" t="e">
        <f>VLOOKUP(E53,Enviroments!$A$3:$D$59,1,FALSE)</f>
        <v>#N/A</v>
      </c>
      <c r="O53" s="3" t="e">
        <f>VLOOKUP(E53,Enviroments!$A$3:$D$59,2,FALSE)</f>
        <v>#N/A</v>
      </c>
      <c r="P53" s="3" t="e">
        <f>VLOOKUP(E53,Enviroments!$A$3:$D$59,3,FALSE)</f>
        <v>#N/A</v>
      </c>
      <c r="Q53" s="3" t="e">
        <f>VLOOKUP(E53,Enviroments!$A$3:$D$59,4,FALSE)</f>
        <v>#N/A</v>
      </c>
      <c r="R53" s="3" t="e">
        <f>VLOOKUP(H53,AzureRegions!$A$4:$B$1493,1,FALSE)</f>
        <v>#N/A</v>
      </c>
      <c r="S53" s="3" t="e">
        <f>VLOOKUP(H53,AzureRegions!$A$4:$B$1493,2,FALSE)</f>
        <v>#N/A</v>
      </c>
      <c r="T53" s="3" t="e">
        <f>VLOOKUP(H53,AzureRegions!$A$4:$C$1493,3,FALSE)</f>
        <v>#N/A</v>
      </c>
      <c r="U53" s="3" t="e">
        <f>VLOOKUP(I53,Resources!$A$2:$AA$1503,2,FALSE)</f>
        <v>#N/A</v>
      </c>
      <c r="V53" s="3" t="e">
        <f>VLOOKUP(I53,Resources!$A$2:$H$1503,6,FALSE)</f>
        <v>#N/A</v>
      </c>
      <c r="W53" s="3" t="str">
        <f>VLOOKUP($H$2,Casing!$A$4:$A$60,1,FALSE)</f>
        <v>Lower</v>
      </c>
      <c r="X53" s="14" t="str">
        <f t="shared" si="1"/>
        <v>001</v>
      </c>
      <c r="Y53" s="3" t="str">
        <f>IFERROR(VLOOKUP(F53,Func!$A$4:$G$1500,2,FALSE),"none")</f>
        <v>none</v>
      </c>
      <c r="Z53" s="3" t="e">
        <f>VLOOKUP(I53,Resources!$A$2:$AA$1503,18,FALSE)</f>
        <v>#N/A</v>
      </c>
      <c r="AA53" s="3" t="str">
        <f>IFERROR(VLOOKUP(B53,Orgs!$A$4:$G$1500,2,FALSE),"none")</f>
        <v>none</v>
      </c>
      <c r="AB53" s="3" t="str">
        <f>IFERROR(VLOOKUP(C53,UnitsDepts!$A$4:$G$1500,2,FALSE),"none")</f>
        <v>none</v>
      </c>
      <c r="AC53" s="3" t="str">
        <f>IFERROR(VLOOKUP(D53,ProjAppSvc!$A$4:$G$1500,2,FALSE),"none")</f>
        <v>none</v>
      </c>
    </row>
    <row r="54" spans="1:29" x14ac:dyDescent="0.45">
      <c r="A54" s="14" t="s">
        <v>23</v>
      </c>
      <c r="B54" s="14"/>
      <c r="C54" s="14"/>
      <c r="D54" s="14"/>
      <c r="H54" s="8"/>
      <c r="I54" s="3"/>
      <c r="J54" s="3" t="str">
        <f t="shared" si="2"/>
        <v/>
      </c>
      <c r="K54" s="3" t="str">
        <f>IF(ISNUMBER(SEARCH("-",V54)),IFERROR(IF($H$2="Lower", LOWER(ComputeResourceName(Z54,#REF!,#REF!,G54,N54,O54,P54,Q54,S54,T54,V54,A54)), UPPER(ComputeResourceName(Z54,#REF!,#REF!,G54,N54,O54,P54,Q54,S54,T54,V54,A54))),""),SUBSTITUTE(IFERROR(IF($H$2="Lower", LOWER(ComputeResourceName(#REF!,#REF!,#REF!,G54,N54,O54,P54,Q54,S54,T54,V54,A54)), UPPER(ComputeResourceName(#REF!,#REF!,#REF!,G54,N54,O54,P54,Q54,S54,T54,V54,A54))),""), "-",""))</f>
        <v/>
      </c>
      <c r="L54" s="3" t="str">
        <f xml:space="preserve"> IF(K54="","",  IFERROR(VLOOKUP(I54,Resources!$B$1:$H$1503,5,FALSE)-LEN(K54),0))</f>
        <v/>
      </c>
      <c r="M54" s="3" t="str">
        <f>IF(K54="","",IFERROR(matches(K54,VLOOKUP(I54,Resources!$A$2:$AA$1503,16,FALSE)),FALSE))</f>
        <v/>
      </c>
      <c r="N54" s="3" t="e">
        <f>VLOOKUP(E54,Enviroments!$A$3:$D$59,1,FALSE)</f>
        <v>#N/A</v>
      </c>
      <c r="O54" s="3" t="e">
        <f>VLOOKUP(E54,Enviroments!$A$3:$D$59,2,FALSE)</f>
        <v>#N/A</v>
      </c>
      <c r="P54" s="3" t="e">
        <f>VLOOKUP(E54,Enviroments!$A$3:$D$59,3,FALSE)</f>
        <v>#N/A</v>
      </c>
      <c r="Q54" s="3" t="e">
        <f>VLOOKUP(E54,Enviroments!$A$3:$D$59,4,FALSE)</f>
        <v>#N/A</v>
      </c>
      <c r="R54" s="3" t="e">
        <f>VLOOKUP(H54,AzureRegions!$A$4:$B$1493,1,FALSE)</f>
        <v>#N/A</v>
      </c>
      <c r="S54" s="3" t="e">
        <f>VLOOKUP(H54,AzureRegions!$A$4:$B$1493,2,FALSE)</f>
        <v>#N/A</v>
      </c>
      <c r="T54" s="3" t="e">
        <f>VLOOKUP(H54,AzureRegions!$A$4:$C$1493,3,FALSE)</f>
        <v>#N/A</v>
      </c>
      <c r="U54" s="3" t="e">
        <f>VLOOKUP(I54,Resources!$A$2:$AA$1503,2,FALSE)</f>
        <v>#N/A</v>
      </c>
      <c r="V54" s="3" t="e">
        <f>VLOOKUP(I54,Resources!$A$2:$H$1503,6,FALSE)</f>
        <v>#N/A</v>
      </c>
      <c r="W54" s="3" t="str">
        <f>VLOOKUP($H$2,Casing!$A$4:$A$60,1,FALSE)</f>
        <v>Lower</v>
      </c>
      <c r="X54" s="14" t="str">
        <f t="shared" si="1"/>
        <v>001</v>
      </c>
      <c r="Y54" s="3" t="str">
        <f>IFERROR(VLOOKUP(F54,Func!$A$4:$G$1500,2,FALSE),"none")</f>
        <v>none</v>
      </c>
      <c r="Z54" s="3" t="e">
        <f>VLOOKUP(I54,Resources!$A$2:$AA$1503,18,FALSE)</f>
        <v>#N/A</v>
      </c>
      <c r="AA54" s="3" t="str">
        <f>IFERROR(VLOOKUP(B54,Orgs!$A$4:$G$1500,2,FALSE),"none")</f>
        <v>none</v>
      </c>
      <c r="AB54" s="3" t="str">
        <f>IFERROR(VLOOKUP(C54,UnitsDepts!$A$4:$G$1500,2,FALSE),"none")</f>
        <v>none</v>
      </c>
      <c r="AC54" s="3" t="str">
        <f>IFERROR(VLOOKUP(D54,ProjAppSvc!$A$4:$G$1500,2,FALSE),"none")</f>
        <v>none</v>
      </c>
    </row>
    <row r="55" spans="1:29" x14ac:dyDescent="0.45">
      <c r="A55" s="14" t="s">
        <v>23</v>
      </c>
      <c r="B55" s="14"/>
      <c r="C55" s="14"/>
      <c r="D55" s="14"/>
      <c r="H55" s="8"/>
      <c r="I55" s="3"/>
      <c r="J55" s="3" t="str">
        <f t="shared" si="2"/>
        <v/>
      </c>
      <c r="K55" s="3" t="str">
        <f>IF(ISNUMBER(SEARCH("-",V55)),IFERROR(IF($H$2="Lower", LOWER(ComputeResourceName(Z55,#REF!,#REF!,G55,N55,O55,P55,Q55,S55,T55,V55,A55)), UPPER(ComputeResourceName(Z55,#REF!,#REF!,G55,N55,O55,P55,Q55,S55,T55,V55,A55))),""),SUBSTITUTE(IFERROR(IF($H$2="Lower", LOWER(ComputeResourceName(#REF!,#REF!,#REF!,G55,N55,O55,P55,Q55,S55,T55,V55,A55)), UPPER(ComputeResourceName(#REF!,#REF!,#REF!,G55,N55,O55,P55,Q55,S55,T55,V55,A55))),""), "-",""))</f>
        <v/>
      </c>
      <c r="L55" s="3" t="str">
        <f xml:space="preserve"> IF(K55="","",  IFERROR(VLOOKUP(I55,Resources!$B$1:$H$1503,5,FALSE)-LEN(K55),0))</f>
        <v/>
      </c>
      <c r="M55" s="3" t="str">
        <f>IF(K55="","",IFERROR(matches(K55,VLOOKUP(I55,Resources!$A$2:$AA$1503,16,FALSE)),FALSE))</f>
        <v/>
      </c>
      <c r="N55" s="3" t="e">
        <f>VLOOKUP(E55,Enviroments!$A$3:$D$59,1,FALSE)</f>
        <v>#N/A</v>
      </c>
      <c r="O55" s="3" t="e">
        <f>VLOOKUP(E55,Enviroments!$A$3:$D$59,2,FALSE)</f>
        <v>#N/A</v>
      </c>
      <c r="P55" s="3" t="e">
        <f>VLOOKUP(E55,Enviroments!$A$3:$D$59,3,FALSE)</f>
        <v>#N/A</v>
      </c>
      <c r="Q55" s="3" t="e">
        <f>VLOOKUP(E55,Enviroments!$A$3:$D$59,4,FALSE)</f>
        <v>#N/A</v>
      </c>
      <c r="R55" s="3" t="e">
        <f>VLOOKUP(H55,AzureRegions!$A$4:$B$1493,1,FALSE)</f>
        <v>#N/A</v>
      </c>
      <c r="S55" s="3" t="e">
        <f>VLOOKUP(H55,AzureRegions!$A$4:$B$1493,2,FALSE)</f>
        <v>#N/A</v>
      </c>
      <c r="T55" s="3" t="e">
        <f>VLOOKUP(H55,AzureRegions!$A$4:$C$1493,3,FALSE)</f>
        <v>#N/A</v>
      </c>
      <c r="U55" s="3" t="e">
        <f>VLOOKUP(I55,Resources!$A$2:$AA$1503,2,FALSE)</f>
        <v>#N/A</v>
      </c>
      <c r="V55" s="3" t="e">
        <f>VLOOKUP(I55,Resources!$A$2:$H$1503,6,FALSE)</f>
        <v>#N/A</v>
      </c>
      <c r="W55" s="3" t="str">
        <f>VLOOKUP($H$2,Casing!$A$4:$A$60,1,FALSE)</f>
        <v>Lower</v>
      </c>
      <c r="X55" s="14" t="str">
        <f t="shared" si="1"/>
        <v>001</v>
      </c>
      <c r="Y55" s="3" t="str">
        <f>IFERROR(VLOOKUP(F55,Func!$A$4:$G$1500,2,FALSE),"none")</f>
        <v>none</v>
      </c>
      <c r="Z55" s="3" t="e">
        <f>VLOOKUP(I55,Resources!$A$2:$AA$1503,18,FALSE)</f>
        <v>#N/A</v>
      </c>
      <c r="AA55" s="3" t="str">
        <f>IFERROR(VLOOKUP(B55,Orgs!$A$4:$G$1500,2,FALSE),"none")</f>
        <v>none</v>
      </c>
      <c r="AB55" s="3" t="str">
        <f>IFERROR(VLOOKUP(C55,UnitsDepts!$A$4:$G$1500,2,FALSE),"none")</f>
        <v>none</v>
      </c>
      <c r="AC55" s="3" t="str">
        <f>IFERROR(VLOOKUP(D55,ProjAppSvc!$A$4:$G$1500,2,FALSE),"none")</f>
        <v>none</v>
      </c>
    </row>
    <row r="56" spans="1:29" x14ac:dyDescent="0.45">
      <c r="A56" s="14" t="s">
        <v>23</v>
      </c>
      <c r="B56" s="14"/>
      <c r="C56" s="14"/>
      <c r="D56" s="14"/>
      <c r="H56" s="8"/>
      <c r="I56" s="3"/>
      <c r="J56" s="3" t="str">
        <f t="shared" si="2"/>
        <v/>
      </c>
      <c r="K56" s="3" t="str">
        <f>IF(ISNUMBER(SEARCH("-",V56)),IFERROR(IF($H$2="Lower", LOWER(ComputeResourceName(Z56,#REF!,#REF!,G56,N56,O56,P56,Q56,S56,T56,V56,A56)), UPPER(ComputeResourceName(Z56,#REF!,#REF!,G56,N56,O56,P56,Q56,S56,T56,V56,A56))),""),SUBSTITUTE(IFERROR(IF($H$2="Lower", LOWER(ComputeResourceName(#REF!,#REF!,#REF!,G56,N56,O56,P56,Q56,S56,T56,V56,A56)), UPPER(ComputeResourceName(#REF!,#REF!,#REF!,G56,N56,O56,P56,Q56,S56,T56,V56,A56))),""), "-",""))</f>
        <v/>
      </c>
      <c r="L56" s="3" t="str">
        <f xml:space="preserve"> IF(K56="","",  IFERROR(VLOOKUP(I56,Resources!$B$1:$H$1503,5,FALSE)-LEN(K56),0))</f>
        <v/>
      </c>
      <c r="M56" s="3" t="str">
        <f>IF(K56="","",IFERROR(matches(K56,VLOOKUP(I56,Resources!$A$2:$AA$1503,16,FALSE)),FALSE))</f>
        <v/>
      </c>
      <c r="N56" s="3" t="e">
        <f>VLOOKUP(E56,Enviroments!$A$3:$D$59,1,FALSE)</f>
        <v>#N/A</v>
      </c>
      <c r="O56" s="3" t="e">
        <f>VLOOKUP(E56,Enviroments!$A$3:$D$59,2,FALSE)</f>
        <v>#N/A</v>
      </c>
      <c r="P56" s="3" t="e">
        <f>VLOOKUP(E56,Enviroments!$A$3:$D$59,3,FALSE)</f>
        <v>#N/A</v>
      </c>
      <c r="Q56" s="3" t="e">
        <f>VLOOKUP(E56,Enviroments!$A$3:$D$59,4,FALSE)</f>
        <v>#N/A</v>
      </c>
      <c r="R56" s="3" t="e">
        <f>VLOOKUP(H56,AzureRegions!$A$4:$B$1493,1,FALSE)</f>
        <v>#N/A</v>
      </c>
      <c r="S56" s="3" t="e">
        <f>VLOOKUP(H56,AzureRegions!$A$4:$B$1493,2,FALSE)</f>
        <v>#N/A</v>
      </c>
      <c r="T56" s="3" t="e">
        <f>VLOOKUP(H56,AzureRegions!$A$4:$C$1493,3,FALSE)</f>
        <v>#N/A</v>
      </c>
      <c r="U56" s="3" t="e">
        <f>VLOOKUP(I56,Resources!$A$2:$AA$1503,2,FALSE)</f>
        <v>#N/A</v>
      </c>
      <c r="V56" s="3" t="e">
        <f>VLOOKUP(I56,Resources!$A$2:$H$1503,6,FALSE)</f>
        <v>#N/A</v>
      </c>
      <c r="W56" s="3" t="str">
        <f>VLOOKUP($H$2,Casing!$A$4:$A$60,1,FALSE)</f>
        <v>Lower</v>
      </c>
      <c r="X56" s="14" t="str">
        <f t="shared" si="1"/>
        <v>001</v>
      </c>
      <c r="Y56" s="3" t="str">
        <f>IFERROR(VLOOKUP(F56,Func!$A$4:$G$1500,2,FALSE),"none")</f>
        <v>none</v>
      </c>
      <c r="Z56" s="3" t="e">
        <f>VLOOKUP(I56,Resources!$A$2:$AA$1503,18,FALSE)</f>
        <v>#N/A</v>
      </c>
      <c r="AA56" s="3" t="str">
        <f>IFERROR(VLOOKUP(B56,Orgs!$A$4:$G$1500,2,FALSE),"none")</f>
        <v>none</v>
      </c>
      <c r="AB56" s="3" t="str">
        <f>IFERROR(VLOOKUP(C56,UnitsDepts!$A$4:$G$1500,2,FALSE),"none")</f>
        <v>none</v>
      </c>
      <c r="AC56" s="3" t="str">
        <f>IFERROR(VLOOKUP(D56,ProjAppSvc!$A$4:$G$1500,2,FALSE),"none")</f>
        <v>none</v>
      </c>
    </row>
    <row r="57" spans="1:29" x14ac:dyDescent="0.45">
      <c r="A57" s="14" t="s">
        <v>23</v>
      </c>
      <c r="B57" s="14"/>
      <c r="C57" s="14"/>
      <c r="D57" s="14"/>
      <c r="H57" s="8"/>
      <c r="I57" s="3"/>
      <c r="J57" s="3" t="str">
        <f t="shared" si="2"/>
        <v/>
      </c>
      <c r="K57" s="3" t="str">
        <f>IF(ISNUMBER(SEARCH("-",V57)),IFERROR(IF($H$2="Lower", LOWER(ComputeResourceName(Z57,#REF!,#REF!,G57,N57,O57,P57,Q57,S57,T57,V57,A57)), UPPER(ComputeResourceName(Z57,#REF!,#REF!,G57,N57,O57,P57,Q57,S57,T57,V57,A57))),""),SUBSTITUTE(IFERROR(IF($H$2="Lower", LOWER(ComputeResourceName(#REF!,#REF!,#REF!,G57,N57,O57,P57,Q57,S57,T57,V57,A57)), UPPER(ComputeResourceName(#REF!,#REF!,#REF!,G57,N57,O57,P57,Q57,S57,T57,V57,A57))),""), "-",""))</f>
        <v/>
      </c>
      <c r="L57" s="3" t="str">
        <f xml:space="preserve"> IF(K57="","",  IFERROR(VLOOKUP(I57,Resources!$B$1:$H$1503,5,FALSE)-LEN(K57),0))</f>
        <v/>
      </c>
      <c r="M57" s="3" t="str">
        <f>IF(K57="","",IFERROR(matches(K57,VLOOKUP(I57,Resources!$A$2:$AA$1503,16,FALSE)),FALSE))</f>
        <v/>
      </c>
      <c r="N57" s="3" t="e">
        <f>VLOOKUP(E57,Enviroments!$A$3:$D$59,1,FALSE)</f>
        <v>#N/A</v>
      </c>
      <c r="O57" s="3" t="e">
        <f>VLOOKUP(E57,Enviroments!$A$3:$D$59,2,FALSE)</f>
        <v>#N/A</v>
      </c>
      <c r="P57" s="3" t="e">
        <f>VLOOKUP(E57,Enviroments!$A$3:$D$59,3,FALSE)</f>
        <v>#N/A</v>
      </c>
      <c r="Q57" s="3" t="e">
        <f>VLOOKUP(E57,Enviroments!$A$3:$D$59,4,FALSE)</f>
        <v>#N/A</v>
      </c>
      <c r="R57" s="3" t="e">
        <f>VLOOKUP(H57,AzureRegions!$A$4:$B$1493,1,FALSE)</f>
        <v>#N/A</v>
      </c>
      <c r="S57" s="3" t="e">
        <f>VLOOKUP(H57,AzureRegions!$A$4:$B$1493,2,FALSE)</f>
        <v>#N/A</v>
      </c>
      <c r="T57" s="3" t="e">
        <f>VLOOKUP(H57,AzureRegions!$A$4:$C$1493,3,FALSE)</f>
        <v>#N/A</v>
      </c>
      <c r="U57" s="3" t="e">
        <f>VLOOKUP(I57,Resources!$A$2:$AA$1503,2,FALSE)</f>
        <v>#N/A</v>
      </c>
      <c r="V57" s="3" t="e">
        <f>VLOOKUP(I57,Resources!$A$2:$H$1503,6,FALSE)</f>
        <v>#N/A</v>
      </c>
      <c r="W57" s="3" t="str">
        <f>VLOOKUP($H$2,Casing!$A$4:$A$60,1,FALSE)</f>
        <v>Lower</v>
      </c>
      <c r="X57" s="14" t="str">
        <f t="shared" si="1"/>
        <v>001</v>
      </c>
      <c r="Y57" s="3" t="str">
        <f>IFERROR(VLOOKUP(F57,Func!$A$4:$G$1500,2,FALSE),"none")</f>
        <v>none</v>
      </c>
      <c r="Z57" s="3" t="e">
        <f>VLOOKUP(I57,Resources!$A$2:$AA$1503,18,FALSE)</f>
        <v>#N/A</v>
      </c>
      <c r="AA57" s="3" t="str">
        <f>IFERROR(VLOOKUP(B57,Orgs!$A$4:$G$1500,2,FALSE),"none")</f>
        <v>none</v>
      </c>
      <c r="AB57" s="3" t="str">
        <f>IFERROR(VLOOKUP(C57,UnitsDepts!$A$4:$G$1500,2,FALSE),"none")</f>
        <v>none</v>
      </c>
      <c r="AC57" s="3" t="str">
        <f>IFERROR(VLOOKUP(D57,ProjAppSvc!$A$4:$G$1500,2,FALSE),"none")</f>
        <v>none</v>
      </c>
    </row>
    <row r="58" spans="1:29" x14ac:dyDescent="0.45">
      <c r="A58" s="14" t="s">
        <v>23</v>
      </c>
      <c r="B58" s="14"/>
      <c r="C58" s="14"/>
      <c r="D58" s="14"/>
      <c r="H58" s="8"/>
      <c r="I58" s="3"/>
      <c r="J58" s="3" t="str">
        <f t="shared" si="2"/>
        <v/>
      </c>
      <c r="K58" s="3" t="str">
        <f>IF(ISNUMBER(SEARCH("-",V58)),IFERROR(IF($H$2="Lower", LOWER(ComputeResourceName(Z58,#REF!,#REF!,G58,N58,O58,P58,Q58,S58,T58,V58,A58)), UPPER(ComputeResourceName(Z58,#REF!,#REF!,G58,N58,O58,P58,Q58,S58,T58,V58,A58))),""),SUBSTITUTE(IFERROR(IF($H$2="Lower", LOWER(ComputeResourceName(#REF!,#REF!,#REF!,G58,N58,O58,P58,Q58,S58,T58,V58,A58)), UPPER(ComputeResourceName(#REF!,#REF!,#REF!,G58,N58,O58,P58,Q58,S58,T58,V58,A58))),""), "-",""))</f>
        <v/>
      </c>
      <c r="L58" s="3" t="str">
        <f xml:space="preserve"> IF(K58="","",  IFERROR(VLOOKUP(I58,Resources!$B$1:$H$1503,5,FALSE)-LEN(K58),0))</f>
        <v/>
      </c>
      <c r="M58" s="3" t="str">
        <f>IF(K58="","",IFERROR(matches(K58,VLOOKUP(I58,Resources!$A$2:$AA$1503,16,FALSE)),FALSE))</f>
        <v/>
      </c>
      <c r="N58" s="3" t="e">
        <f>VLOOKUP(E58,Enviroments!$A$3:$D$59,1,FALSE)</f>
        <v>#N/A</v>
      </c>
      <c r="O58" s="3" t="e">
        <f>VLOOKUP(E58,Enviroments!$A$3:$D$59,2,FALSE)</f>
        <v>#N/A</v>
      </c>
      <c r="P58" s="3" t="e">
        <f>VLOOKUP(E58,Enviroments!$A$3:$D$59,3,FALSE)</f>
        <v>#N/A</v>
      </c>
      <c r="Q58" s="3" t="e">
        <f>VLOOKUP(E58,Enviroments!$A$3:$D$59,4,FALSE)</f>
        <v>#N/A</v>
      </c>
      <c r="R58" s="3" t="e">
        <f>VLOOKUP(H58,AzureRegions!$A$4:$B$1493,1,FALSE)</f>
        <v>#N/A</v>
      </c>
      <c r="S58" s="3" t="e">
        <f>VLOOKUP(H58,AzureRegions!$A$4:$B$1493,2,FALSE)</f>
        <v>#N/A</v>
      </c>
      <c r="T58" s="3" t="e">
        <f>VLOOKUP(H58,AzureRegions!$A$4:$C$1493,3,FALSE)</f>
        <v>#N/A</v>
      </c>
      <c r="U58" s="3" t="e">
        <f>VLOOKUP(I58,Resources!$A$2:$AA$1503,2,FALSE)</f>
        <v>#N/A</v>
      </c>
      <c r="V58" s="3" t="e">
        <f>VLOOKUP(I58,Resources!$A$2:$H$1503,6,FALSE)</f>
        <v>#N/A</v>
      </c>
      <c r="W58" s="3" t="str">
        <f>VLOOKUP($H$2,Casing!$A$4:$A$60,1,FALSE)</f>
        <v>Lower</v>
      </c>
      <c r="X58" s="14" t="str">
        <f t="shared" si="1"/>
        <v>001</v>
      </c>
      <c r="Y58" s="3" t="str">
        <f>IFERROR(VLOOKUP(F58,Func!$A$4:$G$1500,2,FALSE),"none")</f>
        <v>none</v>
      </c>
      <c r="Z58" s="3" t="e">
        <f>VLOOKUP(I58,Resources!$A$2:$AA$1503,18,FALSE)</f>
        <v>#N/A</v>
      </c>
      <c r="AA58" s="3" t="str">
        <f>IFERROR(VLOOKUP(B58,Orgs!$A$4:$G$1500,2,FALSE),"none")</f>
        <v>none</v>
      </c>
      <c r="AB58" s="3" t="str">
        <f>IFERROR(VLOOKUP(C58,UnitsDepts!$A$4:$G$1500,2,FALSE),"none")</f>
        <v>none</v>
      </c>
      <c r="AC58" s="3" t="str">
        <f>IFERROR(VLOOKUP(D58,ProjAppSvc!$A$4:$G$1500,2,FALSE),"none")</f>
        <v>none</v>
      </c>
    </row>
    <row r="59" spans="1:29" x14ac:dyDescent="0.45">
      <c r="A59" s="14" t="s">
        <v>23</v>
      </c>
      <c r="B59" s="14"/>
      <c r="C59" s="14"/>
      <c r="D59" s="14"/>
      <c r="H59" s="8"/>
      <c r="I59" s="3"/>
      <c r="J59" s="3" t="str">
        <f t="shared" si="2"/>
        <v/>
      </c>
      <c r="K59" s="3" t="str">
        <f>IF(ISNUMBER(SEARCH("-",V59)),IFERROR(IF($H$2="Lower", LOWER(ComputeResourceName(Z59,#REF!,#REF!,G59,N59,O59,P59,Q59,S59,T59,V59,A59)), UPPER(ComputeResourceName(Z59,#REF!,#REF!,G59,N59,O59,P59,Q59,S59,T59,V59,A59))),""),SUBSTITUTE(IFERROR(IF($H$2="Lower", LOWER(ComputeResourceName(#REF!,#REF!,#REF!,G59,N59,O59,P59,Q59,S59,T59,V59,A59)), UPPER(ComputeResourceName(#REF!,#REF!,#REF!,G59,N59,O59,P59,Q59,S59,T59,V59,A59))),""), "-",""))</f>
        <v/>
      </c>
      <c r="L59" s="3" t="str">
        <f xml:space="preserve"> IF(K59="","",  IFERROR(VLOOKUP(I59,Resources!$B$1:$H$1503,5,FALSE)-LEN(K59),0))</f>
        <v/>
      </c>
      <c r="M59" s="3" t="str">
        <f>IF(K59="","",IFERROR(matches(K59,VLOOKUP(I59,Resources!$A$2:$AA$1503,16,FALSE)),FALSE))</f>
        <v/>
      </c>
      <c r="N59" s="3" t="e">
        <f>VLOOKUP(E59,Enviroments!$A$3:$D$59,1,FALSE)</f>
        <v>#N/A</v>
      </c>
      <c r="O59" s="3" t="e">
        <f>VLOOKUP(E59,Enviroments!$A$3:$D$59,2,FALSE)</f>
        <v>#N/A</v>
      </c>
      <c r="P59" s="3" t="e">
        <f>VLOOKUP(E59,Enviroments!$A$3:$D$59,3,FALSE)</f>
        <v>#N/A</v>
      </c>
      <c r="Q59" s="3" t="e">
        <f>VLOOKUP(E59,Enviroments!$A$3:$D$59,4,FALSE)</f>
        <v>#N/A</v>
      </c>
      <c r="R59" s="3" t="e">
        <f>VLOOKUP(H59,AzureRegions!$A$4:$B$1493,1,FALSE)</f>
        <v>#N/A</v>
      </c>
      <c r="S59" s="3" t="e">
        <f>VLOOKUP(H59,AzureRegions!$A$4:$B$1493,2,FALSE)</f>
        <v>#N/A</v>
      </c>
      <c r="T59" s="3" t="e">
        <f>VLOOKUP(H59,AzureRegions!$A$4:$C$1493,3,FALSE)</f>
        <v>#N/A</v>
      </c>
      <c r="U59" s="3" t="e">
        <f>VLOOKUP(I59,Resources!$A$2:$AA$1503,2,FALSE)</f>
        <v>#N/A</v>
      </c>
      <c r="V59" s="3" t="e">
        <f>VLOOKUP(I59,Resources!$A$2:$H$1503,6,FALSE)</f>
        <v>#N/A</v>
      </c>
      <c r="W59" s="3" t="str">
        <f>VLOOKUP($H$2,Casing!$A$4:$A$60,1,FALSE)</f>
        <v>Lower</v>
      </c>
      <c r="X59" s="14" t="str">
        <f t="shared" si="1"/>
        <v>001</v>
      </c>
      <c r="Y59" s="3" t="str">
        <f>IFERROR(VLOOKUP(F59,Func!$A$4:$G$1500,2,FALSE),"none")</f>
        <v>none</v>
      </c>
      <c r="Z59" s="3" t="e">
        <f>VLOOKUP(I59,Resources!$A$2:$AA$1503,18,FALSE)</f>
        <v>#N/A</v>
      </c>
      <c r="AA59" s="3" t="str">
        <f>IFERROR(VLOOKUP(B59,Orgs!$A$4:$G$1500,2,FALSE),"none")</f>
        <v>none</v>
      </c>
      <c r="AB59" s="3" t="str">
        <f>IFERROR(VLOOKUP(C59,UnitsDepts!$A$4:$G$1500,2,FALSE),"none")</f>
        <v>none</v>
      </c>
      <c r="AC59" s="3" t="str">
        <f>IFERROR(VLOOKUP(D59,ProjAppSvc!$A$4:$G$1500,2,FALSE),"none")</f>
        <v>none</v>
      </c>
    </row>
    <row r="60" spans="1:29" x14ac:dyDescent="0.45">
      <c r="A60" s="14" t="s">
        <v>23</v>
      </c>
      <c r="B60" s="14"/>
      <c r="C60" s="14"/>
      <c r="D60" s="14"/>
      <c r="H60" s="8"/>
      <c r="I60" s="3"/>
      <c r="J60" s="3" t="str">
        <f t="shared" si="2"/>
        <v/>
      </c>
      <c r="K60" s="3" t="str">
        <f>IF(ISNUMBER(SEARCH("-",V60)),IFERROR(IF($H$2="Lower", LOWER(ComputeResourceName(Z60,#REF!,#REF!,G60,N60,O60,P60,Q60,S60,T60,V60,A60)), UPPER(ComputeResourceName(Z60,#REF!,#REF!,G60,N60,O60,P60,Q60,S60,T60,V60,A60))),""),SUBSTITUTE(IFERROR(IF($H$2="Lower", LOWER(ComputeResourceName(#REF!,#REF!,#REF!,G60,N60,O60,P60,Q60,S60,T60,V60,A60)), UPPER(ComputeResourceName(#REF!,#REF!,#REF!,G60,N60,O60,P60,Q60,S60,T60,V60,A60))),""), "-",""))</f>
        <v/>
      </c>
      <c r="L60" s="3" t="str">
        <f xml:space="preserve"> IF(K60="","",  IFERROR(VLOOKUP(I60,Resources!$B$1:$H$1503,5,FALSE)-LEN(K60),0))</f>
        <v/>
      </c>
      <c r="M60" s="3" t="str">
        <f>IF(K60="","",IFERROR(matches(K60,VLOOKUP(I60,Resources!$A$2:$AA$1503,16,FALSE)),FALSE))</f>
        <v/>
      </c>
      <c r="N60" s="3" t="e">
        <f>VLOOKUP(E60,Enviroments!$A$3:$D$59,1,FALSE)</f>
        <v>#N/A</v>
      </c>
      <c r="O60" s="3" t="e">
        <f>VLOOKUP(E60,Enviroments!$A$3:$D$59,2,FALSE)</f>
        <v>#N/A</v>
      </c>
      <c r="P60" s="3" t="e">
        <f>VLOOKUP(E60,Enviroments!$A$3:$D$59,3,FALSE)</f>
        <v>#N/A</v>
      </c>
      <c r="Q60" s="3" t="e">
        <f>VLOOKUP(E60,Enviroments!$A$3:$D$59,4,FALSE)</f>
        <v>#N/A</v>
      </c>
      <c r="R60" s="3" t="e">
        <f>VLOOKUP(H60,AzureRegions!$A$4:$B$1493,1,FALSE)</f>
        <v>#N/A</v>
      </c>
      <c r="S60" s="3" t="e">
        <f>VLOOKUP(H60,AzureRegions!$A$4:$B$1493,2,FALSE)</f>
        <v>#N/A</v>
      </c>
      <c r="T60" s="3" t="e">
        <f>VLOOKUP(H60,AzureRegions!$A$4:$C$1493,3,FALSE)</f>
        <v>#N/A</v>
      </c>
      <c r="U60" s="3" t="e">
        <f>VLOOKUP(I60,Resources!$A$2:$AA$1503,2,FALSE)</f>
        <v>#N/A</v>
      </c>
      <c r="V60" s="3" t="e">
        <f>VLOOKUP(I60,Resources!$A$2:$H$1503,6,FALSE)</f>
        <v>#N/A</v>
      </c>
      <c r="W60" s="3" t="str">
        <f>VLOOKUP($H$2,Casing!$A$4:$A$60,1,FALSE)</f>
        <v>Lower</v>
      </c>
      <c r="X60" s="14" t="str">
        <f t="shared" si="1"/>
        <v>001</v>
      </c>
      <c r="Y60" s="3" t="str">
        <f>IFERROR(VLOOKUP(F60,Func!$A$4:$G$1500,2,FALSE),"none")</f>
        <v>none</v>
      </c>
      <c r="Z60" s="3" t="e">
        <f>VLOOKUP(I60,Resources!$A$2:$AA$1503,18,FALSE)</f>
        <v>#N/A</v>
      </c>
      <c r="AA60" s="3" t="str">
        <f>IFERROR(VLOOKUP(B60,Orgs!$A$4:$G$1500,2,FALSE),"none")</f>
        <v>none</v>
      </c>
      <c r="AB60" s="3" t="str">
        <f>IFERROR(VLOOKUP(C60,UnitsDepts!$A$4:$G$1500,2,FALSE),"none")</f>
        <v>none</v>
      </c>
      <c r="AC60" s="3" t="str">
        <f>IFERROR(VLOOKUP(D60,ProjAppSvc!$A$4:$G$1500,2,FALSE),"none")</f>
        <v>none</v>
      </c>
    </row>
    <row r="61" spans="1:29" x14ac:dyDescent="0.45">
      <c r="A61" s="14" t="s">
        <v>23</v>
      </c>
      <c r="B61" s="14"/>
      <c r="C61" s="14"/>
      <c r="D61" s="14"/>
      <c r="H61" s="8"/>
      <c r="I61" s="3"/>
      <c r="J61" s="3" t="str">
        <f t="shared" si="2"/>
        <v/>
      </c>
      <c r="K61" s="3" t="str">
        <f>IF(ISNUMBER(SEARCH("-",V61)),IFERROR(IF($H$2="Lower", LOWER(ComputeResourceName(Z61,#REF!,#REF!,G61,N61,O61,P61,Q61,S61,T61,V61,A61)), UPPER(ComputeResourceName(Z61,#REF!,#REF!,G61,N61,O61,P61,Q61,S61,T61,V61,A61))),""),SUBSTITUTE(IFERROR(IF($H$2="Lower", LOWER(ComputeResourceName(#REF!,#REF!,#REF!,G61,N61,O61,P61,Q61,S61,T61,V61,A61)), UPPER(ComputeResourceName(#REF!,#REF!,#REF!,G61,N61,O61,P61,Q61,S61,T61,V61,A61))),""), "-",""))</f>
        <v/>
      </c>
      <c r="L61" s="3" t="str">
        <f xml:space="preserve"> IF(K61="","",  IFERROR(VLOOKUP(I61,Resources!$B$1:$H$1503,5,FALSE)-LEN(K61),0))</f>
        <v/>
      </c>
      <c r="M61" s="3" t="str">
        <f>IF(K61="","",IFERROR(matches(K61,VLOOKUP(I61,Resources!$A$2:$AA$1503,16,FALSE)),FALSE))</f>
        <v/>
      </c>
      <c r="N61" s="3" t="e">
        <f>VLOOKUP(E61,Enviroments!$A$3:$D$59,1,FALSE)</f>
        <v>#N/A</v>
      </c>
      <c r="O61" s="3" t="e">
        <f>VLOOKUP(E61,Enviroments!$A$3:$D$59,2,FALSE)</f>
        <v>#N/A</v>
      </c>
      <c r="P61" s="3" t="e">
        <f>VLOOKUP(E61,Enviroments!$A$3:$D$59,3,FALSE)</f>
        <v>#N/A</v>
      </c>
      <c r="Q61" s="3" t="e">
        <f>VLOOKUP(E61,Enviroments!$A$3:$D$59,4,FALSE)</f>
        <v>#N/A</v>
      </c>
      <c r="R61" s="3" t="e">
        <f>VLOOKUP(H61,AzureRegions!$A$4:$B$1493,1,FALSE)</f>
        <v>#N/A</v>
      </c>
      <c r="S61" s="3" t="e">
        <f>VLOOKUP(H61,AzureRegions!$A$4:$B$1493,2,FALSE)</f>
        <v>#N/A</v>
      </c>
      <c r="T61" s="3" t="e">
        <f>VLOOKUP(H61,AzureRegions!$A$4:$C$1493,3,FALSE)</f>
        <v>#N/A</v>
      </c>
      <c r="U61" s="3" t="e">
        <f>VLOOKUP(I61,Resources!$A$2:$AA$1503,2,FALSE)</f>
        <v>#N/A</v>
      </c>
      <c r="V61" s="3" t="e">
        <f>VLOOKUP(I61,Resources!$A$2:$H$1503,6,FALSE)</f>
        <v>#N/A</v>
      </c>
      <c r="W61" s="3" t="str">
        <f>VLOOKUP($H$2,Casing!$A$4:$A$60,1,FALSE)</f>
        <v>Lower</v>
      </c>
      <c r="X61" s="14" t="str">
        <f t="shared" si="1"/>
        <v>001</v>
      </c>
      <c r="Y61" s="3" t="str">
        <f>IFERROR(VLOOKUP(F61,Func!$A$4:$G$1500,2,FALSE),"none")</f>
        <v>none</v>
      </c>
      <c r="Z61" s="3" t="e">
        <f>VLOOKUP(I61,Resources!$A$2:$AA$1503,18,FALSE)</f>
        <v>#N/A</v>
      </c>
      <c r="AA61" s="3" t="str">
        <f>IFERROR(VLOOKUP(B61,Orgs!$A$4:$G$1500,2,FALSE),"none")</f>
        <v>none</v>
      </c>
      <c r="AB61" s="3" t="str">
        <f>IFERROR(VLOOKUP(C61,UnitsDepts!$A$4:$G$1500,2,FALSE),"none")</f>
        <v>none</v>
      </c>
      <c r="AC61" s="3" t="str">
        <f>IFERROR(VLOOKUP(D61,ProjAppSvc!$A$4:$G$1500,2,FALSE),"none")</f>
        <v>none</v>
      </c>
    </row>
    <row r="62" spans="1:29" x14ac:dyDescent="0.45">
      <c r="A62" s="14" t="s">
        <v>23</v>
      </c>
      <c r="B62" s="14"/>
      <c r="C62" s="14"/>
      <c r="D62" s="14"/>
      <c r="H62" s="8"/>
      <c r="I62" s="3"/>
      <c r="J62" s="3" t="str">
        <f t="shared" si="2"/>
        <v/>
      </c>
      <c r="K62" s="3" t="str">
        <f>IF(ISNUMBER(SEARCH("-",V62)),IFERROR(IF($H$2="Lower", LOWER(ComputeResourceName(Z62,#REF!,#REF!,G62,N62,O62,P62,Q62,S62,T62,V62,A62)), UPPER(ComputeResourceName(Z62,#REF!,#REF!,G62,N62,O62,P62,Q62,S62,T62,V62,A62))),""),SUBSTITUTE(IFERROR(IF($H$2="Lower", LOWER(ComputeResourceName(#REF!,#REF!,#REF!,G62,N62,O62,P62,Q62,S62,T62,V62,A62)), UPPER(ComputeResourceName(#REF!,#REF!,#REF!,G62,N62,O62,P62,Q62,S62,T62,V62,A62))),""), "-",""))</f>
        <v/>
      </c>
      <c r="L62" s="3" t="str">
        <f xml:space="preserve"> IF(K62="","",  IFERROR(VLOOKUP(I62,Resources!$B$1:$H$1503,5,FALSE)-LEN(K62),0))</f>
        <v/>
      </c>
      <c r="M62" s="3" t="str">
        <f>IF(K62="","",IFERROR(matches(K62,VLOOKUP(I62,Resources!$A$2:$AA$1503,16,FALSE)),FALSE))</f>
        <v/>
      </c>
      <c r="N62" s="3" t="e">
        <f>VLOOKUP(E62,Enviroments!$A$3:$D$59,1,FALSE)</f>
        <v>#N/A</v>
      </c>
      <c r="O62" s="3" t="e">
        <f>VLOOKUP(E62,Enviroments!$A$3:$D$59,2,FALSE)</f>
        <v>#N/A</v>
      </c>
      <c r="P62" s="3" t="e">
        <f>VLOOKUP(E62,Enviroments!$A$3:$D$59,3,FALSE)</f>
        <v>#N/A</v>
      </c>
      <c r="Q62" s="3" t="e">
        <f>VLOOKUP(E62,Enviroments!$A$3:$D$59,4,FALSE)</f>
        <v>#N/A</v>
      </c>
      <c r="R62" s="3" t="e">
        <f>VLOOKUP(H62,AzureRegions!$A$4:$B$1493,1,FALSE)</f>
        <v>#N/A</v>
      </c>
      <c r="S62" s="3" t="e">
        <f>VLOOKUP(H62,AzureRegions!$A$4:$B$1493,2,FALSE)</f>
        <v>#N/A</v>
      </c>
      <c r="T62" s="3" t="e">
        <f>VLOOKUP(H62,AzureRegions!$A$4:$C$1493,3,FALSE)</f>
        <v>#N/A</v>
      </c>
      <c r="U62" s="3" t="e">
        <f>VLOOKUP(I62,Resources!$A$2:$AA$1503,2,FALSE)</f>
        <v>#N/A</v>
      </c>
      <c r="V62" s="3" t="e">
        <f>VLOOKUP(I62,Resources!$A$2:$H$1503,6,FALSE)</f>
        <v>#N/A</v>
      </c>
      <c r="W62" s="3" t="str">
        <f>VLOOKUP($H$2,Casing!$A$4:$A$60,1,FALSE)</f>
        <v>Lower</v>
      </c>
      <c r="X62" s="14" t="str">
        <f t="shared" si="1"/>
        <v>001</v>
      </c>
      <c r="Y62" s="3" t="str">
        <f>IFERROR(VLOOKUP(F62,Func!$A$4:$G$1500,2,FALSE),"none")</f>
        <v>none</v>
      </c>
      <c r="Z62" s="3" t="e">
        <f>VLOOKUP(I62,Resources!$A$2:$AA$1503,18,FALSE)</f>
        <v>#N/A</v>
      </c>
      <c r="AA62" s="3" t="str">
        <f>IFERROR(VLOOKUP(B62,Orgs!$A$4:$G$1500,2,FALSE),"none")</f>
        <v>none</v>
      </c>
      <c r="AB62" s="3" t="str">
        <f>IFERROR(VLOOKUP(C62,UnitsDepts!$A$4:$G$1500,2,FALSE),"none")</f>
        <v>none</v>
      </c>
      <c r="AC62" s="3" t="str">
        <f>IFERROR(VLOOKUP(D62,ProjAppSvc!$A$4:$G$1500,2,FALSE),"none")</f>
        <v>none</v>
      </c>
    </row>
    <row r="63" spans="1:29" x14ac:dyDescent="0.45">
      <c r="A63" s="14" t="s">
        <v>23</v>
      </c>
      <c r="B63" s="14"/>
      <c r="C63" s="14"/>
      <c r="D63" s="14"/>
      <c r="H63" s="8"/>
      <c r="I63" s="3"/>
      <c r="J63" s="3" t="str">
        <f t="shared" si="2"/>
        <v/>
      </c>
      <c r="K63" s="3" t="str">
        <f>IF(ISNUMBER(SEARCH("-",V63)),IFERROR(IF($H$2="Lower", LOWER(ComputeResourceName(Z63,#REF!,#REF!,G63,N63,O63,P63,Q63,S63,T63,V63,A63)), UPPER(ComputeResourceName(Z63,#REF!,#REF!,G63,N63,O63,P63,Q63,S63,T63,V63,A63))),""),SUBSTITUTE(IFERROR(IF($H$2="Lower", LOWER(ComputeResourceName(#REF!,#REF!,#REF!,G63,N63,O63,P63,Q63,S63,T63,V63,A63)), UPPER(ComputeResourceName(#REF!,#REF!,#REF!,G63,N63,O63,P63,Q63,S63,T63,V63,A63))),""), "-",""))</f>
        <v/>
      </c>
      <c r="L63" s="3" t="str">
        <f xml:space="preserve"> IF(K63="","",  IFERROR(VLOOKUP(I63,Resources!$B$1:$H$1503,5,FALSE)-LEN(K63),0))</f>
        <v/>
      </c>
      <c r="M63" s="3" t="str">
        <f>IF(K63="","",IFERROR(matches(K63,VLOOKUP(I63,Resources!$A$2:$AA$1503,16,FALSE)),FALSE))</f>
        <v/>
      </c>
      <c r="N63" s="3" t="e">
        <f>VLOOKUP(E63,Enviroments!$A$3:$D$59,1,FALSE)</f>
        <v>#N/A</v>
      </c>
      <c r="O63" s="3" t="e">
        <f>VLOOKUP(E63,Enviroments!$A$3:$D$59,2,FALSE)</f>
        <v>#N/A</v>
      </c>
      <c r="P63" s="3" t="e">
        <f>VLOOKUP(E63,Enviroments!$A$3:$D$59,3,FALSE)</f>
        <v>#N/A</v>
      </c>
      <c r="Q63" s="3" t="e">
        <f>VLOOKUP(E63,Enviroments!$A$3:$D$59,4,FALSE)</f>
        <v>#N/A</v>
      </c>
      <c r="R63" s="3" t="e">
        <f>VLOOKUP(H63,AzureRegions!$A$4:$B$1493,1,FALSE)</f>
        <v>#N/A</v>
      </c>
      <c r="S63" s="3" t="e">
        <f>VLOOKUP(H63,AzureRegions!$A$4:$B$1493,2,FALSE)</f>
        <v>#N/A</v>
      </c>
      <c r="T63" s="3" t="e">
        <f>VLOOKUP(H63,AzureRegions!$A$4:$C$1493,3,FALSE)</f>
        <v>#N/A</v>
      </c>
      <c r="U63" s="3" t="e">
        <f>VLOOKUP(I63,Resources!$A$2:$AA$1503,2,FALSE)</f>
        <v>#N/A</v>
      </c>
      <c r="V63" s="3" t="e">
        <f>VLOOKUP(I63,Resources!$A$2:$H$1503,6,FALSE)</f>
        <v>#N/A</v>
      </c>
      <c r="W63" s="3" t="str">
        <f>VLOOKUP($H$2,Casing!$A$4:$A$60,1,FALSE)</f>
        <v>Lower</v>
      </c>
      <c r="X63" s="14" t="str">
        <f t="shared" si="1"/>
        <v>001</v>
      </c>
      <c r="Y63" s="3" t="str">
        <f>IFERROR(VLOOKUP(F63,Func!$A$4:$G$1500,2,FALSE),"none")</f>
        <v>none</v>
      </c>
      <c r="Z63" s="3" t="e">
        <f>VLOOKUP(I63,Resources!$A$2:$AA$1503,18,FALSE)</f>
        <v>#N/A</v>
      </c>
      <c r="AA63" s="3" t="str">
        <f>IFERROR(VLOOKUP(B63,Orgs!$A$4:$G$1500,2,FALSE),"none")</f>
        <v>none</v>
      </c>
      <c r="AB63" s="3" t="str">
        <f>IFERROR(VLOOKUP(C63,UnitsDepts!$A$4:$G$1500,2,FALSE),"none")</f>
        <v>none</v>
      </c>
      <c r="AC63" s="3" t="str">
        <f>IFERROR(VLOOKUP(D63,ProjAppSvc!$A$4:$G$1500,2,FALSE),"none")</f>
        <v>none</v>
      </c>
    </row>
    <row r="64" spans="1:29" x14ac:dyDescent="0.45">
      <c r="A64" s="14" t="s">
        <v>23</v>
      </c>
      <c r="B64" s="14"/>
      <c r="C64" s="14"/>
      <c r="D64" s="14"/>
      <c r="H64" s="8"/>
      <c r="I64" s="3"/>
      <c r="J64" s="3" t="str">
        <f t="shared" si="2"/>
        <v/>
      </c>
      <c r="K64" s="3" t="str">
        <f>IF(ISNUMBER(SEARCH("-",V64)),IFERROR(IF($H$2="Lower", LOWER(ComputeResourceName(Z64,#REF!,#REF!,G64,N64,O64,P64,Q64,S64,T64,V64,A64)), UPPER(ComputeResourceName(Z64,#REF!,#REF!,G64,N64,O64,P64,Q64,S64,T64,V64,A64))),""),SUBSTITUTE(IFERROR(IF($H$2="Lower", LOWER(ComputeResourceName(#REF!,#REF!,#REF!,G64,N64,O64,P64,Q64,S64,T64,V64,A64)), UPPER(ComputeResourceName(#REF!,#REF!,#REF!,G64,N64,O64,P64,Q64,S64,T64,V64,A64))),""), "-",""))</f>
        <v/>
      </c>
      <c r="L64" s="3" t="str">
        <f xml:space="preserve"> IF(K64="","",  IFERROR(VLOOKUP(I64,Resources!$B$1:$H$1503,5,FALSE)-LEN(K64),0))</f>
        <v/>
      </c>
      <c r="M64" s="3" t="str">
        <f>IF(K64="","",IFERROR(matches(K64,VLOOKUP(I64,Resources!$A$2:$AA$1503,16,FALSE)),FALSE))</f>
        <v/>
      </c>
      <c r="N64" s="3" t="e">
        <f>VLOOKUP(E64,Enviroments!$A$3:$D$59,1,FALSE)</f>
        <v>#N/A</v>
      </c>
      <c r="O64" s="3" t="e">
        <f>VLOOKUP(E64,Enviroments!$A$3:$D$59,2,FALSE)</f>
        <v>#N/A</v>
      </c>
      <c r="P64" s="3" t="e">
        <f>VLOOKUP(E64,Enviroments!$A$3:$D$59,3,FALSE)</f>
        <v>#N/A</v>
      </c>
      <c r="Q64" s="3" t="e">
        <f>VLOOKUP(E64,Enviroments!$A$3:$D$59,4,FALSE)</f>
        <v>#N/A</v>
      </c>
      <c r="R64" s="3" t="e">
        <f>VLOOKUP(H64,AzureRegions!$A$4:$B$1493,1,FALSE)</f>
        <v>#N/A</v>
      </c>
      <c r="S64" s="3" t="e">
        <f>VLOOKUP(H64,AzureRegions!$A$4:$B$1493,2,FALSE)</f>
        <v>#N/A</v>
      </c>
      <c r="T64" s="3" t="e">
        <f>VLOOKUP(H64,AzureRegions!$A$4:$C$1493,3,FALSE)</f>
        <v>#N/A</v>
      </c>
      <c r="U64" s="3" t="e">
        <f>VLOOKUP(I64,Resources!$A$2:$AA$1503,2,FALSE)</f>
        <v>#N/A</v>
      </c>
      <c r="V64" s="3" t="e">
        <f>VLOOKUP(I64,Resources!$A$2:$H$1503,6,FALSE)</f>
        <v>#N/A</v>
      </c>
      <c r="W64" s="3" t="str">
        <f>VLOOKUP($H$2,Casing!$A$4:$A$60,1,FALSE)</f>
        <v>Lower</v>
      </c>
      <c r="X64" s="14" t="str">
        <f t="shared" si="1"/>
        <v>001</v>
      </c>
      <c r="Y64" s="3" t="str">
        <f>IFERROR(VLOOKUP(F64,Func!$A$4:$G$1500,2,FALSE),"none")</f>
        <v>none</v>
      </c>
      <c r="Z64" s="3" t="e">
        <f>VLOOKUP(I64,Resources!$A$2:$AA$1503,18,FALSE)</f>
        <v>#N/A</v>
      </c>
      <c r="AA64" s="3" t="str">
        <f>IFERROR(VLOOKUP(B64,Orgs!$A$4:$G$1500,2,FALSE),"none")</f>
        <v>none</v>
      </c>
      <c r="AB64" s="3" t="str">
        <f>IFERROR(VLOOKUP(C64,UnitsDepts!$A$4:$G$1500,2,FALSE),"none")</f>
        <v>none</v>
      </c>
      <c r="AC64" s="3" t="str">
        <f>IFERROR(VLOOKUP(D64,ProjAppSvc!$A$4:$G$1500,2,FALSE),"none")</f>
        <v>none</v>
      </c>
    </row>
    <row r="65" spans="1:29" x14ac:dyDescent="0.45">
      <c r="A65" s="14" t="s">
        <v>23</v>
      </c>
      <c r="B65" s="14"/>
      <c r="C65" s="14"/>
      <c r="D65" s="14"/>
      <c r="H65" s="8"/>
      <c r="I65" s="3"/>
      <c r="J65" s="3" t="str">
        <f t="shared" si="2"/>
        <v/>
      </c>
      <c r="K65" s="3" t="str">
        <f>IF(ISNUMBER(SEARCH("-",V65)),IFERROR(IF($H$2="Lower", LOWER(ComputeResourceName(Z65,#REF!,#REF!,G65,N65,O65,P65,Q65,S65,T65,V65,A65)), UPPER(ComputeResourceName(Z65,#REF!,#REF!,G65,N65,O65,P65,Q65,S65,T65,V65,A65))),""),SUBSTITUTE(IFERROR(IF($H$2="Lower", LOWER(ComputeResourceName(#REF!,#REF!,#REF!,G65,N65,O65,P65,Q65,S65,T65,V65,A65)), UPPER(ComputeResourceName(#REF!,#REF!,#REF!,G65,N65,O65,P65,Q65,S65,T65,V65,A65))),""), "-",""))</f>
        <v/>
      </c>
      <c r="L65" s="3" t="str">
        <f xml:space="preserve"> IF(K65="","",  IFERROR(VLOOKUP(I65,Resources!$B$1:$H$1503,5,FALSE)-LEN(K65),0))</f>
        <v/>
      </c>
      <c r="M65" s="3" t="str">
        <f>IF(K65="","",IFERROR(matches(K65,VLOOKUP(I65,Resources!$A$2:$AA$1503,16,FALSE)),FALSE))</f>
        <v/>
      </c>
      <c r="N65" s="3" t="e">
        <f>VLOOKUP(E65,Enviroments!$A$3:$D$59,1,FALSE)</f>
        <v>#N/A</v>
      </c>
      <c r="O65" s="3" t="e">
        <f>VLOOKUP(E65,Enviroments!$A$3:$D$59,2,FALSE)</f>
        <v>#N/A</v>
      </c>
      <c r="P65" s="3" t="e">
        <f>VLOOKUP(E65,Enviroments!$A$3:$D$59,3,FALSE)</f>
        <v>#N/A</v>
      </c>
      <c r="Q65" s="3" t="e">
        <f>VLOOKUP(E65,Enviroments!$A$3:$D$59,4,FALSE)</f>
        <v>#N/A</v>
      </c>
      <c r="R65" s="3" t="e">
        <f>VLOOKUP(H65,AzureRegions!$A$4:$B$1493,1,FALSE)</f>
        <v>#N/A</v>
      </c>
      <c r="S65" s="3" t="e">
        <f>VLOOKUP(H65,AzureRegions!$A$4:$B$1493,2,FALSE)</f>
        <v>#N/A</v>
      </c>
      <c r="T65" s="3" t="e">
        <f>VLOOKUP(H65,AzureRegions!$A$4:$C$1493,3,FALSE)</f>
        <v>#N/A</v>
      </c>
      <c r="U65" s="3" t="e">
        <f>VLOOKUP(I65,Resources!$A$2:$AA$1503,2,FALSE)</f>
        <v>#N/A</v>
      </c>
      <c r="V65" s="3" t="e">
        <f>VLOOKUP(I65,Resources!$A$2:$H$1503,6,FALSE)</f>
        <v>#N/A</v>
      </c>
      <c r="W65" s="3" t="str">
        <f>VLOOKUP($H$2,Casing!$A$4:$A$60,1,FALSE)</f>
        <v>Lower</v>
      </c>
      <c r="X65" s="14" t="str">
        <f t="shared" si="1"/>
        <v>001</v>
      </c>
      <c r="Y65" s="3" t="str">
        <f>IFERROR(VLOOKUP(F65,Func!$A$4:$G$1500,2,FALSE),"none")</f>
        <v>none</v>
      </c>
      <c r="Z65" s="3" t="e">
        <f>VLOOKUP(I65,Resources!$A$2:$AA$1503,18,FALSE)</f>
        <v>#N/A</v>
      </c>
      <c r="AA65" s="3" t="str">
        <f>IFERROR(VLOOKUP(B65,Orgs!$A$4:$G$1500,2,FALSE),"none")</f>
        <v>none</v>
      </c>
      <c r="AB65" s="3" t="str">
        <f>IFERROR(VLOOKUP(C65,UnitsDepts!$A$4:$G$1500,2,FALSE),"none")</f>
        <v>none</v>
      </c>
      <c r="AC65" s="3" t="str">
        <f>IFERROR(VLOOKUP(D65,ProjAppSvc!$A$4:$G$1500,2,FALSE),"none")</f>
        <v>none</v>
      </c>
    </row>
    <row r="66" spans="1:29" x14ac:dyDescent="0.45">
      <c r="A66" s="14" t="s">
        <v>23</v>
      </c>
      <c r="B66" s="14"/>
      <c r="C66" s="14"/>
      <c r="D66" s="14"/>
      <c r="H66" s="8"/>
      <c r="I66" s="3"/>
      <c r="J66" s="3" t="str">
        <f t="shared" si="2"/>
        <v/>
      </c>
      <c r="K66" s="3" t="str">
        <f>IF(ISNUMBER(SEARCH("-",V66)),IFERROR(IF($H$2="Lower", LOWER(ComputeResourceName(Z66,#REF!,#REF!,G66,N66,O66,P66,Q66,S66,T66,V66,A66)), UPPER(ComputeResourceName(Z66,#REF!,#REF!,G66,N66,O66,P66,Q66,S66,T66,V66,A66))),""),SUBSTITUTE(IFERROR(IF($H$2="Lower", LOWER(ComputeResourceName(#REF!,#REF!,#REF!,G66,N66,O66,P66,Q66,S66,T66,V66,A66)), UPPER(ComputeResourceName(#REF!,#REF!,#REF!,G66,N66,O66,P66,Q66,S66,T66,V66,A66))),""), "-",""))</f>
        <v/>
      </c>
      <c r="L66" s="3" t="str">
        <f xml:space="preserve"> IF(K66="","",  IFERROR(VLOOKUP(I66,Resources!$B$1:$H$1503,5,FALSE)-LEN(K66),0))</f>
        <v/>
      </c>
      <c r="M66" s="3" t="str">
        <f>IF(K66="","",IFERROR(matches(K66,VLOOKUP(I66,Resources!$A$2:$AA$1503,16,FALSE)),FALSE))</f>
        <v/>
      </c>
      <c r="N66" s="3" t="e">
        <f>VLOOKUP(E66,Enviroments!$A$3:$D$59,1,FALSE)</f>
        <v>#N/A</v>
      </c>
      <c r="O66" s="3" t="e">
        <f>VLOOKUP(E66,Enviroments!$A$3:$D$59,2,FALSE)</f>
        <v>#N/A</v>
      </c>
      <c r="P66" s="3" t="e">
        <f>VLOOKUP(E66,Enviroments!$A$3:$D$59,3,FALSE)</f>
        <v>#N/A</v>
      </c>
      <c r="Q66" s="3" t="e">
        <f>VLOOKUP(E66,Enviroments!$A$3:$D$59,4,FALSE)</f>
        <v>#N/A</v>
      </c>
      <c r="R66" s="3" t="e">
        <f>VLOOKUP(H66,AzureRegions!$A$4:$B$1493,1,FALSE)</f>
        <v>#N/A</v>
      </c>
      <c r="S66" s="3" t="e">
        <f>VLOOKUP(H66,AzureRegions!$A$4:$B$1493,2,FALSE)</f>
        <v>#N/A</v>
      </c>
      <c r="T66" s="3" t="e">
        <f>VLOOKUP(H66,AzureRegions!$A$4:$C$1493,3,FALSE)</f>
        <v>#N/A</v>
      </c>
      <c r="U66" s="3" t="e">
        <f>VLOOKUP(I66,Resources!$A$2:$AA$1503,2,FALSE)</f>
        <v>#N/A</v>
      </c>
      <c r="V66" s="3" t="e">
        <f>VLOOKUP(I66,Resources!$A$2:$H$1503,6,FALSE)</f>
        <v>#N/A</v>
      </c>
      <c r="W66" s="3" t="str">
        <f>VLOOKUP($H$2,Casing!$A$4:$A$60,1,FALSE)</f>
        <v>Lower</v>
      </c>
      <c r="X66" s="14" t="str">
        <f t="shared" si="1"/>
        <v>001</v>
      </c>
      <c r="Y66" s="3" t="str">
        <f>IFERROR(VLOOKUP(F66,Func!$A$4:$G$1500,2,FALSE),"none")</f>
        <v>none</v>
      </c>
      <c r="Z66" s="3" t="e">
        <f>VLOOKUP(I66,Resources!$A$2:$AA$1503,18,FALSE)</f>
        <v>#N/A</v>
      </c>
      <c r="AA66" s="3" t="str">
        <f>IFERROR(VLOOKUP(B66,Orgs!$A$4:$G$1500,2,FALSE),"none")</f>
        <v>none</v>
      </c>
      <c r="AB66" s="3" t="str">
        <f>IFERROR(VLOOKUP(C66,UnitsDepts!$A$4:$G$1500,2,FALSE),"none")</f>
        <v>none</v>
      </c>
      <c r="AC66" s="3" t="str">
        <f>IFERROR(VLOOKUP(D66,ProjAppSvc!$A$4:$G$1500,2,FALSE),"none")</f>
        <v>none</v>
      </c>
    </row>
    <row r="67" spans="1:29" x14ac:dyDescent="0.45">
      <c r="A67" s="14" t="s">
        <v>23</v>
      </c>
      <c r="B67" s="14"/>
      <c r="C67" s="14"/>
      <c r="D67" s="14"/>
      <c r="H67" s="8"/>
      <c r="I67" s="3"/>
      <c r="J67" s="3" t="str">
        <f t="shared" si="2"/>
        <v/>
      </c>
      <c r="K67" s="3" t="str">
        <f>IF(ISNUMBER(SEARCH("-",V67)),IFERROR(IF($H$2="Lower", LOWER(ComputeResourceName(Z67,#REF!,#REF!,G67,N67,O67,P67,Q67,S67,T67,V67,A67)), UPPER(ComputeResourceName(Z67,#REF!,#REF!,G67,N67,O67,P67,Q67,S67,T67,V67,A67))),""),SUBSTITUTE(IFERROR(IF($H$2="Lower", LOWER(ComputeResourceName(#REF!,#REF!,#REF!,G67,N67,O67,P67,Q67,S67,T67,V67,A67)), UPPER(ComputeResourceName(#REF!,#REF!,#REF!,G67,N67,O67,P67,Q67,S67,T67,V67,A67))),""), "-",""))</f>
        <v/>
      </c>
      <c r="L67" s="3" t="str">
        <f xml:space="preserve"> IF(K67="","",  IFERROR(VLOOKUP(I67,Resources!$B$1:$H$1503,5,FALSE)-LEN(K67),0))</f>
        <v/>
      </c>
      <c r="M67" s="3" t="str">
        <f>IF(K67="","",IFERROR(matches(K67,VLOOKUP(I67,Resources!$A$2:$AA$1503,16,FALSE)),FALSE))</f>
        <v/>
      </c>
      <c r="N67" s="3" t="e">
        <f>VLOOKUP(E67,Enviroments!$A$3:$D$59,1,FALSE)</f>
        <v>#N/A</v>
      </c>
      <c r="O67" s="3" t="e">
        <f>VLOOKUP(E67,Enviroments!$A$3:$D$59,2,FALSE)</f>
        <v>#N/A</v>
      </c>
      <c r="P67" s="3" t="e">
        <f>VLOOKUP(E67,Enviroments!$A$3:$D$59,3,FALSE)</f>
        <v>#N/A</v>
      </c>
      <c r="Q67" s="3" t="e">
        <f>VLOOKUP(E67,Enviroments!$A$3:$D$59,4,FALSE)</f>
        <v>#N/A</v>
      </c>
      <c r="R67" s="3" t="e">
        <f>VLOOKUP(H67,AzureRegions!$A$4:$B$1493,1,FALSE)</f>
        <v>#N/A</v>
      </c>
      <c r="S67" s="3" t="e">
        <f>VLOOKUP(H67,AzureRegions!$A$4:$B$1493,2,FALSE)</f>
        <v>#N/A</v>
      </c>
      <c r="T67" s="3" t="e">
        <f>VLOOKUP(H67,AzureRegions!$A$4:$C$1493,3,FALSE)</f>
        <v>#N/A</v>
      </c>
      <c r="U67" s="3" t="e">
        <f>VLOOKUP(I67,Resources!$A$2:$AA$1503,2,FALSE)</f>
        <v>#N/A</v>
      </c>
      <c r="V67" s="3" t="e">
        <f>VLOOKUP(I67,Resources!$A$2:$H$1503,6,FALSE)</f>
        <v>#N/A</v>
      </c>
      <c r="W67" s="3" t="str">
        <f>VLOOKUP($H$2,Casing!$A$4:$A$60,1,FALSE)</f>
        <v>Lower</v>
      </c>
      <c r="X67" s="14" t="str">
        <f t="shared" si="1"/>
        <v>001</v>
      </c>
      <c r="Y67" s="3" t="str">
        <f>IFERROR(VLOOKUP(F67,Func!$A$4:$G$1500,2,FALSE),"none")</f>
        <v>none</v>
      </c>
      <c r="Z67" s="3" t="e">
        <f>VLOOKUP(I67,Resources!$A$2:$AA$1503,18,FALSE)</f>
        <v>#N/A</v>
      </c>
      <c r="AA67" s="3" t="str">
        <f>IFERROR(VLOOKUP(B67,Orgs!$A$4:$G$1500,2,FALSE),"none")</f>
        <v>none</v>
      </c>
      <c r="AB67" s="3" t="str">
        <f>IFERROR(VLOOKUP(C67,UnitsDepts!$A$4:$G$1500,2,FALSE),"none")</f>
        <v>none</v>
      </c>
      <c r="AC67" s="3" t="str">
        <f>IFERROR(VLOOKUP(D67,ProjAppSvc!$A$4:$G$1500,2,FALSE),"none")</f>
        <v>none</v>
      </c>
    </row>
    <row r="68" spans="1:29" x14ac:dyDescent="0.45">
      <c r="A68" s="14" t="s">
        <v>23</v>
      </c>
      <c r="B68" s="14"/>
      <c r="C68" s="14"/>
      <c r="D68" s="14"/>
      <c r="H68" s="8"/>
      <c r="I68" s="3"/>
      <c r="J68" s="3" t="str">
        <f t="shared" si="2"/>
        <v/>
      </c>
      <c r="K68" s="3" t="str">
        <f>IF(ISNUMBER(SEARCH("-",V68)),IFERROR(IF($H$2="Lower", LOWER(ComputeResourceName(Z68,#REF!,#REF!,G68,N68,O68,P68,Q68,S68,T68,V68,A68)), UPPER(ComputeResourceName(Z68,#REF!,#REF!,G68,N68,O68,P68,Q68,S68,T68,V68,A68))),""),SUBSTITUTE(IFERROR(IF($H$2="Lower", LOWER(ComputeResourceName(#REF!,#REF!,#REF!,G68,N68,O68,P68,Q68,S68,T68,V68,A68)), UPPER(ComputeResourceName(#REF!,#REF!,#REF!,G68,N68,O68,P68,Q68,S68,T68,V68,A68))),""), "-",""))</f>
        <v/>
      </c>
      <c r="L68" s="3" t="str">
        <f xml:space="preserve"> IF(K68="","",  IFERROR(VLOOKUP(I68,Resources!$B$1:$H$1503,5,FALSE)-LEN(K68),0))</f>
        <v/>
      </c>
      <c r="M68" s="3" t="str">
        <f>IF(K68="","",IFERROR(matches(K68,VLOOKUP(I68,Resources!$A$2:$AA$1503,16,FALSE)),FALSE))</f>
        <v/>
      </c>
      <c r="N68" s="3" t="e">
        <f>VLOOKUP(E68,Enviroments!$A$3:$D$59,1,FALSE)</f>
        <v>#N/A</v>
      </c>
      <c r="O68" s="3" t="e">
        <f>VLOOKUP(E68,Enviroments!$A$3:$D$59,2,FALSE)</f>
        <v>#N/A</v>
      </c>
      <c r="P68" s="3" t="e">
        <f>VLOOKUP(E68,Enviroments!$A$3:$D$59,3,FALSE)</f>
        <v>#N/A</v>
      </c>
      <c r="Q68" s="3" t="e">
        <f>VLOOKUP(E68,Enviroments!$A$3:$D$59,4,FALSE)</f>
        <v>#N/A</v>
      </c>
      <c r="R68" s="3" t="e">
        <f>VLOOKUP(H68,AzureRegions!$A$4:$B$1493,1,FALSE)</f>
        <v>#N/A</v>
      </c>
      <c r="S68" s="3" t="e">
        <f>VLOOKUP(H68,AzureRegions!$A$4:$B$1493,2,FALSE)</f>
        <v>#N/A</v>
      </c>
      <c r="T68" s="3" t="e">
        <f>VLOOKUP(H68,AzureRegions!$A$4:$C$1493,3,FALSE)</f>
        <v>#N/A</v>
      </c>
      <c r="U68" s="3" t="e">
        <f>VLOOKUP(I68,Resources!$A$2:$AA$1503,2,FALSE)</f>
        <v>#N/A</v>
      </c>
      <c r="V68" s="3" t="e">
        <f>VLOOKUP(I68,Resources!$A$2:$H$1503,6,FALSE)</f>
        <v>#N/A</v>
      </c>
      <c r="W68" s="3" t="str">
        <f>VLOOKUP($H$2,Casing!$A$4:$A$60,1,FALSE)</f>
        <v>Lower</v>
      </c>
      <c r="X68" s="14" t="str">
        <f t="shared" si="1"/>
        <v>001</v>
      </c>
      <c r="Y68" s="3" t="str">
        <f>IFERROR(VLOOKUP(F68,Func!$A$4:$G$1500,2,FALSE),"none")</f>
        <v>none</v>
      </c>
      <c r="Z68" s="3" t="e">
        <f>VLOOKUP(I68,Resources!$A$2:$AA$1503,18,FALSE)</f>
        <v>#N/A</v>
      </c>
      <c r="AA68" s="3" t="str">
        <f>IFERROR(VLOOKUP(B68,Orgs!$A$4:$G$1500,2,FALSE),"none")</f>
        <v>none</v>
      </c>
      <c r="AB68" s="3" t="str">
        <f>IFERROR(VLOOKUP(C68,UnitsDepts!$A$4:$G$1500,2,FALSE),"none")</f>
        <v>none</v>
      </c>
      <c r="AC68" s="3" t="str">
        <f>IFERROR(VLOOKUP(D68,ProjAppSvc!$A$4:$G$1500,2,FALSE),"none")</f>
        <v>none</v>
      </c>
    </row>
    <row r="69" spans="1:29" x14ac:dyDescent="0.45">
      <c r="A69" s="14" t="s">
        <v>23</v>
      </c>
      <c r="B69" s="14"/>
      <c r="C69" s="14"/>
      <c r="D69" s="14"/>
      <c r="H69" s="8"/>
      <c r="I69" s="3"/>
      <c r="J69" s="3" t="str">
        <f t="shared" si="2"/>
        <v/>
      </c>
      <c r="K69" s="3" t="str">
        <f>IF(ISNUMBER(SEARCH("-",V69)),IFERROR(IF($H$2="Lower", LOWER(ComputeResourceName(Z69,#REF!,#REF!,G69,N69,O69,P69,Q69,S69,T69,V69,A69)), UPPER(ComputeResourceName(Z69,#REF!,#REF!,G69,N69,O69,P69,Q69,S69,T69,V69,A69))),""),SUBSTITUTE(IFERROR(IF($H$2="Lower", LOWER(ComputeResourceName(#REF!,#REF!,#REF!,G69,N69,O69,P69,Q69,S69,T69,V69,A69)), UPPER(ComputeResourceName(#REF!,#REF!,#REF!,G69,N69,O69,P69,Q69,S69,T69,V69,A69))),""), "-",""))</f>
        <v/>
      </c>
      <c r="L69" s="3" t="str">
        <f xml:space="preserve"> IF(K69="","",  IFERROR(VLOOKUP(I69,Resources!$B$1:$H$1503,5,FALSE)-LEN(K69),0))</f>
        <v/>
      </c>
      <c r="M69" s="3" t="str">
        <f>IF(K69="","",IFERROR(matches(K69,VLOOKUP(I69,Resources!$A$2:$AA$1503,16,FALSE)),FALSE))</f>
        <v/>
      </c>
      <c r="N69" s="3" t="e">
        <f>VLOOKUP(E69,Enviroments!$A$3:$D$59,1,FALSE)</f>
        <v>#N/A</v>
      </c>
      <c r="O69" s="3" t="e">
        <f>VLOOKUP(E69,Enviroments!$A$3:$D$59,2,FALSE)</f>
        <v>#N/A</v>
      </c>
      <c r="P69" s="3" t="e">
        <f>VLOOKUP(E69,Enviroments!$A$3:$D$59,3,FALSE)</f>
        <v>#N/A</v>
      </c>
      <c r="Q69" s="3" t="e">
        <f>VLOOKUP(E69,Enviroments!$A$3:$D$59,4,FALSE)</f>
        <v>#N/A</v>
      </c>
      <c r="R69" s="3" t="e">
        <f>VLOOKUP(H69,AzureRegions!$A$4:$B$1493,1,FALSE)</f>
        <v>#N/A</v>
      </c>
      <c r="S69" s="3" t="e">
        <f>VLOOKUP(H69,AzureRegions!$A$4:$B$1493,2,FALSE)</f>
        <v>#N/A</v>
      </c>
      <c r="T69" s="3" t="e">
        <f>VLOOKUP(H69,AzureRegions!$A$4:$C$1493,3,FALSE)</f>
        <v>#N/A</v>
      </c>
      <c r="U69" s="3" t="e">
        <f>VLOOKUP(I69,Resources!$A$2:$AA$1503,2,FALSE)</f>
        <v>#N/A</v>
      </c>
      <c r="V69" s="3" t="e">
        <f>VLOOKUP(I69,Resources!$A$2:$H$1503,6,FALSE)</f>
        <v>#N/A</v>
      </c>
      <c r="W69" s="3" t="str">
        <f>VLOOKUP($H$2,Casing!$A$4:$A$60,1,FALSE)</f>
        <v>Lower</v>
      </c>
      <c r="X69" s="14" t="str">
        <f t="shared" si="1"/>
        <v>001</v>
      </c>
      <c r="Y69" s="3" t="str">
        <f>IFERROR(VLOOKUP(F69,Func!$A$4:$G$1500,2,FALSE),"none")</f>
        <v>none</v>
      </c>
      <c r="Z69" s="3" t="e">
        <f>VLOOKUP(I69,Resources!$A$2:$AA$1503,18,FALSE)</f>
        <v>#N/A</v>
      </c>
      <c r="AA69" s="3" t="str">
        <f>IFERROR(VLOOKUP(B69,Orgs!$A$4:$G$1500,2,FALSE),"none")</f>
        <v>none</v>
      </c>
      <c r="AB69" s="3" t="str">
        <f>IFERROR(VLOOKUP(C69,UnitsDepts!$A$4:$G$1500,2,FALSE),"none")</f>
        <v>none</v>
      </c>
      <c r="AC69" s="3" t="str">
        <f>IFERROR(VLOOKUP(D69,ProjAppSvc!$A$4:$G$1500,2,FALSE),"none")</f>
        <v>none</v>
      </c>
    </row>
    <row r="70" spans="1:29" x14ac:dyDescent="0.45">
      <c r="A70" s="14" t="s">
        <v>23</v>
      </c>
      <c r="B70" s="14"/>
      <c r="C70" s="14"/>
      <c r="D70" s="14"/>
      <c r="H70" s="8"/>
      <c r="I70" s="3"/>
      <c r="J70" s="3" t="str">
        <f t="shared" si="2"/>
        <v/>
      </c>
      <c r="K70" s="3" t="str">
        <f>IF(ISNUMBER(SEARCH("-",V70)),IFERROR(IF($H$2="Lower", LOWER(ComputeResourceName(Z70,#REF!,#REF!,G70,N70,O70,P70,Q70,S70,T70,V70,A70)), UPPER(ComputeResourceName(Z70,#REF!,#REF!,G70,N70,O70,P70,Q70,S70,T70,V70,A70))),""),SUBSTITUTE(IFERROR(IF($H$2="Lower", LOWER(ComputeResourceName(#REF!,#REF!,#REF!,G70,N70,O70,P70,Q70,S70,T70,V70,A70)), UPPER(ComputeResourceName(#REF!,#REF!,#REF!,G70,N70,O70,P70,Q70,S70,T70,V70,A70))),""), "-",""))</f>
        <v/>
      </c>
      <c r="L70" s="3" t="str">
        <f xml:space="preserve"> IF(K70="","",  IFERROR(VLOOKUP(I70,Resources!$B$1:$H$1503,5,FALSE)-LEN(K70),0))</f>
        <v/>
      </c>
      <c r="M70" s="3" t="str">
        <f>IF(K70="","",IFERROR(matches(K70,VLOOKUP(I70,Resources!$A$2:$AA$1503,16,FALSE)),FALSE))</f>
        <v/>
      </c>
      <c r="N70" s="3" t="e">
        <f>VLOOKUP(E70,Enviroments!$A$3:$D$59,1,FALSE)</f>
        <v>#N/A</v>
      </c>
      <c r="O70" s="3" t="e">
        <f>VLOOKUP(E70,Enviroments!$A$3:$D$59,2,FALSE)</f>
        <v>#N/A</v>
      </c>
      <c r="P70" s="3" t="e">
        <f>VLOOKUP(E70,Enviroments!$A$3:$D$59,3,FALSE)</f>
        <v>#N/A</v>
      </c>
      <c r="Q70" s="3" t="e">
        <f>VLOOKUP(E70,Enviroments!$A$3:$D$59,4,FALSE)</f>
        <v>#N/A</v>
      </c>
      <c r="R70" s="3" t="e">
        <f>VLOOKUP(H70,AzureRegions!$A$4:$B$1493,1,FALSE)</f>
        <v>#N/A</v>
      </c>
      <c r="S70" s="3" t="e">
        <f>VLOOKUP(H70,AzureRegions!$A$4:$B$1493,2,FALSE)</f>
        <v>#N/A</v>
      </c>
      <c r="T70" s="3" t="e">
        <f>VLOOKUP(H70,AzureRegions!$A$4:$C$1493,3,FALSE)</f>
        <v>#N/A</v>
      </c>
      <c r="U70" s="3" t="e">
        <f>VLOOKUP(I70,Resources!$A$2:$AA$1503,2,FALSE)</f>
        <v>#N/A</v>
      </c>
      <c r="V70" s="3" t="e">
        <f>VLOOKUP(I70,Resources!$A$2:$H$1503,6,FALSE)</f>
        <v>#N/A</v>
      </c>
      <c r="W70" s="3" t="str">
        <f>VLOOKUP($H$2,Casing!$A$4:$A$60,1,FALSE)</f>
        <v>Lower</v>
      </c>
      <c r="X70" s="14" t="str">
        <f t="shared" si="1"/>
        <v>001</v>
      </c>
      <c r="Y70" s="3" t="str">
        <f>IFERROR(VLOOKUP(F70,Func!$A$4:$G$1500,2,FALSE),"none")</f>
        <v>none</v>
      </c>
      <c r="Z70" s="3" t="e">
        <f>VLOOKUP(I70,Resources!$A$2:$AA$1503,18,FALSE)</f>
        <v>#N/A</v>
      </c>
      <c r="AA70" s="3" t="str">
        <f>IFERROR(VLOOKUP(B70,Orgs!$A$4:$G$1500,2,FALSE),"none")</f>
        <v>none</v>
      </c>
      <c r="AB70" s="3" t="str">
        <f>IFERROR(VLOOKUP(C70,UnitsDepts!$A$4:$G$1500,2,FALSE),"none")</f>
        <v>none</v>
      </c>
      <c r="AC70" s="3" t="str">
        <f>IFERROR(VLOOKUP(D70,ProjAppSvc!$A$4:$G$1500,2,FALSE),"none")</f>
        <v>none</v>
      </c>
    </row>
    <row r="71" spans="1:29" x14ac:dyDescent="0.45">
      <c r="A71" s="14" t="s">
        <v>23</v>
      </c>
      <c r="B71" s="14"/>
      <c r="C71" s="14"/>
      <c r="D71" s="14"/>
      <c r="H71" s="8"/>
      <c r="I71" s="3"/>
      <c r="J71" s="3" t="str">
        <f t="shared" si="2"/>
        <v/>
      </c>
      <c r="K71" s="3" t="str">
        <f>IF(ISNUMBER(SEARCH("-",V71)),IFERROR(IF($H$2="Lower", LOWER(ComputeResourceName(Z71,#REF!,#REF!,G71,N71,O71,P71,Q71,S71,T71,V71,A71)), UPPER(ComputeResourceName(Z71,#REF!,#REF!,G71,N71,O71,P71,Q71,S71,T71,V71,A71))),""),SUBSTITUTE(IFERROR(IF($H$2="Lower", LOWER(ComputeResourceName(#REF!,#REF!,#REF!,G71,N71,O71,P71,Q71,S71,T71,V71,A71)), UPPER(ComputeResourceName(#REF!,#REF!,#REF!,G71,N71,O71,P71,Q71,S71,T71,V71,A71))),""), "-",""))</f>
        <v/>
      </c>
      <c r="L71" s="3" t="str">
        <f xml:space="preserve"> IF(K71="","",  IFERROR(VLOOKUP(I71,Resources!$B$1:$H$1503,5,FALSE)-LEN(K71),0))</f>
        <v/>
      </c>
      <c r="M71" s="3" t="str">
        <f>IF(K71="","",IFERROR(matches(K71,VLOOKUP(I71,Resources!$A$2:$AA$1503,16,FALSE)),FALSE))</f>
        <v/>
      </c>
      <c r="N71" s="3" t="e">
        <f>VLOOKUP(E71,Enviroments!$A$3:$D$59,1,FALSE)</f>
        <v>#N/A</v>
      </c>
      <c r="O71" s="3" t="e">
        <f>VLOOKUP(E71,Enviroments!$A$3:$D$59,2,FALSE)</f>
        <v>#N/A</v>
      </c>
      <c r="P71" s="3" t="e">
        <f>VLOOKUP(E71,Enviroments!$A$3:$D$59,3,FALSE)</f>
        <v>#N/A</v>
      </c>
      <c r="Q71" s="3" t="e">
        <f>VLOOKUP(E71,Enviroments!$A$3:$D$59,4,FALSE)</f>
        <v>#N/A</v>
      </c>
      <c r="R71" s="3" t="e">
        <f>VLOOKUP(H71,AzureRegions!$A$4:$B$1493,1,FALSE)</f>
        <v>#N/A</v>
      </c>
      <c r="S71" s="3" t="e">
        <f>VLOOKUP(H71,AzureRegions!$A$4:$B$1493,2,FALSE)</f>
        <v>#N/A</v>
      </c>
      <c r="T71" s="3" t="e">
        <f>VLOOKUP(H71,AzureRegions!$A$4:$C$1493,3,FALSE)</f>
        <v>#N/A</v>
      </c>
      <c r="U71" s="3" t="e">
        <f>VLOOKUP(I71,Resources!$A$2:$AA$1503,2,FALSE)</f>
        <v>#N/A</v>
      </c>
      <c r="V71" s="3" t="e">
        <f>VLOOKUP(I71,Resources!$A$2:$H$1503,6,FALSE)</f>
        <v>#N/A</v>
      </c>
      <c r="W71" s="3" t="str">
        <f>VLOOKUP($H$2,Casing!$A$4:$A$60,1,FALSE)</f>
        <v>Lower</v>
      </c>
      <c r="X71" s="14" t="str">
        <f t="shared" ref="X71:X134" si="3">A71</f>
        <v>001</v>
      </c>
      <c r="Y71" s="3" t="str">
        <f>IFERROR(VLOOKUP(F71,Func!$A$4:$G$1500,2,FALSE),"none")</f>
        <v>none</v>
      </c>
      <c r="Z71" s="3" t="e">
        <f>VLOOKUP(I71,Resources!$A$2:$AA$1503,18,FALSE)</f>
        <v>#N/A</v>
      </c>
      <c r="AA71" s="3" t="str">
        <f>IFERROR(VLOOKUP(B71,Orgs!$A$4:$G$1500,2,FALSE),"none")</f>
        <v>none</v>
      </c>
      <c r="AB71" s="3" t="str">
        <f>IFERROR(VLOOKUP(C71,UnitsDepts!$A$4:$G$1500,2,FALSE),"none")</f>
        <v>none</v>
      </c>
      <c r="AC71" s="3" t="str">
        <f>IFERROR(VLOOKUP(D71,ProjAppSvc!$A$4:$G$1500,2,FALSE),"none")</f>
        <v>none</v>
      </c>
    </row>
    <row r="72" spans="1:29" x14ac:dyDescent="0.45">
      <c r="A72" s="14" t="s">
        <v>23</v>
      </c>
      <c r="B72" s="14"/>
      <c r="C72" s="14"/>
      <c r="D72" s="14"/>
      <c r="H72" s="8"/>
      <c r="I72" s="3"/>
      <c r="J72" s="3" t="str">
        <f t="shared" si="2"/>
        <v/>
      </c>
      <c r="K72" s="3" t="str">
        <f>IF(ISNUMBER(SEARCH("-",V72)),IFERROR(IF($H$2="Lower", LOWER(ComputeResourceName(Z72,#REF!,#REF!,G72,N72,O72,P72,Q72,S72,T72,V72,A72)), UPPER(ComputeResourceName(Z72,#REF!,#REF!,G72,N72,O72,P72,Q72,S72,T72,V72,A72))),""),SUBSTITUTE(IFERROR(IF($H$2="Lower", LOWER(ComputeResourceName(#REF!,#REF!,#REF!,G72,N72,O72,P72,Q72,S72,T72,V72,A72)), UPPER(ComputeResourceName(#REF!,#REF!,#REF!,G72,N72,O72,P72,Q72,S72,T72,V72,A72))),""), "-",""))</f>
        <v/>
      </c>
      <c r="L72" s="3" t="str">
        <f xml:space="preserve"> IF(K72="","",  IFERROR(VLOOKUP(I72,Resources!$B$1:$H$1503,5,FALSE)-LEN(K72),0))</f>
        <v/>
      </c>
      <c r="M72" s="3" t="str">
        <f>IF(K72="","",IFERROR(matches(K72,VLOOKUP(I72,Resources!$A$2:$AA$1503,16,FALSE)),FALSE))</f>
        <v/>
      </c>
      <c r="N72" s="3" t="e">
        <f>VLOOKUP(E72,Enviroments!$A$3:$D$59,1,FALSE)</f>
        <v>#N/A</v>
      </c>
      <c r="O72" s="3" t="e">
        <f>VLOOKUP(E72,Enviroments!$A$3:$D$59,2,FALSE)</f>
        <v>#N/A</v>
      </c>
      <c r="P72" s="3" t="e">
        <f>VLOOKUP(E72,Enviroments!$A$3:$D$59,3,FALSE)</f>
        <v>#N/A</v>
      </c>
      <c r="Q72" s="3" t="e">
        <f>VLOOKUP(E72,Enviroments!$A$3:$D$59,4,FALSE)</f>
        <v>#N/A</v>
      </c>
      <c r="R72" s="3" t="e">
        <f>VLOOKUP(H72,AzureRegions!$A$4:$B$1493,1,FALSE)</f>
        <v>#N/A</v>
      </c>
      <c r="S72" s="3" t="e">
        <f>VLOOKUP(H72,AzureRegions!$A$4:$B$1493,2,FALSE)</f>
        <v>#N/A</v>
      </c>
      <c r="T72" s="3" t="e">
        <f>VLOOKUP(H72,AzureRegions!$A$4:$C$1493,3,FALSE)</f>
        <v>#N/A</v>
      </c>
      <c r="U72" s="3" t="e">
        <f>VLOOKUP(I72,Resources!$A$2:$AA$1503,2,FALSE)</f>
        <v>#N/A</v>
      </c>
      <c r="V72" s="3" t="e">
        <f>VLOOKUP(I72,Resources!$A$2:$H$1503,6,FALSE)</f>
        <v>#N/A</v>
      </c>
      <c r="W72" s="3" t="str">
        <f>VLOOKUP($H$2,Casing!$A$4:$A$60,1,FALSE)</f>
        <v>Lower</v>
      </c>
      <c r="X72" s="14" t="str">
        <f t="shared" si="3"/>
        <v>001</v>
      </c>
      <c r="Y72" s="3" t="str">
        <f>IFERROR(VLOOKUP(F72,Func!$A$4:$G$1500,2,FALSE),"none")</f>
        <v>none</v>
      </c>
      <c r="Z72" s="3" t="e">
        <f>VLOOKUP(I72,Resources!$A$2:$AA$1503,18,FALSE)</f>
        <v>#N/A</v>
      </c>
      <c r="AA72" s="3" t="str">
        <f>IFERROR(VLOOKUP(B72,Orgs!$A$4:$G$1500,2,FALSE),"none")</f>
        <v>none</v>
      </c>
      <c r="AB72" s="3" t="str">
        <f>IFERROR(VLOOKUP(C72,UnitsDepts!$A$4:$G$1500,2,FALSE),"none")</f>
        <v>none</v>
      </c>
      <c r="AC72" s="3" t="str">
        <f>IFERROR(VLOOKUP(D72,ProjAppSvc!$A$4:$G$1500,2,FALSE),"none")</f>
        <v>none</v>
      </c>
    </row>
    <row r="73" spans="1:29" x14ac:dyDescent="0.45">
      <c r="A73" s="14" t="s">
        <v>23</v>
      </c>
      <c r="B73" s="14"/>
      <c r="C73" s="14"/>
      <c r="D73" s="14"/>
      <c r="H73" s="8"/>
      <c r="I73" s="3"/>
      <c r="J73" s="3" t="str">
        <f t="shared" si="2"/>
        <v/>
      </c>
      <c r="K73" s="3" t="str">
        <f>IF(ISNUMBER(SEARCH("-",V73)),IFERROR(IF($H$2="Lower", LOWER(ComputeResourceName(Z73,#REF!,#REF!,G73,N73,O73,P73,Q73,S73,T73,V73,A73)), UPPER(ComputeResourceName(Z73,#REF!,#REF!,G73,N73,O73,P73,Q73,S73,T73,V73,A73))),""),SUBSTITUTE(IFERROR(IF($H$2="Lower", LOWER(ComputeResourceName(#REF!,#REF!,#REF!,G73,N73,O73,P73,Q73,S73,T73,V73,A73)), UPPER(ComputeResourceName(#REF!,#REF!,#REF!,G73,N73,O73,P73,Q73,S73,T73,V73,A73))),""), "-",""))</f>
        <v/>
      </c>
      <c r="L73" s="3" t="str">
        <f xml:space="preserve"> IF(K73="","",  IFERROR(VLOOKUP(I73,Resources!$B$1:$H$1503,5,FALSE)-LEN(K73),0))</f>
        <v/>
      </c>
      <c r="M73" s="3" t="str">
        <f>IF(K73="","",IFERROR(matches(K73,VLOOKUP(I73,Resources!$A$2:$AA$1503,16,FALSE)),FALSE))</f>
        <v/>
      </c>
      <c r="N73" s="3" t="e">
        <f>VLOOKUP(E73,Enviroments!$A$3:$D$59,1,FALSE)</f>
        <v>#N/A</v>
      </c>
      <c r="O73" s="3" t="e">
        <f>VLOOKUP(E73,Enviroments!$A$3:$D$59,2,FALSE)</f>
        <v>#N/A</v>
      </c>
      <c r="P73" s="3" t="e">
        <f>VLOOKUP(E73,Enviroments!$A$3:$D$59,3,FALSE)</f>
        <v>#N/A</v>
      </c>
      <c r="Q73" s="3" t="e">
        <f>VLOOKUP(E73,Enviroments!$A$3:$D$59,4,FALSE)</f>
        <v>#N/A</v>
      </c>
      <c r="R73" s="3" t="e">
        <f>VLOOKUP(H73,AzureRegions!$A$4:$B$1493,1,FALSE)</f>
        <v>#N/A</v>
      </c>
      <c r="S73" s="3" t="e">
        <f>VLOOKUP(H73,AzureRegions!$A$4:$B$1493,2,FALSE)</f>
        <v>#N/A</v>
      </c>
      <c r="T73" s="3" t="e">
        <f>VLOOKUP(H73,AzureRegions!$A$4:$C$1493,3,FALSE)</f>
        <v>#N/A</v>
      </c>
      <c r="U73" s="3" t="e">
        <f>VLOOKUP(I73,Resources!$A$2:$AA$1503,2,FALSE)</f>
        <v>#N/A</v>
      </c>
      <c r="V73" s="3" t="e">
        <f>VLOOKUP(I73,Resources!$A$2:$H$1503,6,FALSE)</f>
        <v>#N/A</v>
      </c>
      <c r="W73" s="3" t="str">
        <f>VLOOKUP($H$2,Casing!$A$4:$A$60,1,FALSE)</f>
        <v>Lower</v>
      </c>
      <c r="X73" s="14" t="str">
        <f t="shared" si="3"/>
        <v>001</v>
      </c>
      <c r="Y73" s="3" t="str">
        <f>IFERROR(VLOOKUP(F73,Func!$A$4:$G$1500,2,FALSE),"none")</f>
        <v>none</v>
      </c>
      <c r="Z73" s="3" t="e">
        <f>VLOOKUP(I73,Resources!$A$2:$AA$1503,18,FALSE)</f>
        <v>#N/A</v>
      </c>
      <c r="AA73" s="3" t="str">
        <f>IFERROR(VLOOKUP(B73,Orgs!$A$4:$G$1500,2,FALSE),"none")</f>
        <v>none</v>
      </c>
      <c r="AB73" s="3" t="str">
        <f>IFERROR(VLOOKUP(C73,UnitsDepts!$A$4:$G$1500,2,FALSE),"none")</f>
        <v>none</v>
      </c>
      <c r="AC73" s="3" t="str">
        <f>IFERROR(VLOOKUP(D73,ProjAppSvc!$A$4:$G$1500,2,FALSE),"none")</f>
        <v>none</v>
      </c>
    </row>
    <row r="74" spans="1:29" x14ac:dyDescent="0.45">
      <c r="A74" s="14" t="s">
        <v>23</v>
      </c>
      <c r="B74" s="14"/>
      <c r="C74" s="14"/>
      <c r="D74" s="14"/>
      <c r="H74" s="8"/>
      <c r="I74" s="3"/>
      <c r="J74" s="3" t="str">
        <f t="shared" si="2"/>
        <v/>
      </c>
      <c r="K74" s="3" t="str">
        <f>IF(ISNUMBER(SEARCH("-",V74)),IFERROR(IF($H$2="Lower", LOWER(ComputeResourceName(Z74,#REF!,#REF!,G74,N74,O74,P74,Q74,S74,T74,V74,A74)), UPPER(ComputeResourceName(Z74,#REF!,#REF!,G74,N74,O74,P74,Q74,S74,T74,V74,A74))),""),SUBSTITUTE(IFERROR(IF($H$2="Lower", LOWER(ComputeResourceName(#REF!,#REF!,#REF!,G74,N74,O74,P74,Q74,S74,T74,V74,A74)), UPPER(ComputeResourceName(#REF!,#REF!,#REF!,G74,N74,O74,P74,Q74,S74,T74,V74,A74))),""), "-",""))</f>
        <v/>
      </c>
      <c r="L74" s="3" t="str">
        <f xml:space="preserve"> IF(K74="","",  IFERROR(VLOOKUP(I74,Resources!$B$1:$H$1503,5,FALSE)-LEN(K74),0))</f>
        <v/>
      </c>
      <c r="M74" s="3" t="str">
        <f>IF(K74="","",IFERROR(matches(K74,VLOOKUP(I74,Resources!$A$2:$AA$1503,16,FALSE)),FALSE))</f>
        <v/>
      </c>
      <c r="N74" s="3" t="e">
        <f>VLOOKUP(E74,Enviroments!$A$3:$D$59,1,FALSE)</f>
        <v>#N/A</v>
      </c>
      <c r="O74" s="3" t="e">
        <f>VLOOKUP(E74,Enviroments!$A$3:$D$59,2,FALSE)</f>
        <v>#N/A</v>
      </c>
      <c r="P74" s="3" t="e">
        <f>VLOOKUP(E74,Enviroments!$A$3:$D$59,3,FALSE)</f>
        <v>#N/A</v>
      </c>
      <c r="Q74" s="3" t="e">
        <f>VLOOKUP(E74,Enviroments!$A$3:$D$59,4,FALSE)</f>
        <v>#N/A</v>
      </c>
      <c r="R74" s="3" t="e">
        <f>VLOOKUP(H74,AzureRegions!$A$4:$B$1493,1,FALSE)</f>
        <v>#N/A</v>
      </c>
      <c r="S74" s="3" t="e">
        <f>VLOOKUP(H74,AzureRegions!$A$4:$B$1493,2,FALSE)</f>
        <v>#N/A</v>
      </c>
      <c r="T74" s="3" t="e">
        <f>VLOOKUP(H74,AzureRegions!$A$4:$C$1493,3,FALSE)</f>
        <v>#N/A</v>
      </c>
      <c r="U74" s="3" t="e">
        <f>VLOOKUP(I74,Resources!$A$2:$AA$1503,2,FALSE)</f>
        <v>#N/A</v>
      </c>
      <c r="V74" s="3" t="e">
        <f>VLOOKUP(I74,Resources!$A$2:$H$1503,6,FALSE)</f>
        <v>#N/A</v>
      </c>
      <c r="W74" s="3" t="str">
        <f>VLOOKUP($H$2,Casing!$A$4:$A$60,1,FALSE)</f>
        <v>Lower</v>
      </c>
      <c r="X74" s="14" t="str">
        <f t="shared" si="3"/>
        <v>001</v>
      </c>
      <c r="Y74" s="3" t="str">
        <f>IFERROR(VLOOKUP(F74,Func!$A$4:$G$1500,2,FALSE),"none")</f>
        <v>none</v>
      </c>
      <c r="Z74" s="3" t="e">
        <f>VLOOKUP(I74,Resources!$A$2:$AA$1503,18,FALSE)</f>
        <v>#N/A</v>
      </c>
      <c r="AA74" s="3" t="str">
        <f>IFERROR(VLOOKUP(B74,Orgs!$A$4:$G$1500,2,FALSE),"none")</f>
        <v>none</v>
      </c>
      <c r="AB74" s="3" t="str">
        <f>IFERROR(VLOOKUP(C74,UnitsDepts!$A$4:$G$1500,2,FALSE),"none")</f>
        <v>none</v>
      </c>
      <c r="AC74" s="3" t="str">
        <f>IFERROR(VLOOKUP(D74,ProjAppSvc!$A$4:$G$1500,2,FALSE),"none")</f>
        <v>none</v>
      </c>
    </row>
    <row r="75" spans="1:29" x14ac:dyDescent="0.45">
      <c r="A75" s="14" t="s">
        <v>23</v>
      </c>
      <c r="B75" s="14"/>
      <c r="C75" s="14"/>
      <c r="D75" s="14"/>
      <c r="H75" s="8"/>
      <c r="I75" s="3"/>
      <c r="J75" s="3" t="str">
        <f t="shared" si="2"/>
        <v/>
      </c>
      <c r="K75" s="3" t="str">
        <f>IF(ISNUMBER(SEARCH("-",V75)),IFERROR(IF($H$2="Lower", LOWER(ComputeResourceName(Z75,#REF!,#REF!,G75,N75,O75,P75,Q75,S75,T75,V75,A75)), UPPER(ComputeResourceName(Z75,#REF!,#REF!,G75,N75,O75,P75,Q75,S75,T75,V75,A75))),""),SUBSTITUTE(IFERROR(IF($H$2="Lower", LOWER(ComputeResourceName(#REF!,#REF!,#REF!,G75,N75,O75,P75,Q75,S75,T75,V75,A75)), UPPER(ComputeResourceName(#REF!,#REF!,#REF!,G75,N75,O75,P75,Q75,S75,T75,V75,A75))),""), "-",""))</f>
        <v/>
      </c>
      <c r="L75" s="3" t="str">
        <f xml:space="preserve"> IF(K75="","",  IFERROR(VLOOKUP(I75,Resources!$B$1:$H$1503,5,FALSE)-LEN(K75),0))</f>
        <v/>
      </c>
      <c r="M75" s="3" t="str">
        <f>IF(K75="","",IFERROR(matches(K75,VLOOKUP(I75,Resources!$A$2:$AA$1503,16,FALSE)),FALSE))</f>
        <v/>
      </c>
      <c r="N75" s="3" t="e">
        <f>VLOOKUP(E75,Enviroments!$A$3:$D$59,1,FALSE)</f>
        <v>#N/A</v>
      </c>
      <c r="O75" s="3" t="e">
        <f>VLOOKUP(E75,Enviroments!$A$3:$D$59,2,FALSE)</f>
        <v>#N/A</v>
      </c>
      <c r="P75" s="3" t="e">
        <f>VLOOKUP(E75,Enviroments!$A$3:$D$59,3,FALSE)</f>
        <v>#N/A</v>
      </c>
      <c r="Q75" s="3" t="e">
        <f>VLOOKUP(E75,Enviroments!$A$3:$D$59,4,FALSE)</f>
        <v>#N/A</v>
      </c>
      <c r="R75" s="3" t="e">
        <f>VLOOKUP(H75,AzureRegions!$A$4:$B$1493,1,FALSE)</f>
        <v>#N/A</v>
      </c>
      <c r="S75" s="3" t="e">
        <f>VLOOKUP(H75,AzureRegions!$A$4:$B$1493,2,FALSE)</f>
        <v>#N/A</v>
      </c>
      <c r="T75" s="3" t="e">
        <f>VLOOKUP(H75,AzureRegions!$A$4:$C$1493,3,FALSE)</f>
        <v>#N/A</v>
      </c>
      <c r="U75" s="3" t="e">
        <f>VLOOKUP(I75,Resources!$A$2:$AA$1503,2,FALSE)</f>
        <v>#N/A</v>
      </c>
      <c r="V75" s="3" t="e">
        <f>VLOOKUP(I75,Resources!$A$2:$H$1503,6,FALSE)</f>
        <v>#N/A</v>
      </c>
      <c r="W75" s="3" t="str">
        <f>VLOOKUP($H$2,Casing!$A$4:$A$60,1,FALSE)</f>
        <v>Lower</v>
      </c>
      <c r="X75" s="14" t="str">
        <f t="shared" si="3"/>
        <v>001</v>
      </c>
      <c r="Y75" s="3" t="str">
        <f>IFERROR(VLOOKUP(F75,Func!$A$4:$G$1500,2,FALSE),"none")</f>
        <v>none</v>
      </c>
      <c r="Z75" s="3" t="e">
        <f>VLOOKUP(I75,Resources!$A$2:$AA$1503,18,FALSE)</f>
        <v>#N/A</v>
      </c>
      <c r="AA75" s="3" t="str">
        <f>IFERROR(VLOOKUP(B75,Orgs!$A$4:$G$1500,2,FALSE),"none")</f>
        <v>none</v>
      </c>
      <c r="AB75" s="3" t="str">
        <f>IFERROR(VLOOKUP(C75,UnitsDepts!$A$4:$G$1500,2,FALSE),"none")</f>
        <v>none</v>
      </c>
      <c r="AC75" s="3" t="str">
        <f>IFERROR(VLOOKUP(D75,ProjAppSvc!$A$4:$G$1500,2,FALSE),"none")</f>
        <v>none</v>
      </c>
    </row>
    <row r="76" spans="1:29" x14ac:dyDescent="0.45">
      <c r="A76" s="14" t="s">
        <v>23</v>
      </c>
      <c r="B76" s="14"/>
      <c r="C76" s="14"/>
      <c r="D76" s="14"/>
      <c r="H76" s="8"/>
      <c r="I76" s="3"/>
      <c r="J76" s="3" t="str">
        <f t="shared" si="2"/>
        <v/>
      </c>
      <c r="K76" s="3" t="str">
        <f>IF(ISNUMBER(SEARCH("-",V76)),IFERROR(IF($H$2="Lower", LOWER(ComputeResourceName(Z76,#REF!,#REF!,G76,N76,O76,P76,Q76,S76,T76,V76,A76)), UPPER(ComputeResourceName(Z76,#REF!,#REF!,G76,N76,O76,P76,Q76,S76,T76,V76,A76))),""),SUBSTITUTE(IFERROR(IF($H$2="Lower", LOWER(ComputeResourceName(#REF!,#REF!,#REF!,G76,N76,O76,P76,Q76,S76,T76,V76,A76)), UPPER(ComputeResourceName(#REF!,#REF!,#REF!,G76,N76,O76,P76,Q76,S76,T76,V76,A76))),""), "-",""))</f>
        <v/>
      </c>
      <c r="L76" s="3" t="str">
        <f xml:space="preserve"> IF(K76="","",  IFERROR(VLOOKUP(I76,Resources!$B$1:$H$1503,5,FALSE)-LEN(K76),0))</f>
        <v/>
      </c>
      <c r="M76" s="3" t="str">
        <f>IF(K76="","",IFERROR(matches(K76,VLOOKUP(I76,Resources!$A$2:$AA$1503,16,FALSE)),FALSE))</f>
        <v/>
      </c>
      <c r="N76" s="3" t="e">
        <f>VLOOKUP(E76,Enviroments!$A$3:$D$59,1,FALSE)</f>
        <v>#N/A</v>
      </c>
      <c r="O76" s="3" t="e">
        <f>VLOOKUP(E76,Enviroments!$A$3:$D$59,2,FALSE)</f>
        <v>#N/A</v>
      </c>
      <c r="P76" s="3" t="e">
        <f>VLOOKUP(E76,Enviroments!$A$3:$D$59,3,FALSE)</f>
        <v>#N/A</v>
      </c>
      <c r="Q76" s="3" t="e">
        <f>VLOOKUP(E76,Enviroments!$A$3:$D$59,4,FALSE)</f>
        <v>#N/A</v>
      </c>
      <c r="R76" s="3" t="e">
        <f>VLOOKUP(H76,AzureRegions!$A$4:$B$1493,1,FALSE)</f>
        <v>#N/A</v>
      </c>
      <c r="S76" s="3" t="e">
        <f>VLOOKUP(H76,AzureRegions!$A$4:$B$1493,2,FALSE)</f>
        <v>#N/A</v>
      </c>
      <c r="T76" s="3" t="e">
        <f>VLOOKUP(H76,AzureRegions!$A$4:$C$1493,3,FALSE)</f>
        <v>#N/A</v>
      </c>
      <c r="U76" s="3" t="e">
        <f>VLOOKUP(I76,Resources!$A$2:$AA$1503,2,FALSE)</f>
        <v>#N/A</v>
      </c>
      <c r="V76" s="3" t="e">
        <f>VLOOKUP(I76,Resources!$A$2:$H$1503,6,FALSE)</f>
        <v>#N/A</v>
      </c>
      <c r="W76" s="3" t="str">
        <f>VLOOKUP($H$2,Casing!$A$4:$A$60,1,FALSE)</f>
        <v>Lower</v>
      </c>
      <c r="X76" s="14" t="str">
        <f t="shared" si="3"/>
        <v>001</v>
      </c>
      <c r="Y76" s="3" t="str">
        <f>IFERROR(VLOOKUP(F76,Func!$A$4:$G$1500,2,FALSE),"none")</f>
        <v>none</v>
      </c>
      <c r="Z76" s="3" t="e">
        <f>VLOOKUP(I76,Resources!$A$2:$AA$1503,18,FALSE)</f>
        <v>#N/A</v>
      </c>
      <c r="AA76" s="3" t="str">
        <f>IFERROR(VLOOKUP(B76,Orgs!$A$4:$G$1500,2,FALSE),"none")</f>
        <v>none</v>
      </c>
      <c r="AB76" s="3" t="str">
        <f>IFERROR(VLOOKUP(C76,UnitsDepts!$A$4:$G$1500,2,FALSE),"none")</f>
        <v>none</v>
      </c>
      <c r="AC76" s="3" t="str">
        <f>IFERROR(VLOOKUP(D76,ProjAppSvc!$A$4:$G$1500,2,FALSE),"none")</f>
        <v>none</v>
      </c>
    </row>
    <row r="77" spans="1:29" x14ac:dyDescent="0.45">
      <c r="A77" s="14" t="s">
        <v>23</v>
      </c>
      <c r="B77" s="14"/>
      <c r="C77" s="14"/>
      <c r="D77" s="14"/>
      <c r="H77" s="8"/>
      <c r="I77" s="3"/>
      <c r="J77" s="3" t="str">
        <f t="shared" ref="J77:J140" si="4">IFERROR(Z77, "")</f>
        <v/>
      </c>
      <c r="K77" s="3" t="str">
        <f>IF(ISNUMBER(SEARCH("-",V77)),IFERROR(IF($H$2="Lower", LOWER(ComputeResourceName(Z77,#REF!,#REF!,G77,N77,O77,P77,Q77,S77,T77,V77,A77)), UPPER(ComputeResourceName(Z77,#REF!,#REF!,G77,N77,O77,P77,Q77,S77,T77,V77,A77))),""),SUBSTITUTE(IFERROR(IF($H$2="Lower", LOWER(ComputeResourceName(#REF!,#REF!,#REF!,G77,N77,O77,P77,Q77,S77,T77,V77,A77)), UPPER(ComputeResourceName(#REF!,#REF!,#REF!,G77,N77,O77,P77,Q77,S77,T77,V77,A77))),""), "-",""))</f>
        <v/>
      </c>
      <c r="L77" s="3" t="str">
        <f xml:space="preserve"> IF(K77="","",  IFERROR(VLOOKUP(I77,Resources!$B$1:$H$1503,5,FALSE)-LEN(K77),0))</f>
        <v/>
      </c>
      <c r="M77" s="3" t="str">
        <f>IF(K77="","",IFERROR(matches(K77,VLOOKUP(I77,Resources!$A$2:$AA$1503,16,FALSE)),FALSE))</f>
        <v/>
      </c>
      <c r="N77" s="3" t="e">
        <f>VLOOKUP(E77,Enviroments!$A$3:$D$59,1,FALSE)</f>
        <v>#N/A</v>
      </c>
      <c r="O77" s="3" t="e">
        <f>VLOOKUP(E77,Enviroments!$A$3:$D$59,2,FALSE)</f>
        <v>#N/A</v>
      </c>
      <c r="P77" s="3" t="e">
        <f>VLOOKUP(E77,Enviroments!$A$3:$D$59,3,FALSE)</f>
        <v>#N/A</v>
      </c>
      <c r="Q77" s="3" t="e">
        <f>VLOOKUP(E77,Enviroments!$A$3:$D$59,4,FALSE)</f>
        <v>#N/A</v>
      </c>
      <c r="R77" s="3" t="e">
        <f>VLOOKUP(H77,AzureRegions!$A$4:$B$1493,1,FALSE)</f>
        <v>#N/A</v>
      </c>
      <c r="S77" s="3" t="e">
        <f>VLOOKUP(H77,AzureRegions!$A$4:$B$1493,2,FALSE)</f>
        <v>#N/A</v>
      </c>
      <c r="T77" s="3" t="e">
        <f>VLOOKUP(H77,AzureRegions!$A$4:$C$1493,3,FALSE)</f>
        <v>#N/A</v>
      </c>
      <c r="U77" s="3" t="e">
        <f>VLOOKUP(I77,Resources!$A$2:$AA$1503,2,FALSE)</f>
        <v>#N/A</v>
      </c>
      <c r="V77" s="3" t="e">
        <f>VLOOKUP(I77,Resources!$A$2:$H$1503,6,FALSE)</f>
        <v>#N/A</v>
      </c>
      <c r="W77" s="3" t="str">
        <f>VLOOKUP($H$2,Casing!$A$4:$A$60,1,FALSE)</f>
        <v>Lower</v>
      </c>
      <c r="X77" s="14" t="str">
        <f t="shared" si="3"/>
        <v>001</v>
      </c>
      <c r="Y77" s="3" t="str">
        <f>IFERROR(VLOOKUP(F77,Func!$A$4:$G$1500,2,FALSE),"none")</f>
        <v>none</v>
      </c>
      <c r="Z77" s="3" t="e">
        <f>VLOOKUP(I77,Resources!$A$2:$AA$1503,18,FALSE)</f>
        <v>#N/A</v>
      </c>
      <c r="AA77" s="3" t="str">
        <f>IFERROR(VLOOKUP(B77,Orgs!$A$4:$G$1500,2,FALSE),"none")</f>
        <v>none</v>
      </c>
      <c r="AB77" s="3" t="str">
        <f>IFERROR(VLOOKUP(C77,UnitsDepts!$A$4:$G$1500,2,FALSE),"none")</f>
        <v>none</v>
      </c>
      <c r="AC77" s="3" t="str">
        <f>IFERROR(VLOOKUP(D77,ProjAppSvc!$A$4:$G$1500,2,FALSE),"none")</f>
        <v>none</v>
      </c>
    </row>
    <row r="78" spans="1:29" x14ac:dyDescent="0.45">
      <c r="A78" s="14" t="s">
        <v>23</v>
      </c>
      <c r="B78" s="14"/>
      <c r="C78" s="14"/>
      <c r="D78" s="14"/>
      <c r="H78" s="8"/>
      <c r="I78" s="3"/>
      <c r="J78" s="3" t="str">
        <f t="shared" si="4"/>
        <v/>
      </c>
      <c r="K78" s="3" t="str">
        <f>IF(ISNUMBER(SEARCH("-",V78)),IFERROR(IF($H$2="Lower", LOWER(ComputeResourceName(Z78,#REF!,#REF!,G78,N78,O78,P78,Q78,S78,T78,V78,A78)), UPPER(ComputeResourceName(Z78,#REF!,#REF!,G78,N78,O78,P78,Q78,S78,T78,V78,A78))),""),SUBSTITUTE(IFERROR(IF($H$2="Lower", LOWER(ComputeResourceName(#REF!,#REF!,#REF!,G78,N78,O78,P78,Q78,S78,T78,V78,A78)), UPPER(ComputeResourceName(#REF!,#REF!,#REF!,G78,N78,O78,P78,Q78,S78,T78,V78,A78))),""), "-",""))</f>
        <v/>
      </c>
      <c r="L78" s="3" t="str">
        <f xml:space="preserve"> IF(K78="","",  IFERROR(VLOOKUP(I78,Resources!$B$1:$H$1503,5,FALSE)-LEN(K78),0))</f>
        <v/>
      </c>
      <c r="M78" s="3" t="str">
        <f>IF(K78="","",IFERROR(matches(K78,VLOOKUP(I78,Resources!$A$2:$AA$1503,16,FALSE)),FALSE))</f>
        <v/>
      </c>
      <c r="N78" s="3" t="e">
        <f>VLOOKUP(E78,Enviroments!$A$3:$D$59,1,FALSE)</f>
        <v>#N/A</v>
      </c>
      <c r="O78" s="3" t="e">
        <f>VLOOKUP(E78,Enviroments!$A$3:$D$59,2,FALSE)</f>
        <v>#N/A</v>
      </c>
      <c r="P78" s="3" t="e">
        <f>VLOOKUP(E78,Enviroments!$A$3:$D$59,3,FALSE)</f>
        <v>#N/A</v>
      </c>
      <c r="Q78" s="3" t="e">
        <f>VLOOKUP(E78,Enviroments!$A$3:$D$59,4,FALSE)</f>
        <v>#N/A</v>
      </c>
      <c r="R78" s="3" t="e">
        <f>VLOOKUP(H78,AzureRegions!$A$4:$B$1493,1,FALSE)</f>
        <v>#N/A</v>
      </c>
      <c r="S78" s="3" t="e">
        <f>VLOOKUP(H78,AzureRegions!$A$4:$B$1493,2,FALSE)</f>
        <v>#N/A</v>
      </c>
      <c r="T78" s="3" t="e">
        <f>VLOOKUP(H78,AzureRegions!$A$4:$C$1493,3,FALSE)</f>
        <v>#N/A</v>
      </c>
      <c r="U78" s="3" t="e">
        <f>VLOOKUP(I78,Resources!$A$2:$AA$1503,2,FALSE)</f>
        <v>#N/A</v>
      </c>
      <c r="V78" s="3" t="e">
        <f>VLOOKUP(I78,Resources!$A$2:$H$1503,6,FALSE)</f>
        <v>#N/A</v>
      </c>
      <c r="W78" s="3" t="str">
        <f>VLOOKUP($H$2,Casing!$A$4:$A$60,1,FALSE)</f>
        <v>Lower</v>
      </c>
      <c r="X78" s="14" t="str">
        <f t="shared" si="3"/>
        <v>001</v>
      </c>
      <c r="Y78" s="3" t="str">
        <f>IFERROR(VLOOKUP(F78,Func!$A$4:$G$1500,2,FALSE),"none")</f>
        <v>none</v>
      </c>
      <c r="Z78" s="3" t="e">
        <f>VLOOKUP(I78,Resources!$A$2:$AA$1503,18,FALSE)</f>
        <v>#N/A</v>
      </c>
      <c r="AA78" s="3" t="str">
        <f>IFERROR(VLOOKUP(B78,Orgs!$A$4:$G$1500,2,FALSE),"none")</f>
        <v>none</v>
      </c>
      <c r="AB78" s="3" t="str">
        <f>IFERROR(VLOOKUP(C78,UnitsDepts!$A$4:$G$1500,2,FALSE),"none")</f>
        <v>none</v>
      </c>
      <c r="AC78" s="3" t="str">
        <f>IFERROR(VLOOKUP(D78,ProjAppSvc!$A$4:$G$1500,2,FALSE),"none")</f>
        <v>none</v>
      </c>
    </row>
    <row r="79" spans="1:29" x14ac:dyDescent="0.45">
      <c r="A79" s="14" t="s">
        <v>23</v>
      </c>
      <c r="B79" s="14"/>
      <c r="C79" s="14"/>
      <c r="D79" s="14"/>
      <c r="H79" s="8"/>
      <c r="I79" s="3"/>
      <c r="J79" s="3" t="str">
        <f t="shared" si="4"/>
        <v/>
      </c>
      <c r="K79" s="3" t="str">
        <f>IF(ISNUMBER(SEARCH("-",V79)),IFERROR(IF($H$2="Lower", LOWER(ComputeResourceName(Z79,#REF!,#REF!,G79,N79,O79,P79,Q79,S79,T79,V79,A79)), UPPER(ComputeResourceName(Z79,#REF!,#REF!,G79,N79,O79,P79,Q79,S79,T79,V79,A79))),""),SUBSTITUTE(IFERROR(IF($H$2="Lower", LOWER(ComputeResourceName(#REF!,#REF!,#REF!,G79,N79,O79,P79,Q79,S79,T79,V79,A79)), UPPER(ComputeResourceName(#REF!,#REF!,#REF!,G79,N79,O79,P79,Q79,S79,T79,V79,A79))),""), "-",""))</f>
        <v/>
      </c>
      <c r="L79" s="3" t="str">
        <f xml:space="preserve"> IF(K79="","",  IFERROR(VLOOKUP(I79,Resources!$B$1:$H$1503,5,FALSE)-LEN(K79),0))</f>
        <v/>
      </c>
      <c r="M79" s="3" t="str">
        <f>IF(K79="","",IFERROR(matches(K79,VLOOKUP(I79,Resources!$A$2:$AA$1503,16,FALSE)),FALSE))</f>
        <v/>
      </c>
      <c r="N79" s="3" t="e">
        <f>VLOOKUP(E79,Enviroments!$A$3:$D$59,1,FALSE)</f>
        <v>#N/A</v>
      </c>
      <c r="O79" s="3" t="e">
        <f>VLOOKUP(E79,Enviroments!$A$3:$D$59,2,FALSE)</f>
        <v>#N/A</v>
      </c>
      <c r="P79" s="3" t="e">
        <f>VLOOKUP(E79,Enviroments!$A$3:$D$59,3,FALSE)</f>
        <v>#N/A</v>
      </c>
      <c r="Q79" s="3" t="e">
        <f>VLOOKUP(E79,Enviroments!$A$3:$D$59,4,FALSE)</f>
        <v>#N/A</v>
      </c>
      <c r="R79" s="3" t="e">
        <f>VLOOKUP(H79,AzureRegions!$A$4:$B$1493,1,FALSE)</f>
        <v>#N/A</v>
      </c>
      <c r="S79" s="3" t="e">
        <f>VLOOKUP(H79,AzureRegions!$A$4:$B$1493,2,FALSE)</f>
        <v>#N/A</v>
      </c>
      <c r="T79" s="3" t="e">
        <f>VLOOKUP(H79,AzureRegions!$A$4:$C$1493,3,FALSE)</f>
        <v>#N/A</v>
      </c>
      <c r="U79" s="3" t="e">
        <f>VLOOKUP(I79,Resources!$A$2:$AA$1503,2,FALSE)</f>
        <v>#N/A</v>
      </c>
      <c r="V79" s="3" t="e">
        <f>VLOOKUP(I79,Resources!$A$2:$H$1503,6,FALSE)</f>
        <v>#N/A</v>
      </c>
      <c r="W79" s="3" t="str">
        <f>VLOOKUP($H$2,Casing!$A$4:$A$60,1,FALSE)</f>
        <v>Lower</v>
      </c>
      <c r="X79" s="14" t="str">
        <f t="shared" si="3"/>
        <v>001</v>
      </c>
      <c r="Y79" s="3" t="str">
        <f>IFERROR(VLOOKUP(F79,Func!$A$4:$G$1500,2,FALSE),"none")</f>
        <v>none</v>
      </c>
      <c r="Z79" s="3" t="e">
        <f>VLOOKUP(I79,Resources!$A$2:$AA$1503,18,FALSE)</f>
        <v>#N/A</v>
      </c>
      <c r="AA79" s="3" t="str">
        <f>IFERROR(VLOOKUP(B79,Orgs!$A$4:$G$1500,2,FALSE),"none")</f>
        <v>none</v>
      </c>
      <c r="AB79" s="3" t="str">
        <f>IFERROR(VLOOKUP(C79,UnitsDepts!$A$4:$G$1500,2,FALSE),"none")</f>
        <v>none</v>
      </c>
      <c r="AC79" s="3" t="str">
        <f>IFERROR(VLOOKUP(D79,ProjAppSvc!$A$4:$G$1500,2,FALSE),"none")</f>
        <v>none</v>
      </c>
    </row>
    <row r="80" spans="1:29" x14ac:dyDescent="0.45">
      <c r="A80" s="14" t="s">
        <v>23</v>
      </c>
      <c r="B80" s="14"/>
      <c r="C80" s="14"/>
      <c r="D80" s="14"/>
      <c r="H80" s="8"/>
      <c r="I80" s="3"/>
      <c r="J80" s="3" t="str">
        <f t="shared" si="4"/>
        <v/>
      </c>
      <c r="K80" s="3" t="str">
        <f>IF(ISNUMBER(SEARCH("-",V80)),IFERROR(IF($H$2="Lower", LOWER(ComputeResourceName(Z80,#REF!,#REF!,G80,N80,O80,P80,Q80,S80,T80,V80,A80)), UPPER(ComputeResourceName(Z80,#REF!,#REF!,G80,N80,O80,P80,Q80,S80,T80,V80,A80))),""),SUBSTITUTE(IFERROR(IF($H$2="Lower", LOWER(ComputeResourceName(#REF!,#REF!,#REF!,G80,N80,O80,P80,Q80,S80,T80,V80,A80)), UPPER(ComputeResourceName(#REF!,#REF!,#REF!,G80,N80,O80,P80,Q80,S80,T80,V80,A80))),""), "-",""))</f>
        <v/>
      </c>
      <c r="L80" s="3" t="str">
        <f xml:space="preserve"> IF(K80="","",  IFERROR(VLOOKUP(I80,Resources!$B$1:$H$1503,5,FALSE)-LEN(K80),0))</f>
        <v/>
      </c>
      <c r="M80" s="3" t="str">
        <f>IF(K80="","",IFERROR(matches(K80,VLOOKUP(I80,Resources!$A$2:$AA$1503,16,FALSE)),FALSE))</f>
        <v/>
      </c>
      <c r="N80" s="3" t="e">
        <f>VLOOKUP(E80,Enviroments!$A$3:$D$59,1,FALSE)</f>
        <v>#N/A</v>
      </c>
      <c r="O80" s="3" t="e">
        <f>VLOOKUP(E80,Enviroments!$A$3:$D$59,2,FALSE)</f>
        <v>#N/A</v>
      </c>
      <c r="P80" s="3" t="e">
        <f>VLOOKUP(E80,Enviroments!$A$3:$D$59,3,FALSE)</f>
        <v>#N/A</v>
      </c>
      <c r="Q80" s="3" t="e">
        <f>VLOOKUP(E80,Enviroments!$A$3:$D$59,4,FALSE)</f>
        <v>#N/A</v>
      </c>
      <c r="R80" s="3" t="e">
        <f>VLOOKUP(H80,AzureRegions!$A$4:$B$1493,1,FALSE)</f>
        <v>#N/A</v>
      </c>
      <c r="S80" s="3" t="e">
        <f>VLOOKUP(H80,AzureRegions!$A$4:$B$1493,2,FALSE)</f>
        <v>#N/A</v>
      </c>
      <c r="T80" s="3" t="e">
        <f>VLOOKUP(H80,AzureRegions!$A$4:$C$1493,3,FALSE)</f>
        <v>#N/A</v>
      </c>
      <c r="U80" s="3" t="e">
        <f>VLOOKUP(I80,Resources!$A$2:$AA$1503,2,FALSE)</f>
        <v>#N/A</v>
      </c>
      <c r="V80" s="3" t="e">
        <f>VLOOKUP(I80,Resources!$A$2:$H$1503,6,FALSE)</f>
        <v>#N/A</v>
      </c>
      <c r="W80" s="3" t="str">
        <f>VLOOKUP($H$2,Casing!$A$4:$A$60,1,FALSE)</f>
        <v>Lower</v>
      </c>
      <c r="X80" s="14" t="str">
        <f t="shared" si="3"/>
        <v>001</v>
      </c>
      <c r="Y80" s="3" t="str">
        <f>IFERROR(VLOOKUP(F80,Func!$A$4:$G$1500,2,FALSE),"none")</f>
        <v>none</v>
      </c>
      <c r="Z80" s="3" t="e">
        <f>VLOOKUP(I80,Resources!$A$2:$AA$1503,18,FALSE)</f>
        <v>#N/A</v>
      </c>
      <c r="AA80" s="3" t="str">
        <f>IFERROR(VLOOKUP(B80,Orgs!$A$4:$G$1500,2,FALSE),"none")</f>
        <v>none</v>
      </c>
      <c r="AB80" s="3" t="str">
        <f>IFERROR(VLOOKUP(C80,UnitsDepts!$A$4:$G$1500,2,FALSE),"none")</f>
        <v>none</v>
      </c>
      <c r="AC80" s="3" t="str">
        <f>IFERROR(VLOOKUP(D80,ProjAppSvc!$A$4:$G$1500,2,FALSE),"none")</f>
        <v>none</v>
      </c>
    </row>
    <row r="81" spans="1:29" x14ac:dyDescent="0.45">
      <c r="A81" s="14" t="s">
        <v>23</v>
      </c>
      <c r="B81" s="14"/>
      <c r="C81" s="14"/>
      <c r="D81" s="14"/>
      <c r="H81" s="8"/>
      <c r="I81" s="3"/>
      <c r="J81" s="3" t="str">
        <f t="shared" si="4"/>
        <v/>
      </c>
      <c r="K81" s="3" t="str">
        <f>IF(ISNUMBER(SEARCH("-",V81)),IFERROR(IF($H$2="Lower", LOWER(ComputeResourceName(Z81,#REF!,#REF!,G81,N81,O81,P81,Q81,S81,T81,V81,A81)), UPPER(ComputeResourceName(Z81,#REF!,#REF!,G81,N81,O81,P81,Q81,S81,T81,V81,A81))),""),SUBSTITUTE(IFERROR(IF($H$2="Lower", LOWER(ComputeResourceName(#REF!,#REF!,#REF!,G81,N81,O81,P81,Q81,S81,T81,V81,A81)), UPPER(ComputeResourceName(#REF!,#REF!,#REF!,G81,N81,O81,P81,Q81,S81,T81,V81,A81))),""), "-",""))</f>
        <v/>
      </c>
      <c r="L81" s="3" t="str">
        <f xml:space="preserve"> IF(K81="","",  IFERROR(VLOOKUP(I81,Resources!$B$1:$H$1503,5,FALSE)-LEN(K81),0))</f>
        <v/>
      </c>
      <c r="M81" s="3" t="str">
        <f>IF(K81="","",IFERROR(matches(K81,VLOOKUP(I81,Resources!$A$2:$AA$1503,16,FALSE)),FALSE))</f>
        <v/>
      </c>
      <c r="N81" s="3" t="e">
        <f>VLOOKUP(E81,Enviroments!$A$3:$D$59,1,FALSE)</f>
        <v>#N/A</v>
      </c>
      <c r="O81" s="3" t="e">
        <f>VLOOKUP(E81,Enviroments!$A$3:$D$59,2,FALSE)</f>
        <v>#N/A</v>
      </c>
      <c r="P81" s="3" t="e">
        <f>VLOOKUP(E81,Enviroments!$A$3:$D$59,3,FALSE)</f>
        <v>#N/A</v>
      </c>
      <c r="Q81" s="3" t="e">
        <f>VLOOKUP(E81,Enviroments!$A$3:$D$59,4,FALSE)</f>
        <v>#N/A</v>
      </c>
      <c r="R81" s="3" t="e">
        <f>VLOOKUP(H81,AzureRegions!$A$4:$B$1493,1,FALSE)</f>
        <v>#N/A</v>
      </c>
      <c r="S81" s="3" t="e">
        <f>VLOOKUP(H81,AzureRegions!$A$4:$B$1493,2,FALSE)</f>
        <v>#N/A</v>
      </c>
      <c r="T81" s="3" t="e">
        <f>VLOOKUP(H81,AzureRegions!$A$4:$C$1493,3,FALSE)</f>
        <v>#N/A</v>
      </c>
      <c r="U81" s="3" t="e">
        <f>VLOOKUP(I81,Resources!$A$2:$AA$1503,2,FALSE)</f>
        <v>#N/A</v>
      </c>
      <c r="V81" s="3" t="e">
        <f>VLOOKUP(I81,Resources!$A$2:$H$1503,6,FALSE)</f>
        <v>#N/A</v>
      </c>
      <c r="W81" s="3" t="str">
        <f>VLOOKUP($H$2,Casing!$A$4:$A$60,1,FALSE)</f>
        <v>Lower</v>
      </c>
      <c r="X81" s="14" t="str">
        <f t="shared" si="3"/>
        <v>001</v>
      </c>
      <c r="Y81" s="3" t="str">
        <f>IFERROR(VLOOKUP(F81,Func!$A$4:$G$1500,2,FALSE),"none")</f>
        <v>none</v>
      </c>
      <c r="Z81" s="3" t="e">
        <f>VLOOKUP(I81,Resources!$A$2:$AA$1503,18,FALSE)</f>
        <v>#N/A</v>
      </c>
      <c r="AA81" s="3" t="str">
        <f>IFERROR(VLOOKUP(B81,Orgs!$A$4:$G$1500,2,FALSE),"none")</f>
        <v>none</v>
      </c>
      <c r="AB81" s="3" t="str">
        <f>IFERROR(VLOOKUP(C81,UnitsDepts!$A$4:$G$1500,2,FALSE),"none")</f>
        <v>none</v>
      </c>
      <c r="AC81" s="3" t="str">
        <f>IFERROR(VLOOKUP(D81,ProjAppSvc!$A$4:$G$1500,2,FALSE),"none")</f>
        <v>none</v>
      </c>
    </row>
    <row r="82" spans="1:29" x14ac:dyDescent="0.45">
      <c r="A82" s="14" t="s">
        <v>23</v>
      </c>
      <c r="B82" s="14"/>
      <c r="C82" s="14"/>
      <c r="D82" s="14"/>
      <c r="H82" s="8"/>
      <c r="I82" s="3"/>
      <c r="J82" s="3" t="str">
        <f t="shared" si="4"/>
        <v/>
      </c>
      <c r="K82" s="3" t="str">
        <f>IF(ISNUMBER(SEARCH("-",V82)),IFERROR(IF($H$2="Lower", LOWER(ComputeResourceName(Z82,#REF!,#REF!,G82,N82,O82,P82,Q82,S82,T82,V82,A82)), UPPER(ComputeResourceName(Z82,#REF!,#REF!,G82,N82,O82,P82,Q82,S82,T82,V82,A82))),""),SUBSTITUTE(IFERROR(IF($H$2="Lower", LOWER(ComputeResourceName(#REF!,#REF!,#REF!,G82,N82,O82,P82,Q82,S82,T82,V82,A82)), UPPER(ComputeResourceName(#REF!,#REF!,#REF!,G82,N82,O82,P82,Q82,S82,T82,V82,A82))),""), "-",""))</f>
        <v/>
      </c>
      <c r="L82" s="3" t="str">
        <f xml:space="preserve"> IF(K82="","",  IFERROR(VLOOKUP(I82,Resources!$B$1:$H$1503,5,FALSE)-LEN(K82),0))</f>
        <v/>
      </c>
      <c r="M82" s="3" t="str">
        <f>IF(K82="","",IFERROR(matches(K82,VLOOKUP(I82,Resources!$A$2:$AA$1503,16,FALSE)),FALSE))</f>
        <v/>
      </c>
      <c r="N82" s="3" t="e">
        <f>VLOOKUP(E82,Enviroments!$A$3:$D$59,1,FALSE)</f>
        <v>#N/A</v>
      </c>
      <c r="O82" s="3" t="e">
        <f>VLOOKUP(E82,Enviroments!$A$3:$D$59,2,FALSE)</f>
        <v>#N/A</v>
      </c>
      <c r="P82" s="3" t="e">
        <f>VLOOKUP(E82,Enviroments!$A$3:$D$59,3,FALSE)</f>
        <v>#N/A</v>
      </c>
      <c r="Q82" s="3" t="e">
        <f>VLOOKUP(E82,Enviroments!$A$3:$D$59,4,FALSE)</f>
        <v>#N/A</v>
      </c>
      <c r="R82" s="3" t="e">
        <f>VLOOKUP(H82,AzureRegions!$A$4:$B$1493,1,FALSE)</f>
        <v>#N/A</v>
      </c>
      <c r="S82" s="3" t="e">
        <f>VLOOKUP(H82,AzureRegions!$A$4:$B$1493,2,FALSE)</f>
        <v>#N/A</v>
      </c>
      <c r="T82" s="3" t="e">
        <f>VLOOKUP(H82,AzureRegions!$A$4:$C$1493,3,FALSE)</f>
        <v>#N/A</v>
      </c>
      <c r="U82" s="3" t="e">
        <f>VLOOKUP(I82,Resources!$A$2:$AA$1503,2,FALSE)</f>
        <v>#N/A</v>
      </c>
      <c r="V82" s="3" t="e">
        <f>VLOOKUP(I82,Resources!$A$2:$H$1503,6,FALSE)</f>
        <v>#N/A</v>
      </c>
      <c r="W82" s="3" t="str">
        <f>VLOOKUP($H$2,Casing!$A$4:$A$60,1,FALSE)</f>
        <v>Lower</v>
      </c>
      <c r="X82" s="14" t="str">
        <f t="shared" si="3"/>
        <v>001</v>
      </c>
      <c r="Y82" s="3" t="str">
        <f>IFERROR(VLOOKUP(F82,Func!$A$4:$G$1500,2,FALSE),"none")</f>
        <v>none</v>
      </c>
      <c r="Z82" s="3" t="e">
        <f>VLOOKUP(I82,Resources!$A$2:$AA$1503,18,FALSE)</f>
        <v>#N/A</v>
      </c>
      <c r="AA82" s="3" t="str">
        <f>IFERROR(VLOOKUP(B82,Orgs!$A$4:$G$1500,2,FALSE),"none")</f>
        <v>none</v>
      </c>
      <c r="AB82" s="3" t="str">
        <f>IFERROR(VLOOKUP(C82,UnitsDepts!$A$4:$G$1500,2,FALSE),"none")</f>
        <v>none</v>
      </c>
      <c r="AC82" s="3" t="str">
        <f>IFERROR(VLOOKUP(D82,ProjAppSvc!$A$4:$G$1500,2,FALSE),"none")</f>
        <v>none</v>
      </c>
    </row>
    <row r="83" spans="1:29" x14ac:dyDescent="0.45">
      <c r="A83" s="14" t="s">
        <v>23</v>
      </c>
      <c r="B83" s="14"/>
      <c r="C83" s="14"/>
      <c r="D83" s="14"/>
      <c r="H83" s="8"/>
      <c r="I83" s="3"/>
      <c r="J83" s="3" t="str">
        <f t="shared" si="4"/>
        <v/>
      </c>
      <c r="K83" s="3" t="str">
        <f>IF(ISNUMBER(SEARCH("-",V83)),IFERROR(IF($H$2="Lower", LOWER(ComputeResourceName(Z83,#REF!,#REF!,G83,N83,O83,P83,Q83,S83,T83,V83,A83)), UPPER(ComputeResourceName(Z83,#REF!,#REF!,G83,N83,O83,P83,Q83,S83,T83,V83,A83))),""),SUBSTITUTE(IFERROR(IF($H$2="Lower", LOWER(ComputeResourceName(#REF!,#REF!,#REF!,G83,N83,O83,P83,Q83,S83,T83,V83,A83)), UPPER(ComputeResourceName(#REF!,#REF!,#REF!,G83,N83,O83,P83,Q83,S83,T83,V83,A83))),""), "-",""))</f>
        <v/>
      </c>
      <c r="L83" s="3" t="str">
        <f xml:space="preserve"> IF(K83="","",  IFERROR(VLOOKUP(I83,Resources!$B$1:$H$1503,5,FALSE)-LEN(K83),0))</f>
        <v/>
      </c>
      <c r="M83" s="3" t="str">
        <f>IF(K83="","",IFERROR(matches(K83,VLOOKUP(I83,Resources!$A$2:$AA$1503,16,FALSE)),FALSE))</f>
        <v/>
      </c>
      <c r="N83" s="3" t="e">
        <f>VLOOKUP(E83,Enviroments!$A$3:$D$59,1,FALSE)</f>
        <v>#N/A</v>
      </c>
      <c r="O83" s="3" t="e">
        <f>VLOOKUP(E83,Enviroments!$A$3:$D$59,2,FALSE)</f>
        <v>#N/A</v>
      </c>
      <c r="P83" s="3" t="e">
        <f>VLOOKUP(E83,Enviroments!$A$3:$D$59,3,FALSE)</f>
        <v>#N/A</v>
      </c>
      <c r="Q83" s="3" t="e">
        <f>VLOOKUP(E83,Enviroments!$A$3:$D$59,4,FALSE)</f>
        <v>#N/A</v>
      </c>
      <c r="R83" s="3" t="e">
        <f>VLOOKUP(H83,AzureRegions!$A$4:$B$1493,1,FALSE)</f>
        <v>#N/A</v>
      </c>
      <c r="S83" s="3" t="e">
        <f>VLOOKUP(H83,AzureRegions!$A$4:$B$1493,2,FALSE)</f>
        <v>#N/A</v>
      </c>
      <c r="T83" s="3" t="e">
        <f>VLOOKUP(H83,AzureRegions!$A$4:$C$1493,3,FALSE)</f>
        <v>#N/A</v>
      </c>
      <c r="U83" s="3" t="e">
        <f>VLOOKUP(I83,Resources!$A$2:$AA$1503,2,FALSE)</f>
        <v>#N/A</v>
      </c>
      <c r="V83" s="3" t="e">
        <f>VLOOKUP(I83,Resources!$A$2:$H$1503,6,FALSE)</f>
        <v>#N/A</v>
      </c>
      <c r="W83" s="3" t="str">
        <f>VLOOKUP($H$2,Casing!$A$4:$A$60,1,FALSE)</f>
        <v>Lower</v>
      </c>
      <c r="X83" s="14" t="str">
        <f t="shared" si="3"/>
        <v>001</v>
      </c>
      <c r="Y83" s="3" t="str">
        <f>IFERROR(VLOOKUP(F83,Func!$A$4:$G$1500,2,FALSE),"none")</f>
        <v>none</v>
      </c>
      <c r="Z83" s="3" t="e">
        <f>VLOOKUP(I83,Resources!$A$2:$AA$1503,18,FALSE)</f>
        <v>#N/A</v>
      </c>
      <c r="AA83" s="3" t="str">
        <f>IFERROR(VLOOKUP(B83,Orgs!$A$4:$G$1500,2,FALSE),"none")</f>
        <v>none</v>
      </c>
      <c r="AB83" s="3" t="str">
        <f>IFERROR(VLOOKUP(C83,UnitsDepts!$A$4:$G$1500,2,FALSE),"none")</f>
        <v>none</v>
      </c>
      <c r="AC83" s="3" t="str">
        <f>IFERROR(VLOOKUP(D83,ProjAppSvc!$A$4:$G$1500,2,FALSE),"none")</f>
        <v>none</v>
      </c>
    </row>
    <row r="84" spans="1:29" x14ac:dyDescent="0.45">
      <c r="A84" s="14" t="s">
        <v>23</v>
      </c>
      <c r="B84" s="14"/>
      <c r="C84" s="14"/>
      <c r="D84" s="14"/>
      <c r="H84" s="8"/>
      <c r="I84" s="3"/>
      <c r="J84" s="3" t="str">
        <f t="shared" si="4"/>
        <v/>
      </c>
      <c r="K84" s="3" t="str">
        <f>IF(ISNUMBER(SEARCH("-",V84)),IFERROR(IF($H$2="Lower", LOWER(ComputeResourceName(Z84,#REF!,#REF!,G84,N84,O84,P84,Q84,S84,T84,V84,A84)), UPPER(ComputeResourceName(Z84,#REF!,#REF!,G84,N84,O84,P84,Q84,S84,T84,V84,A84))),""),SUBSTITUTE(IFERROR(IF($H$2="Lower", LOWER(ComputeResourceName(#REF!,#REF!,#REF!,G84,N84,O84,P84,Q84,S84,T84,V84,A84)), UPPER(ComputeResourceName(#REF!,#REF!,#REF!,G84,N84,O84,P84,Q84,S84,T84,V84,A84))),""), "-",""))</f>
        <v/>
      </c>
      <c r="L84" s="3" t="str">
        <f xml:space="preserve"> IF(K84="","",  IFERROR(VLOOKUP(I84,Resources!$B$1:$H$1503,5,FALSE)-LEN(K84),0))</f>
        <v/>
      </c>
      <c r="M84" s="3" t="str">
        <f>IF(K84="","",IFERROR(matches(K84,VLOOKUP(I84,Resources!$A$2:$AA$1503,16,FALSE)),FALSE))</f>
        <v/>
      </c>
      <c r="N84" s="3" t="e">
        <f>VLOOKUP(E84,Enviroments!$A$3:$D$59,1,FALSE)</f>
        <v>#N/A</v>
      </c>
      <c r="O84" s="3" t="e">
        <f>VLOOKUP(E84,Enviroments!$A$3:$D$59,2,FALSE)</f>
        <v>#N/A</v>
      </c>
      <c r="P84" s="3" t="e">
        <f>VLOOKUP(E84,Enviroments!$A$3:$D$59,3,FALSE)</f>
        <v>#N/A</v>
      </c>
      <c r="Q84" s="3" t="e">
        <f>VLOOKUP(E84,Enviroments!$A$3:$D$59,4,FALSE)</f>
        <v>#N/A</v>
      </c>
      <c r="R84" s="3" t="e">
        <f>VLOOKUP(H84,AzureRegions!$A$4:$B$1493,1,FALSE)</f>
        <v>#N/A</v>
      </c>
      <c r="S84" s="3" t="e">
        <f>VLOOKUP(H84,AzureRegions!$A$4:$B$1493,2,FALSE)</f>
        <v>#N/A</v>
      </c>
      <c r="T84" s="3" t="e">
        <f>VLOOKUP(H84,AzureRegions!$A$4:$C$1493,3,FALSE)</f>
        <v>#N/A</v>
      </c>
      <c r="U84" s="3" t="e">
        <f>VLOOKUP(I84,Resources!$A$2:$AA$1503,2,FALSE)</f>
        <v>#N/A</v>
      </c>
      <c r="V84" s="3" t="e">
        <f>VLOOKUP(I84,Resources!$A$2:$H$1503,6,FALSE)</f>
        <v>#N/A</v>
      </c>
      <c r="W84" s="3" t="str">
        <f>VLOOKUP($H$2,Casing!$A$4:$A$60,1,FALSE)</f>
        <v>Lower</v>
      </c>
      <c r="X84" s="14" t="str">
        <f t="shared" si="3"/>
        <v>001</v>
      </c>
      <c r="Y84" s="3" t="str">
        <f>IFERROR(VLOOKUP(F84,Func!$A$4:$G$1500,2,FALSE),"none")</f>
        <v>none</v>
      </c>
      <c r="Z84" s="3" t="e">
        <f>VLOOKUP(I84,Resources!$A$2:$AA$1503,18,FALSE)</f>
        <v>#N/A</v>
      </c>
      <c r="AA84" s="3" t="str">
        <f>IFERROR(VLOOKUP(B84,Orgs!$A$4:$G$1500,2,FALSE),"none")</f>
        <v>none</v>
      </c>
      <c r="AB84" s="3" t="str">
        <f>IFERROR(VLOOKUP(C84,UnitsDepts!$A$4:$G$1500,2,FALSE),"none")</f>
        <v>none</v>
      </c>
      <c r="AC84" s="3" t="str">
        <f>IFERROR(VLOOKUP(D84,ProjAppSvc!$A$4:$G$1500,2,FALSE),"none")</f>
        <v>none</v>
      </c>
    </row>
    <row r="85" spans="1:29" x14ac:dyDescent="0.45">
      <c r="A85" s="14" t="s">
        <v>23</v>
      </c>
      <c r="B85" s="14"/>
      <c r="C85" s="14"/>
      <c r="D85" s="14"/>
      <c r="H85" s="8"/>
      <c r="I85" s="3"/>
      <c r="J85" s="3" t="str">
        <f t="shared" si="4"/>
        <v/>
      </c>
      <c r="K85" s="3" t="str">
        <f>IF(ISNUMBER(SEARCH("-",V85)),IFERROR(IF($H$2="Lower", LOWER(ComputeResourceName(Z85,#REF!,#REF!,G85,N85,O85,P85,Q85,S85,T85,V85,A85)), UPPER(ComputeResourceName(Z85,#REF!,#REF!,G85,N85,O85,P85,Q85,S85,T85,V85,A85))),""),SUBSTITUTE(IFERROR(IF($H$2="Lower", LOWER(ComputeResourceName(#REF!,#REF!,#REF!,G85,N85,O85,P85,Q85,S85,T85,V85,A85)), UPPER(ComputeResourceName(#REF!,#REF!,#REF!,G85,N85,O85,P85,Q85,S85,T85,V85,A85))),""), "-",""))</f>
        <v/>
      </c>
      <c r="L85" s="3" t="str">
        <f xml:space="preserve"> IF(K85="","",  IFERROR(VLOOKUP(I85,Resources!$B$1:$H$1503,5,FALSE)-LEN(K85),0))</f>
        <v/>
      </c>
      <c r="M85" s="3" t="str">
        <f>IF(K85="","",IFERROR(matches(K85,VLOOKUP(I85,Resources!$A$2:$AA$1503,16,FALSE)),FALSE))</f>
        <v/>
      </c>
      <c r="N85" s="3" t="e">
        <f>VLOOKUP(E85,Enviroments!$A$3:$D$59,1,FALSE)</f>
        <v>#N/A</v>
      </c>
      <c r="O85" s="3" t="e">
        <f>VLOOKUP(E85,Enviroments!$A$3:$D$59,2,FALSE)</f>
        <v>#N/A</v>
      </c>
      <c r="P85" s="3" t="e">
        <f>VLOOKUP(E85,Enviroments!$A$3:$D$59,3,FALSE)</f>
        <v>#N/A</v>
      </c>
      <c r="Q85" s="3" t="e">
        <f>VLOOKUP(E85,Enviroments!$A$3:$D$59,4,FALSE)</f>
        <v>#N/A</v>
      </c>
      <c r="R85" s="3" t="e">
        <f>VLOOKUP(H85,AzureRegions!$A$4:$B$1493,1,FALSE)</f>
        <v>#N/A</v>
      </c>
      <c r="S85" s="3" t="e">
        <f>VLOOKUP(H85,AzureRegions!$A$4:$B$1493,2,FALSE)</f>
        <v>#N/A</v>
      </c>
      <c r="T85" s="3" t="e">
        <f>VLOOKUP(H85,AzureRegions!$A$4:$C$1493,3,FALSE)</f>
        <v>#N/A</v>
      </c>
      <c r="U85" s="3" t="e">
        <f>VLOOKUP(I85,Resources!$A$2:$AA$1503,2,FALSE)</f>
        <v>#N/A</v>
      </c>
      <c r="V85" s="3" t="e">
        <f>VLOOKUP(I85,Resources!$A$2:$H$1503,6,FALSE)</f>
        <v>#N/A</v>
      </c>
      <c r="W85" s="3" t="str">
        <f>VLOOKUP($H$2,Casing!$A$4:$A$60,1,FALSE)</f>
        <v>Lower</v>
      </c>
      <c r="X85" s="14" t="str">
        <f t="shared" si="3"/>
        <v>001</v>
      </c>
      <c r="Y85" s="3" t="str">
        <f>IFERROR(VLOOKUP(F85,Func!$A$4:$G$1500,2,FALSE),"none")</f>
        <v>none</v>
      </c>
      <c r="Z85" s="3" t="e">
        <f>VLOOKUP(I85,Resources!$A$2:$AA$1503,18,FALSE)</f>
        <v>#N/A</v>
      </c>
      <c r="AA85" s="3" t="str">
        <f>IFERROR(VLOOKUP(B85,Orgs!$A$4:$G$1500,2,FALSE),"none")</f>
        <v>none</v>
      </c>
      <c r="AB85" s="3" t="str">
        <f>IFERROR(VLOOKUP(C85,UnitsDepts!$A$4:$G$1500,2,FALSE),"none")</f>
        <v>none</v>
      </c>
      <c r="AC85" s="3" t="str">
        <f>IFERROR(VLOOKUP(D85,ProjAppSvc!$A$4:$G$1500,2,FALSE),"none")</f>
        <v>none</v>
      </c>
    </row>
    <row r="86" spans="1:29" x14ac:dyDescent="0.45">
      <c r="A86" s="14" t="s">
        <v>23</v>
      </c>
      <c r="B86" s="14"/>
      <c r="C86" s="14"/>
      <c r="D86" s="14"/>
      <c r="H86" s="8"/>
      <c r="I86" s="3"/>
      <c r="J86" s="3" t="str">
        <f t="shared" si="4"/>
        <v/>
      </c>
      <c r="K86" s="3" t="str">
        <f>IF(ISNUMBER(SEARCH("-",V86)),IFERROR(IF($H$2="Lower", LOWER(ComputeResourceName(Z86,#REF!,#REF!,G86,N86,O86,P86,Q86,S86,T86,V86,A86)), UPPER(ComputeResourceName(Z86,#REF!,#REF!,G86,N86,O86,P86,Q86,S86,T86,V86,A86))),""),SUBSTITUTE(IFERROR(IF($H$2="Lower", LOWER(ComputeResourceName(#REF!,#REF!,#REF!,G86,N86,O86,P86,Q86,S86,T86,V86,A86)), UPPER(ComputeResourceName(#REF!,#REF!,#REF!,G86,N86,O86,P86,Q86,S86,T86,V86,A86))),""), "-",""))</f>
        <v/>
      </c>
      <c r="L86" s="3" t="str">
        <f xml:space="preserve"> IF(K86="","",  IFERROR(VLOOKUP(I86,Resources!$B$1:$H$1503,5,FALSE)-LEN(K86),0))</f>
        <v/>
      </c>
      <c r="M86" s="3" t="str">
        <f>IF(K86="","",IFERROR(matches(K86,VLOOKUP(I86,Resources!$A$2:$AA$1503,16,FALSE)),FALSE))</f>
        <v/>
      </c>
      <c r="N86" s="3" t="e">
        <f>VLOOKUP(E86,Enviroments!$A$3:$D$59,1,FALSE)</f>
        <v>#N/A</v>
      </c>
      <c r="O86" s="3" t="e">
        <f>VLOOKUP(E86,Enviroments!$A$3:$D$59,2,FALSE)</f>
        <v>#N/A</v>
      </c>
      <c r="P86" s="3" t="e">
        <f>VLOOKUP(E86,Enviroments!$A$3:$D$59,3,FALSE)</f>
        <v>#N/A</v>
      </c>
      <c r="Q86" s="3" t="e">
        <f>VLOOKUP(E86,Enviroments!$A$3:$D$59,4,FALSE)</f>
        <v>#N/A</v>
      </c>
      <c r="R86" s="3" t="e">
        <f>VLOOKUP(H86,AzureRegions!$A$4:$B$1493,1,FALSE)</f>
        <v>#N/A</v>
      </c>
      <c r="S86" s="3" t="e">
        <f>VLOOKUP(H86,AzureRegions!$A$4:$B$1493,2,FALSE)</f>
        <v>#N/A</v>
      </c>
      <c r="T86" s="3" t="e">
        <f>VLOOKUP(H86,AzureRegions!$A$4:$C$1493,3,FALSE)</f>
        <v>#N/A</v>
      </c>
      <c r="U86" s="3" t="e">
        <f>VLOOKUP(I86,Resources!$A$2:$AA$1503,2,FALSE)</f>
        <v>#N/A</v>
      </c>
      <c r="V86" s="3" t="e">
        <f>VLOOKUP(I86,Resources!$A$2:$H$1503,6,FALSE)</f>
        <v>#N/A</v>
      </c>
      <c r="W86" s="3" t="str">
        <f>VLOOKUP($H$2,Casing!$A$4:$A$60,1,FALSE)</f>
        <v>Lower</v>
      </c>
      <c r="X86" s="14" t="str">
        <f t="shared" si="3"/>
        <v>001</v>
      </c>
      <c r="Y86" s="3" t="str">
        <f>IFERROR(VLOOKUP(F86,Func!$A$4:$G$1500,2,FALSE),"none")</f>
        <v>none</v>
      </c>
      <c r="Z86" s="3" t="e">
        <f>VLOOKUP(I86,Resources!$A$2:$AA$1503,18,FALSE)</f>
        <v>#N/A</v>
      </c>
      <c r="AA86" s="3" t="str">
        <f>IFERROR(VLOOKUP(B86,Orgs!$A$4:$G$1500,2,FALSE),"none")</f>
        <v>none</v>
      </c>
      <c r="AB86" s="3" t="str">
        <f>IFERROR(VLOOKUP(C86,UnitsDepts!$A$4:$G$1500,2,FALSE),"none")</f>
        <v>none</v>
      </c>
      <c r="AC86" s="3" t="str">
        <f>IFERROR(VLOOKUP(D86,ProjAppSvc!$A$4:$G$1500,2,FALSE),"none")</f>
        <v>none</v>
      </c>
    </row>
    <row r="87" spans="1:29" x14ac:dyDescent="0.45">
      <c r="A87" s="14" t="s">
        <v>23</v>
      </c>
      <c r="B87" s="14"/>
      <c r="C87" s="14"/>
      <c r="D87" s="14"/>
      <c r="H87" s="8"/>
      <c r="I87" s="3"/>
      <c r="J87" s="3" t="str">
        <f t="shared" si="4"/>
        <v/>
      </c>
      <c r="K87" s="3" t="str">
        <f>IF(ISNUMBER(SEARCH("-",V87)),IFERROR(IF($H$2="Lower", LOWER(ComputeResourceName(Z87,#REF!,#REF!,G87,N87,O87,P87,Q87,S87,T87,V87,A87)), UPPER(ComputeResourceName(Z87,#REF!,#REF!,G87,N87,O87,P87,Q87,S87,T87,V87,A87))),""),SUBSTITUTE(IFERROR(IF($H$2="Lower", LOWER(ComputeResourceName(#REF!,#REF!,#REF!,G87,N87,O87,P87,Q87,S87,T87,V87,A87)), UPPER(ComputeResourceName(#REF!,#REF!,#REF!,G87,N87,O87,P87,Q87,S87,T87,V87,A87))),""), "-",""))</f>
        <v/>
      </c>
      <c r="L87" s="3" t="str">
        <f xml:space="preserve"> IF(K87="","",  IFERROR(VLOOKUP(I87,Resources!$B$1:$H$1503,5,FALSE)-LEN(K87),0))</f>
        <v/>
      </c>
      <c r="M87" s="3" t="str">
        <f>IF(K87="","",IFERROR(matches(K87,VLOOKUP(I87,Resources!$A$2:$AA$1503,16,FALSE)),FALSE))</f>
        <v/>
      </c>
      <c r="N87" s="3" t="e">
        <f>VLOOKUP(E87,Enviroments!$A$3:$D$59,1,FALSE)</f>
        <v>#N/A</v>
      </c>
      <c r="O87" s="3" t="e">
        <f>VLOOKUP(E87,Enviroments!$A$3:$D$59,2,FALSE)</f>
        <v>#N/A</v>
      </c>
      <c r="P87" s="3" t="e">
        <f>VLOOKUP(E87,Enviroments!$A$3:$D$59,3,FALSE)</f>
        <v>#N/A</v>
      </c>
      <c r="Q87" s="3" t="e">
        <f>VLOOKUP(E87,Enviroments!$A$3:$D$59,4,FALSE)</f>
        <v>#N/A</v>
      </c>
      <c r="R87" s="3" t="e">
        <f>VLOOKUP(H87,AzureRegions!$A$4:$B$1493,1,FALSE)</f>
        <v>#N/A</v>
      </c>
      <c r="S87" s="3" t="e">
        <f>VLOOKUP(H87,AzureRegions!$A$4:$B$1493,2,FALSE)</f>
        <v>#N/A</v>
      </c>
      <c r="T87" s="3" t="e">
        <f>VLOOKUP(H87,AzureRegions!$A$4:$C$1493,3,FALSE)</f>
        <v>#N/A</v>
      </c>
      <c r="U87" s="3" t="e">
        <f>VLOOKUP(I87,Resources!$A$2:$AA$1503,2,FALSE)</f>
        <v>#N/A</v>
      </c>
      <c r="V87" s="3" t="e">
        <f>VLOOKUP(I87,Resources!$A$2:$H$1503,6,FALSE)</f>
        <v>#N/A</v>
      </c>
      <c r="W87" s="3" t="str">
        <f>VLOOKUP($H$2,Casing!$A$4:$A$60,1,FALSE)</f>
        <v>Lower</v>
      </c>
      <c r="X87" s="14" t="str">
        <f t="shared" si="3"/>
        <v>001</v>
      </c>
      <c r="Y87" s="3" t="str">
        <f>IFERROR(VLOOKUP(F87,Func!$A$4:$G$1500,2,FALSE),"none")</f>
        <v>none</v>
      </c>
      <c r="Z87" s="3" t="e">
        <f>VLOOKUP(I87,Resources!$A$2:$AA$1503,18,FALSE)</f>
        <v>#N/A</v>
      </c>
      <c r="AA87" s="3" t="str">
        <f>IFERROR(VLOOKUP(B87,Orgs!$A$4:$G$1500,2,FALSE),"none")</f>
        <v>none</v>
      </c>
      <c r="AB87" s="3" t="str">
        <f>IFERROR(VLOOKUP(C87,UnitsDepts!$A$4:$G$1500,2,FALSE),"none")</f>
        <v>none</v>
      </c>
      <c r="AC87" s="3" t="str">
        <f>IFERROR(VLOOKUP(D87,ProjAppSvc!$A$4:$G$1500,2,FALSE),"none")</f>
        <v>none</v>
      </c>
    </row>
    <row r="88" spans="1:29" x14ac:dyDescent="0.45">
      <c r="A88" s="14" t="s">
        <v>23</v>
      </c>
      <c r="B88" s="14"/>
      <c r="C88" s="14"/>
      <c r="D88" s="14"/>
      <c r="H88" s="8"/>
      <c r="I88" s="3"/>
      <c r="J88" s="3" t="str">
        <f t="shared" si="4"/>
        <v/>
      </c>
      <c r="K88" s="3" t="str">
        <f>IF(ISNUMBER(SEARCH("-",V88)),IFERROR(IF($H$2="Lower", LOWER(ComputeResourceName(Z88,#REF!,#REF!,G88,N88,O88,P88,Q88,S88,T88,V88,A88)), UPPER(ComputeResourceName(Z88,#REF!,#REF!,G88,N88,O88,P88,Q88,S88,T88,V88,A88))),""),SUBSTITUTE(IFERROR(IF($H$2="Lower", LOWER(ComputeResourceName(#REF!,#REF!,#REF!,G88,N88,O88,P88,Q88,S88,T88,V88,A88)), UPPER(ComputeResourceName(#REF!,#REF!,#REF!,G88,N88,O88,P88,Q88,S88,T88,V88,A88))),""), "-",""))</f>
        <v/>
      </c>
      <c r="L88" s="3" t="str">
        <f xml:space="preserve"> IF(K88="","",  IFERROR(VLOOKUP(I88,Resources!$B$1:$H$1503,5,FALSE)-LEN(K88),0))</f>
        <v/>
      </c>
      <c r="M88" s="3" t="str">
        <f>IF(K88="","",IFERROR(matches(K88,VLOOKUP(I88,Resources!$A$2:$AA$1503,16,FALSE)),FALSE))</f>
        <v/>
      </c>
      <c r="N88" s="3" t="e">
        <f>VLOOKUP(E88,Enviroments!$A$3:$D$59,1,FALSE)</f>
        <v>#N/A</v>
      </c>
      <c r="O88" s="3" t="e">
        <f>VLOOKUP(E88,Enviroments!$A$3:$D$59,2,FALSE)</f>
        <v>#N/A</v>
      </c>
      <c r="P88" s="3" t="e">
        <f>VLOOKUP(E88,Enviroments!$A$3:$D$59,3,FALSE)</f>
        <v>#N/A</v>
      </c>
      <c r="Q88" s="3" t="e">
        <f>VLOOKUP(E88,Enviroments!$A$3:$D$59,4,FALSE)</f>
        <v>#N/A</v>
      </c>
      <c r="R88" s="3" t="e">
        <f>VLOOKUP(H88,AzureRegions!$A$4:$B$1493,1,FALSE)</f>
        <v>#N/A</v>
      </c>
      <c r="S88" s="3" t="e">
        <f>VLOOKUP(H88,AzureRegions!$A$4:$B$1493,2,FALSE)</f>
        <v>#N/A</v>
      </c>
      <c r="T88" s="3" t="e">
        <f>VLOOKUP(H88,AzureRegions!$A$4:$C$1493,3,FALSE)</f>
        <v>#N/A</v>
      </c>
      <c r="U88" s="3" t="e">
        <f>VLOOKUP(I88,Resources!$A$2:$AA$1503,2,FALSE)</f>
        <v>#N/A</v>
      </c>
      <c r="V88" s="3" t="e">
        <f>VLOOKUP(I88,Resources!$A$2:$H$1503,6,FALSE)</f>
        <v>#N/A</v>
      </c>
      <c r="W88" s="3" t="str">
        <f>VLOOKUP($H$2,Casing!$A$4:$A$60,1,FALSE)</f>
        <v>Lower</v>
      </c>
      <c r="X88" s="14" t="str">
        <f t="shared" si="3"/>
        <v>001</v>
      </c>
      <c r="Y88" s="3" t="str">
        <f>IFERROR(VLOOKUP(F88,Func!$A$4:$G$1500,2,FALSE),"none")</f>
        <v>none</v>
      </c>
      <c r="Z88" s="3" t="e">
        <f>VLOOKUP(I88,Resources!$A$2:$AA$1503,18,FALSE)</f>
        <v>#N/A</v>
      </c>
      <c r="AA88" s="3" t="str">
        <f>IFERROR(VLOOKUP(B88,Orgs!$A$4:$G$1500,2,FALSE),"none")</f>
        <v>none</v>
      </c>
      <c r="AB88" s="3" t="str">
        <f>IFERROR(VLOOKUP(C88,UnitsDepts!$A$4:$G$1500,2,FALSE),"none")</f>
        <v>none</v>
      </c>
      <c r="AC88" s="3" t="str">
        <f>IFERROR(VLOOKUP(D88,ProjAppSvc!$A$4:$G$1500,2,FALSE),"none")</f>
        <v>none</v>
      </c>
    </row>
    <row r="89" spans="1:29" x14ac:dyDescent="0.45">
      <c r="A89" s="14" t="s">
        <v>23</v>
      </c>
      <c r="B89" s="14"/>
      <c r="C89" s="14"/>
      <c r="D89" s="14"/>
      <c r="H89" s="8"/>
      <c r="I89" s="3"/>
      <c r="J89" s="3" t="str">
        <f t="shared" si="4"/>
        <v/>
      </c>
      <c r="K89" s="3" t="str">
        <f>IF(ISNUMBER(SEARCH("-",V89)),IFERROR(IF($H$2="Lower", LOWER(ComputeResourceName(Z89,#REF!,#REF!,G89,N89,O89,P89,Q89,S89,T89,V89,A89)), UPPER(ComputeResourceName(Z89,#REF!,#REF!,G89,N89,O89,P89,Q89,S89,T89,V89,A89))),""),SUBSTITUTE(IFERROR(IF($H$2="Lower", LOWER(ComputeResourceName(#REF!,#REF!,#REF!,G89,N89,O89,P89,Q89,S89,T89,V89,A89)), UPPER(ComputeResourceName(#REF!,#REF!,#REF!,G89,N89,O89,P89,Q89,S89,T89,V89,A89))),""), "-",""))</f>
        <v/>
      </c>
      <c r="L89" s="3" t="str">
        <f xml:space="preserve"> IF(K89="","",  IFERROR(VLOOKUP(I89,Resources!$B$1:$H$1503,5,FALSE)-LEN(K89),0))</f>
        <v/>
      </c>
      <c r="M89" s="3" t="str">
        <f>IF(K89="","",IFERROR(matches(K89,VLOOKUP(I89,Resources!$A$2:$AA$1503,16,FALSE)),FALSE))</f>
        <v/>
      </c>
      <c r="N89" s="3" t="e">
        <f>VLOOKUP(E89,Enviroments!$A$3:$D$59,1,FALSE)</f>
        <v>#N/A</v>
      </c>
      <c r="O89" s="3" t="e">
        <f>VLOOKUP(E89,Enviroments!$A$3:$D$59,2,FALSE)</f>
        <v>#N/A</v>
      </c>
      <c r="P89" s="3" t="e">
        <f>VLOOKUP(E89,Enviroments!$A$3:$D$59,3,FALSE)</f>
        <v>#N/A</v>
      </c>
      <c r="Q89" s="3" t="e">
        <f>VLOOKUP(E89,Enviroments!$A$3:$D$59,4,FALSE)</f>
        <v>#N/A</v>
      </c>
      <c r="R89" s="3" t="e">
        <f>VLOOKUP(H89,AzureRegions!$A$4:$B$1493,1,FALSE)</f>
        <v>#N/A</v>
      </c>
      <c r="S89" s="3" t="e">
        <f>VLOOKUP(H89,AzureRegions!$A$4:$B$1493,2,FALSE)</f>
        <v>#N/A</v>
      </c>
      <c r="T89" s="3" t="e">
        <f>VLOOKUP(H89,AzureRegions!$A$4:$C$1493,3,FALSE)</f>
        <v>#N/A</v>
      </c>
      <c r="U89" s="3" t="e">
        <f>VLOOKUP(I89,Resources!$A$2:$AA$1503,2,FALSE)</f>
        <v>#N/A</v>
      </c>
      <c r="V89" s="3" t="e">
        <f>VLOOKUP(I89,Resources!$A$2:$H$1503,6,FALSE)</f>
        <v>#N/A</v>
      </c>
      <c r="W89" s="3" t="str">
        <f>VLOOKUP($H$2,Casing!$A$4:$A$60,1,FALSE)</f>
        <v>Lower</v>
      </c>
      <c r="X89" s="14" t="str">
        <f t="shared" si="3"/>
        <v>001</v>
      </c>
      <c r="Y89" s="3" t="str">
        <f>IFERROR(VLOOKUP(F89,Func!$A$4:$G$1500,2,FALSE),"none")</f>
        <v>none</v>
      </c>
      <c r="Z89" s="3" t="e">
        <f>VLOOKUP(I89,Resources!$A$2:$AA$1503,18,FALSE)</f>
        <v>#N/A</v>
      </c>
      <c r="AA89" s="3" t="str">
        <f>IFERROR(VLOOKUP(B89,Orgs!$A$4:$G$1500,2,FALSE),"none")</f>
        <v>none</v>
      </c>
      <c r="AB89" s="3" t="str">
        <f>IFERROR(VLOOKUP(C89,UnitsDepts!$A$4:$G$1500,2,FALSE),"none")</f>
        <v>none</v>
      </c>
      <c r="AC89" s="3" t="str">
        <f>IFERROR(VLOOKUP(D89,ProjAppSvc!$A$4:$G$1500,2,FALSE),"none")</f>
        <v>none</v>
      </c>
    </row>
    <row r="90" spans="1:29" x14ac:dyDescent="0.45">
      <c r="A90" s="14" t="s">
        <v>23</v>
      </c>
      <c r="B90" s="14"/>
      <c r="C90" s="14"/>
      <c r="D90" s="14"/>
      <c r="H90" s="8"/>
      <c r="I90" s="3"/>
      <c r="J90" s="3" t="str">
        <f t="shared" si="4"/>
        <v/>
      </c>
      <c r="K90" s="3" t="str">
        <f>IF(ISNUMBER(SEARCH("-",V90)),IFERROR(IF($H$2="Lower", LOWER(ComputeResourceName(Z90,#REF!,#REF!,G90,N90,O90,P90,Q90,S90,T90,V90,A90)), UPPER(ComputeResourceName(Z90,#REF!,#REF!,G90,N90,O90,P90,Q90,S90,T90,V90,A90))),""),SUBSTITUTE(IFERROR(IF($H$2="Lower", LOWER(ComputeResourceName(#REF!,#REF!,#REF!,G90,N90,O90,P90,Q90,S90,T90,V90,A90)), UPPER(ComputeResourceName(#REF!,#REF!,#REF!,G90,N90,O90,P90,Q90,S90,T90,V90,A90))),""), "-",""))</f>
        <v/>
      </c>
      <c r="L90" s="3" t="str">
        <f xml:space="preserve"> IF(K90="","",  IFERROR(VLOOKUP(I90,Resources!$B$1:$H$1503,5,FALSE)-LEN(K90),0))</f>
        <v/>
      </c>
      <c r="M90" s="3" t="str">
        <f>IF(K90="","",IFERROR(matches(K90,VLOOKUP(I90,Resources!$A$2:$AA$1503,16,FALSE)),FALSE))</f>
        <v/>
      </c>
      <c r="N90" s="3" t="e">
        <f>VLOOKUP(E90,Enviroments!$A$3:$D$59,1,FALSE)</f>
        <v>#N/A</v>
      </c>
      <c r="O90" s="3" t="e">
        <f>VLOOKUP(E90,Enviroments!$A$3:$D$59,2,FALSE)</f>
        <v>#N/A</v>
      </c>
      <c r="P90" s="3" t="e">
        <f>VLOOKUP(E90,Enviroments!$A$3:$D$59,3,FALSE)</f>
        <v>#N/A</v>
      </c>
      <c r="Q90" s="3" t="e">
        <f>VLOOKUP(E90,Enviroments!$A$3:$D$59,4,FALSE)</f>
        <v>#N/A</v>
      </c>
      <c r="R90" s="3" t="e">
        <f>VLOOKUP(H90,AzureRegions!$A$4:$B$1493,1,FALSE)</f>
        <v>#N/A</v>
      </c>
      <c r="S90" s="3" t="e">
        <f>VLOOKUP(H90,AzureRegions!$A$4:$B$1493,2,FALSE)</f>
        <v>#N/A</v>
      </c>
      <c r="T90" s="3" t="e">
        <f>VLOOKUP(H90,AzureRegions!$A$4:$C$1493,3,FALSE)</f>
        <v>#N/A</v>
      </c>
      <c r="U90" s="3" t="e">
        <f>VLOOKUP(I90,Resources!$A$2:$AA$1503,2,FALSE)</f>
        <v>#N/A</v>
      </c>
      <c r="V90" s="3" t="e">
        <f>VLOOKUP(I90,Resources!$A$2:$H$1503,6,FALSE)</f>
        <v>#N/A</v>
      </c>
      <c r="W90" s="3" t="str">
        <f>VLOOKUP($H$2,Casing!$A$4:$A$60,1,FALSE)</f>
        <v>Lower</v>
      </c>
      <c r="X90" s="14" t="str">
        <f t="shared" si="3"/>
        <v>001</v>
      </c>
      <c r="Y90" s="3" t="str">
        <f>IFERROR(VLOOKUP(F90,Func!$A$4:$G$1500,2,FALSE),"none")</f>
        <v>none</v>
      </c>
      <c r="Z90" s="3" t="e">
        <f>VLOOKUP(I90,Resources!$A$2:$AA$1503,18,FALSE)</f>
        <v>#N/A</v>
      </c>
      <c r="AA90" s="3" t="str">
        <f>IFERROR(VLOOKUP(B90,Orgs!$A$4:$G$1500,2,FALSE),"none")</f>
        <v>none</v>
      </c>
      <c r="AB90" s="3" t="str">
        <f>IFERROR(VLOOKUP(C90,UnitsDepts!$A$4:$G$1500,2,FALSE),"none")</f>
        <v>none</v>
      </c>
      <c r="AC90" s="3" t="str">
        <f>IFERROR(VLOOKUP(D90,ProjAppSvc!$A$4:$G$1500,2,FALSE),"none")</f>
        <v>none</v>
      </c>
    </row>
    <row r="91" spans="1:29" x14ac:dyDescent="0.45">
      <c r="A91" s="14" t="s">
        <v>23</v>
      </c>
      <c r="B91" s="14"/>
      <c r="C91" s="14"/>
      <c r="D91" s="14"/>
      <c r="H91" s="8"/>
      <c r="I91" s="3"/>
      <c r="J91" s="3" t="str">
        <f t="shared" si="4"/>
        <v/>
      </c>
      <c r="K91" s="3" t="str">
        <f>IF(ISNUMBER(SEARCH("-",V91)),IFERROR(IF($H$2="Lower", LOWER(ComputeResourceName(Z91,#REF!,#REF!,G91,N91,O91,P91,Q91,S91,T91,V91,A91)), UPPER(ComputeResourceName(Z91,#REF!,#REF!,G91,N91,O91,P91,Q91,S91,T91,V91,A91))),""),SUBSTITUTE(IFERROR(IF($H$2="Lower", LOWER(ComputeResourceName(#REF!,#REF!,#REF!,G91,N91,O91,P91,Q91,S91,T91,V91,A91)), UPPER(ComputeResourceName(#REF!,#REF!,#REF!,G91,N91,O91,P91,Q91,S91,T91,V91,A91))),""), "-",""))</f>
        <v/>
      </c>
      <c r="L91" s="3" t="str">
        <f xml:space="preserve"> IF(K91="","",  IFERROR(VLOOKUP(I91,Resources!$B$1:$H$1503,5,FALSE)-LEN(K91),0))</f>
        <v/>
      </c>
      <c r="M91" s="3" t="str">
        <f>IF(K91="","",IFERROR(matches(K91,VLOOKUP(I91,Resources!$A$2:$AA$1503,16,FALSE)),FALSE))</f>
        <v/>
      </c>
      <c r="N91" s="3" t="e">
        <f>VLOOKUP(E91,Enviroments!$A$3:$D$59,1,FALSE)</f>
        <v>#N/A</v>
      </c>
      <c r="O91" s="3" t="e">
        <f>VLOOKUP(E91,Enviroments!$A$3:$D$59,2,FALSE)</f>
        <v>#N/A</v>
      </c>
      <c r="P91" s="3" t="e">
        <f>VLOOKUP(E91,Enviroments!$A$3:$D$59,3,FALSE)</f>
        <v>#N/A</v>
      </c>
      <c r="Q91" s="3" t="e">
        <f>VLOOKUP(E91,Enviroments!$A$3:$D$59,4,FALSE)</f>
        <v>#N/A</v>
      </c>
      <c r="R91" s="3" t="e">
        <f>VLOOKUP(H91,AzureRegions!$A$4:$B$1493,1,FALSE)</f>
        <v>#N/A</v>
      </c>
      <c r="S91" s="3" t="e">
        <f>VLOOKUP(H91,AzureRegions!$A$4:$B$1493,2,FALSE)</f>
        <v>#N/A</v>
      </c>
      <c r="T91" s="3" t="e">
        <f>VLOOKUP(H91,AzureRegions!$A$4:$C$1493,3,FALSE)</f>
        <v>#N/A</v>
      </c>
      <c r="U91" s="3" t="e">
        <f>VLOOKUP(I91,Resources!$A$2:$AA$1503,2,FALSE)</f>
        <v>#N/A</v>
      </c>
      <c r="V91" s="3" t="e">
        <f>VLOOKUP(I91,Resources!$A$2:$H$1503,6,FALSE)</f>
        <v>#N/A</v>
      </c>
      <c r="W91" s="3" t="str">
        <f>VLOOKUP($H$2,Casing!$A$4:$A$60,1,FALSE)</f>
        <v>Lower</v>
      </c>
      <c r="X91" s="14" t="str">
        <f t="shared" si="3"/>
        <v>001</v>
      </c>
      <c r="Y91" s="3" t="str">
        <f>IFERROR(VLOOKUP(F91,Func!$A$4:$G$1500,2,FALSE),"none")</f>
        <v>none</v>
      </c>
      <c r="Z91" s="3" t="e">
        <f>VLOOKUP(I91,Resources!$A$2:$AA$1503,18,FALSE)</f>
        <v>#N/A</v>
      </c>
      <c r="AA91" s="3" t="str">
        <f>IFERROR(VLOOKUP(B91,Orgs!$A$4:$G$1500,2,FALSE),"none")</f>
        <v>none</v>
      </c>
      <c r="AB91" s="3" t="str">
        <f>IFERROR(VLOOKUP(C91,UnitsDepts!$A$4:$G$1500,2,FALSE),"none")</f>
        <v>none</v>
      </c>
      <c r="AC91" s="3" t="str">
        <f>IFERROR(VLOOKUP(D91,ProjAppSvc!$A$4:$G$1500,2,FALSE),"none")</f>
        <v>none</v>
      </c>
    </row>
    <row r="92" spans="1:29" x14ac:dyDescent="0.45">
      <c r="A92" s="14" t="s">
        <v>23</v>
      </c>
      <c r="B92" s="14"/>
      <c r="C92" s="14"/>
      <c r="D92" s="14"/>
      <c r="H92" s="8"/>
      <c r="I92" s="3"/>
      <c r="J92" s="3" t="str">
        <f t="shared" si="4"/>
        <v/>
      </c>
      <c r="K92" s="3" t="str">
        <f>IF(ISNUMBER(SEARCH("-",V92)),IFERROR(IF($H$2="Lower", LOWER(ComputeResourceName(Z92,#REF!,#REF!,G92,N92,O92,P92,Q92,S92,T92,V92,A92)), UPPER(ComputeResourceName(Z92,#REF!,#REF!,G92,N92,O92,P92,Q92,S92,T92,V92,A92))),""),SUBSTITUTE(IFERROR(IF($H$2="Lower", LOWER(ComputeResourceName(#REF!,#REF!,#REF!,G92,N92,O92,P92,Q92,S92,T92,V92,A92)), UPPER(ComputeResourceName(#REF!,#REF!,#REF!,G92,N92,O92,P92,Q92,S92,T92,V92,A92))),""), "-",""))</f>
        <v/>
      </c>
      <c r="L92" s="3" t="str">
        <f xml:space="preserve"> IF(K92="","",  IFERROR(VLOOKUP(I92,Resources!$B$1:$H$1503,5,FALSE)-LEN(K92),0))</f>
        <v/>
      </c>
      <c r="M92" s="3" t="str">
        <f>IF(K92="","",IFERROR(matches(K92,VLOOKUP(I92,Resources!$A$2:$AA$1503,16,FALSE)),FALSE))</f>
        <v/>
      </c>
      <c r="N92" s="3" t="e">
        <f>VLOOKUP(E92,Enviroments!$A$3:$D$59,1,FALSE)</f>
        <v>#N/A</v>
      </c>
      <c r="O92" s="3" t="e">
        <f>VLOOKUP(E92,Enviroments!$A$3:$D$59,2,FALSE)</f>
        <v>#N/A</v>
      </c>
      <c r="P92" s="3" t="e">
        <f>VLOOKUP(E92,Enviroments!$A$3:$D$59,3,FALSE)</f>
        <v>#N/A</v>
      </c>
      <c r="Q92" s="3" t="e">
        <f>VLOOKUP(E92,Enviroments!$A$3:$D$59,4,FALSE)</f>
        <v>#N/A</v>
      </c>
      <c r="R92" s="3" t="e">
        <f>VLOOKUP(H92,AzureRegions!$A$4:$B$1493,1,FALSE)</f>
        <v>#N/A</v>
      </c>
      <c r="S92" s="3" t="e">
        <f>VLOOKUP(H92,AzureRegions!$A$4:$B$1493,2,FALSE)</f>
        <v>#N/A</v>
      </c>
      <c r="T92" s="3" t="e">
        <f>VLOOKUP(H92,AzureRegions!$A$4:$C$1493,3,FALSE)</f>
        <v>#N/A</v>
      </c>
      <c r="U92" s="3" t="e">
        <f>VLOOKUP(I92,Resources!$A$2:$AA$1503,2,FALSE)</f>
        <v>#N/A</v>
      </c>
      <c r="V92" s="3" t="e">
        <f>VLOOKUP(I92,Resources!$A$2:$H$1503,6,FALSE)</f>
        <v>#N/A</v>
      </c>
      <c r="W92" s="3" t="str">
        <f>VLOOKUP($H$2,Casing!$A$4:$A$60,1,FALSE)</f>
        <v>Lower</v>
      </c>
      <c r="X92" s="14" t="str">
        <f t="shared" si="3"/>
        <v>001</v>
      </c>
      <c r="Y92" s="3" t="str">
        <f>IFERROR(VLOOKUP(F92,Func!$A$4:$G$1500,2,FALSE),"none")</f>
        <v>none</v>
      </c>
      <c r="Z92" s="3" t="e">
        <f>VLOOKUP(I92,Resources!$A$2:$AA$1503,18,FALSE)</f>
        <v>#N/A</v>
      </c>
      <c r="AA92" s="3" t="str">
        <f>IFERROR(VLOOKUP(B92,Orgs!$A$4:$G$1500,2,FALSE),"none")</f>
        <v>none</v>
      </c>
      <c r="AB92" s="3" t="str">
        <f>IFERROR(VLOOKUP(C92,UnitsDepts!$A$4:$G$1500,2,FALSE),"none")</f>
        <v>none</v>
      </c>
      <c r="AC92" s="3" t="str">
        <f>IFERROR(VLOOKUP(D92,ProjAppSvc!$A$4:$G$1500,2,FALSE),"none")</f>
        <v>none</v>
      </c>
    </row>
    <row r="93" spans="1:29" x14ac:dyDescent="0.45">
      <c r="A93" s="14" t="s">
        <v>23</v>
      </c>
      <c r="B93" s="14"/>
      <c r="C93" s="14"/>
      <c r="D93" s="14"/>
      <c r="H93" s="8"/>
      <c r="I93" s="3"/>
      <c r="J93" s="3" t="str">
        <f t="shared" si="4"/>
        <v/>
      </c>
      <c r="K93" s="3" t="str">
        <f>IF(ISNUMBER(SEARCH("-",V93)),IFERROR(IF($H$2="Lower", LOWER(ComputeResourceName(Z93,#REF!,#REF!,G93,N93,O93,P93,Q93,S93,T93,V93,A93)), UPPER(ComputeResourceName(Z93,#REF!,#REF!,G93,N93,O93,P93,Q93,S93,T93,V93,A93))),""),SUBSTITUTE(IFERROR(IF($H$2="Lower", LOWER(ComputeResourceName(#REF!,#REF!,#REF!,G93,N93,O93,P93,Q93,S93,T93,V93,A93)), UPPER(ComputeResourceName(#REF!,#REF!,#REF!,G93,N93,O93,P93,Q93,S93,T93,V93,A93))),""), "-",""))</f>
        <v/>
      </c>
      <c r="L93" s="3" t="str">
        <f xml:space="preserve"> IF(K93="","",  IFERROR(VLOOKUP(I93,Resources!$B$1:$H$1503,5,FALSE)-LEN(K93),0))</f>
        <v/>
      </c>
      <c r="M93" s="3" t="str">
        <f>IF(K93="","",IFERROR(matches(K93,VLOOKUP(I93,Resources!$A$2:$AA$1503,16,FALSE)),FALSE))</f>
        <v/>
      </c>
      <c r="N93" s="3" t="e">
        <f>VLOOKUP(E93,Enviroments!$A$3:$D$59,1,FALSE)</f>
        <v>#N/A</v>
      </c>
      <c r="O93" s="3" t="e">
        <f>VLOOKUP(E93,Enviroments!$A$3:$D$59,2,FALSE)</f>
        <v>#N/A</v>
      </c>
      <c r="P93" s="3" t="e">
        <f>VLOOKUP(E93,Enviroments!$A$3:$D$59,3,FALSE)</f>
        <v>#N/A</v>
      </c>
      <c r="Q93" s="3" t="e">
        <f>VLOOKUP(E93,Enviroments!$A$3:$D$59,4,FALSE)</f>
        <v>#N/A</v>
      </c>
      <c r="R93" s="3" t="e">
        <f>VLOOKUP(H93,AzureRegions!$A$4:$B$1493,1,FALSE)</f>
        <v>#N/A</v>
      </c>
      <c r="S93" s="3" t="e">
        <f>VLOOKUP(H93,AzureRegions!$A$4:$B$1493,2,FALSE)</f>
        <v>#N/A</v>
      </c>
      <c r="T93" s="3" t="e">
        <f>VLOOKUP(H93,AzureRegions!$A$4:$C$1493,3,FALSE)</f>
        <v>#N/A</v>
      </c>
      <c r="U93" s="3" t="e">
        <f>VLOOKUP(I93,Resources!$A$2:$AA$1503,2,FALSE)</f>
        <v>#N/A</v>
      </c>
      <c r="V93" s="3" t="e">
        <f>VLOOKUP(I93,Resources!$A$2:$H$1503,6,FALSE)</f>
        <v>#N/A</v>
      </c>
      <c r="W93" s="3" t="str">
        <f>VLOOKUP($H$2,Casing!$A$4:$A$60,1,FALSE)</f>
        <v>Lower</v>
      </c>
      <c r="X93" s="14" t="str">
        <f t="shared" si="3"/>
        <v>001</v>
      </c>
      <c r="Y93" s="3" t="str">
        <f>IFERROR(VLOOKUP(F93,Func!$A$4:$G$1500,2,FALSE),"none")</f>
        <v>none</v>
      </c>
      <c r="Z93" s="3" t="e">
        <f>VLOOKUP(I93,Resources!$A$2:$AA$1503,18,FALSE)</f>
        <v>#N/A</v>
      </c>
      <c r="AA93" s="3" t="str">
        <f>IFERROR(VLOOKUP(B93,Orgs!$A$4:$G$1500,2,FALSE),"none")</f>
        <v>none</v>
      </c>
      <c r="AB93" s="3" t="str">
        <f>IFERROR(VLOOKUP(C93,UnitsDepts!$A$4:$G$1500,2,FALSE),"none")</f>
        <v>none</v>
      </c>
      <c r="AC93" s="3" t="str">
        <f>IFERROR(VLOOKUP(D93,ProjAppSvc!$A$4:$G$1500,2,FALSE),"none")</f>
        <v>none</v>
      </c>
    </row>
    <row r="94" spans="1:29" x14ac:dyDescent="0.45">
      <c r="A94" s="14" t="s">
        <v>23</v>
      </c>
      <c r="B94" s="14"/>
      <c r="C94" s="14"/>
      <c r="D94" s="14"/>
      <c r="H94" s="8"/>
      <c r="I94" s="3"/>
      <c r="J94" s="3" t="str">
        <f t="shared" si="4"/>
        <v/>
      </c>
      <c r="K94" s="3" t="str">
        <f>IF(ISNUMBER(SEARCH("-",V94)),IFERROR(IF($H$2="Lower", LOWER(ComputeResourceName(Z94,#REF!,#REF!,G94,N94,O94,P94,Q94,S94,T94,V94,A94)), UPPER(ComputeResourceName(Z94,#REF!,#REF!,G94,N94,O94,P94,Q94,S94,T94,V94,A94))),""),SUBSTITUTE(IFERROR(IF($H$2="Lower", LOWER(ComputeResourceName(#REF!,#REF!,#REF!,G94,N94,O94,P94,Q94,S94,T94,V94,A94)), UPPER(ComputeResourceName(#REF!,#REF!,#REF!,G94,N94,O94,P94,Q94,S94,T94,V94,A94))),""), "-",""))</f>
        <v/>
      </c>
      <c r="L94" s="3" t="str">
        <f xml:space="preserve"> IF(K94="","",  IFERROR(VLOOKUP(I94,Resources!$B$1:$H$1503,5,FALSE)-LEN(K94),0))</f>
        <v/>
      </c>
      <c r="M94" s="3" t="str">
        <f>IF(K94="","",IFERROR(matches(K94,VLOOKUP(I94,Resources!$A$2:$AA$1503,16,FALSE)),FALSE))</f>
        <v/>
      </c>
      <c r="N94" s="3" t="e">
        <f>VLOOKUP(E94,Enviroments!$A$3:$D$59,1,FALSE)</f>
        <v>#N/A</v>
      </c>
      <c r="O94" s="3" t="e">
        <f>VLOOKUP(E94,Enviroments!$A$3:$D$59,2,FALSE)</f>
        <v>#N/A</v>
      </c>
      <c r="P94" s="3" t="e">
        <f>VLOOKUP(E94,Enviroments!$A$3:$D$59,3,FALSE)</f>
        <v>#N/A</v>
      </c>
      <c r="Q94" s="3" t="e">
        <f>VLOOKUP(E94,Enviroments!$A$3:$D$59,4,FALSE)</f>
        <v>#N/A</v>
      </c>
      <c r="R94" s="3" t="e">
        <f>VLOOKUP(H94,AzureRegions!$A$4:$B$1493,1,FALSE)</f>
        <v>#N/A</v>
      </c>
      <c r="S94" s="3" t="e">
        <f>VLOOKUP(H94,AzureRegions!$A$4:$B$1493,2,FALSE)</f>
        <v>#N/A</v>
      </c>
      <c r="T94" s="3" t="e">
        <f>VLOOKUP(H94,AzureRegions!$A$4:$C$1493,3,FALSE)</f>
        <v>#N/A</v>
      </c>
      <c r="U94" s="3" t="e">
        <f>VLOOKUP(I94,Resources!$A$2:$AA$1503,2,FALSE)</f>
        <v>#N/A</v>
      </c>
      <c r="V94" s="3" t="e">
        <f>VLOOKUP(I94,Resources!$A$2:$H$1503,6,FALSE)</f>
        <v>#N/A</v>
      </c>
      <c r="W94" s="3" t="str">
        <f>VLOOKUP($H$2,Casing!$A$4:$A$60,1,FALSE)</f>
        <v>Lower</v>
      </c>
      <c r="X94" s="14" t="str">
        <f t="shared" si="3"/>
        <v>001</v>
      </c>
      <c r="Y94" s="3" t="str">
        <f>IFERROR(VLOOKUP(F94,Func!$A$4:$G$1500,2,FALSE),"none")</f>
        <v>none</v>
      </c>
      <c r="Z94" s="3" t="e">
        <f>VLOOKUP(I94,Resources!$A$2:$AA$1503,18,FALSE)</f>
        <v>#N/A</v>
      </c>
      <c r="AA94" s="3" t="str">
        <f>IFERROR(VLOOKUP(B94,Orgs!$A$4:$G$1500,2,FALSE),"none")</f>
        <v>none</v>
      </c>
      <c r="AB94" s="3" t="str">
        <f>IFERROR(VLOOKUP(C94,UnitsDepts!$A$4:$G$1500,2,FALSE),"none")</f>
        <v>none</v>
      </c>
      <c r="AC94" s="3" t="str">
        <f>IFERROR(VLOOKUP(D94,ProjAppSvc!$A$4:$G$1500,2,FALSE),"none")</f>
        <v>none</v>
      </c>
    </row>
    <row r="95" spans="1:29" x14ac:dyDescent="0.45">
      <c r="A95" s="14" t="s">
        <v>23</v>
      </c>
      <c r="B95" s="14"/>
      <c r="C95" s="14"/>
      <c r="D95" s="14"/>
      <c r="H95" s="8"/>
      <c r="I95" s="3"/>
      <c r="J95" s="3" t="str">
        <f t="shared" si="4"/>
        <v/>
      </c>
      <c r="K95" s="3" t="str">
        <f>IF(ISNUMBER(SEARCH("-",V95)),IFERROR(IF($H$2="Lower", LOWER(ComputeResourceName(Z95,#REF!,#REF!,G95,N95,O95,P95,Q95,S95,T95,V95,A95)), UPPER(ComputeResourceName(Z95,#REF!,#REF!,G95,N95,O95,P95,Q95,S95,T95,V95,A95))),""),SUBSTITUTE(IFERROR(IF($H$2="Lower", LOWER(ComputeResourceName(#REF!,#REF!,#REF!,G95,N95,O95,P95,Q95,S95,T95,V95,A95)), UPPER(ComputeResourceName(#REF!,#REF!,#REF!,G95,N95,O95,P95,Q95,S95,T95,V95,A95))),""), "-",""))</f>
        <v/>
      </c>
      <c r="L95" s="3" t="str">
        <f xml:space="preserve"> IF(K95="","",  IFERROR(VLOOKUP(I95,Resources!$B$1:$H$1503,5,FALSE)-LEN(K95),0))</f>
        <v/>
      </c>
      <c r="M95" s="3" t="str">
        <f>IF(K95="","",IFERROR(matches(K95,VLOOKUP(I95,Resources!$A$2:$AA$1503,16,FALSE)),FALSE))</f>
        <v/>
      </c>
      <c r="N95" s="3" t="e">
        <f>VLOOKUP(E95,Enviroments!$A$3:$D$59,1,FALSE)</f>
        <v>#N/A</v>
      </c>
      <c r="O95" s="3" t="e">
        <f>VLOOKUP(E95,Enviroments!$A$3:$D$59,2,FALSE)</f>
        <v>#N/A</v>
      </c>
      <c r="P95" s="3" t="e">
        <f>VLOOKUP(E95,Enviroments!$A$3:$D$59,3,FALSE)</f>
        <v>#N/A</v>
      </c>
      <c r="Q95" s="3" t="e">
        <f>VLOOKUP(E95,Enviroments!$A$3:$D$59,4,FALSE)</f>
        <v>#N/A</v>
      </c>
      <c r="R95" s="3" t="e">
        <f>VLOOKUP(H95,AzureRegions!$A$4:$B$1493,1,FALSE)</f>
        <v>#N/A</v>
      </c>
      <c r="S95" s="3" t="e">
        <f>VLOOKUP(H95,AzureRegions!$A$4:$B$1493,2,FALSE)</f>
        <v>#N/A</v>
      </c>
      <c r="T95" s="3" t="e">
        <f>VLOOKUP(H95,AzureRegions!$A$4:$C$1493,3,FALSE)</f>
        <v>#N/A</v>
      </c>
      <c r="U95" s="3" t="e">
        <f>VLOOKUP(I95,Resources!$A$2:$AA$1503,2,FALSE)</f>
        <v>#N/A</v>
      </c>
      <c r="V95" s="3" t="e">
        <f>VLOOKUP(I95,Resources!$A$2:$H$1503,6,FALSE)</f>
        <v>#N/A</v>
      </c>
      <c r="W95" s="3" t="str">
        <f>VLOOKUP($H$2,Casing!$A$4:$A$60,1,FALSE)</f>
        <v>Lower</v>
      </c>
      <c r="X95" s="14" t="str">
        <f t="shared" si="3"/>
        <v>001</v>
      </c>
      <c r="Y95" s="3" t="str">
        <f>IFERROR(VLOOKUP(F95,Func!$A$4:$G$1500,2,FALSE),"none")</f>
        <v>none</v>
      </c>
      <c r="Z95" s="3" t="e">
        <f>VLOOKUP(I95,Resources!$A$2:$AA$1503,18,FALSE)</f>
        <v>#N/A</v>
      </c>
      <c r="AA95" s="3" t="str">
        <f>IFERROR(VLOOKUP(B95,Orgs!$A$4:$G$1500,2,FALSE),"none")</f>
        <v>none</v>
      </c>
      <c r="AB95" s="3" t="str">
        <f>IFERROR(VLOOKUP(C95,UnitsDepts!$A$4:$G$1500,2,FALSE),"none")</f>
        <v>none</v>
      </c>
      <c r="AC95" s="3" t="str">
        <f>IFERROR(VLOOKUP(D95,ProjAppSvc!$A$4:$G$1500,2,FALSE),"none")</f>
        <v>none</v>
      </c>
    </row>
    <row r="96" spans="1:29" x14ac:dyDescent="0.45">
      <c r="A96" s="14" t="s">
        <v>23</v>
      </c>
      <c r="B96" s="14"/>
      <c r="C96" s="14"/>
      <c r="D96" s="14"/>
      <c r="H96" s="8"/>
      <c r="I96" s="3"/>
      <c r="J96" s="3" t="str">
        <f t="shared" si="4"/>
        <v/>
      </c>
      <c r="K96" s="3" t="str">
        <f>IF(ISNUMBER(SEARCH("-",V96)),IFERROR(IF($H$2="Lower", LOWER(ComputeResourceName(Z96,#REF!,#REF!,G96,N96,O96,P96,Q96,S96,T96,V96,A96)), UPPER(ComputeResourceName(Z96,#REF!,#REF!,G96,N96,O96,P96,Q96,S96,T96,V96,A96))),""),SUBSTITUTE(IFERROR(IF($H$2="Lower", LOWER(ComputeResourceName(#REF!,#REF!,#REF!,G96,N96,O96,P96,Q96,S96,T96,V96,A96)), UPPER(ComputeResourceName(#REF!,#REF!,#REF!,G96,N96,O96,P96,Q96,S96,T96,V96,A96))),""), "-",""))</f>
        <v/>
      </c>
      <c r="L96" s="3" t="str">
        <f xml:space="preserve"> IF(K96="","",  IFERROR(VLOOKUP(I96,Resources!$B$1:$H$1503,5,FALSE)-LEN(K96),0))</f>
        <v/>
      </c>
      <c r="M96" s="3" t="str">
        <f>IF(K96="","",IFERROR(matches(K96,VLOOKUP(I96,Resources!$A$2:$AA$1503,16,FALSE)),FALSE))</f>
        <v/>
      </c>
      <c r="N96" s="3" t="e">
        <f>VLOOKUP(E96,Enviroments!$A$3:$D$59,1,FALSE)</f>
        <v>#N/A</v>
      </c>
      <c r="O96" s="3" t="e">
        <f>VLOOKUP(E96,Enviroments!$A$3:$D$59,2,FALSE)</f>
        <v>#N/A</v>
      </c>
      <c r="P96" s="3" t="e">
        <f>VLOOKUP(E96,Enviroments!$A$3:$D$59,3,FALSE)</f>
        <v>#N/A</v>
      </c>
      <c r="Q96" s="3" t="e">
        <f>VLOOKUP(E96,Enviroments!$A$3:$D$59,4,FALSE)</f>
        <v>#N/A</v>
      </c>
      <c r="R96" s="3" t="e">
        <f>VLOOKUP(H96,AzureRegions!$A$4:$B$1493,1,FALSE)</f>
        <v>#N/A</v>
      </c>
      <c r="S96" s="3" t="e">
        <f>VLOOKUP(H96,AzureRegions!$A$4:$B$1493,2,FALSE)</f>
        <v>#N/A</v>
      </c>
      <c r="T96" s="3" t="e">
        <f>VLOOKUP(H96,AzureRegions!$A$4:$C$1493,3,FALSE)</f>
        <v>#N/A</v>
      </c>
      <c r="U96" s="3" t="e">
        <f>VLOOKUP(I96,Resources!$A$2:$AA$1503,2,FALSE)</f>
        <v>#N/A</v>
      </c>
      <c r="V96" s="3" t="e">
        <f>VLOOKUP(I96,Resources!$A$2:$H$1503,6,FALSE)</f>
        <v>#N/A</v>
      </c>
      <c r="W96" s="3" t="str">
        <f>VLOOKUP($H$2,Casing!$A$4:$A$60,1,FALSE)</f>
        <v>Lower</v>
      </c>
      <c r="X96" s="14" t="str">
        <f t="shared" si="3"/>
        <v>001</v>
      </c>
      <c r="Y96" s="3" t="str">
        <f>IFERROR(VLOOKUP(F96,Func!$A$4:$G$1500,2,FALSE),"none")</f>
        <v>none</v>
      </c>
      <c r="Z96" s="3" t="e">
        <f>VLOOKUP(I96,Resources!$A$2:$AA$1503,18,FALSE)</f>
        <v>#N/A</v>
      </c>
      <c r="AA96" s="3" t="str">
        <f>IFERROR(VLOOKUP(B96,Orgs!$A$4:$G$1500,2,FALSE),"none")</f>
        <v>none</v>
      </c>
      <c r="AB96" s="3" t="str">
        <f>IFERROR(VLOOKUP(C96,UnitsDepts!$A$4:$G$1500,2,FALSE),"none")</f>
        <v>none</v>
      </c>
      <c r="AC96" s="3" t="str">
        <f>IFERROR(VLOOKUP(D96,ProjAppSvc!$A$4:$G$1500,2,FALSE),"none")</f>
        <v>none</v>
      </c>
    </row>
    <row r="97" spans="1:29" x14ac:dyDescent="0.45">
      <c r="A97" s="14" t="s">
        <v>23</v>
      </c>
      <c r="B97" s="14"/>
      <c r="C97" s="14"/>
      <c r="D97" s="14"/>
      <c r="H97" s="8"/>
      <c r="I97" s="3"/>
      <c r="J97" s="3" t="str">
        <f t="shared" si="4"/>
        <v/>
      </c>
      <c r="K97" s="3" t="str">
        <f>IF(ISNUMBER(SEARCH("-",V97)),IFERROR(IF($H$2="Lower", LOWER(ComputeResourceName(Z97,#REF!,#REF!,G97,N97,O97,P97,Q97,S97,T97,V97,A97)), UPPER(ComputeResourceName(Z97,#REF!,#REF!,G97,N97,O97,P97,Q97,S97,T97,V97,A97))),""),SUBSTITUTE(IFERROR(IF($H$2="Lower", LOWER(ComputeResourceName(#REF!,#REF!,#REF!,G97,N97,O97,P97,Q97,S97,T97,V97,A97)), UPPER(ComputeResourceName(#REF!,#REF!,#REF!,G97,N97,O97,P97,Q97,S97,T97,V97,A97))),""), "-",""))</f>
        <v/>
      </c>
      <c r="L97" s="3" t="str">
        <f xml:space="preserve"> IF(K97="","",  IFERROR(VLOOKUP(I97,Resources!$B$1:$H$1503,5,FALSE)-LEN(K97),0))</f>
        <v/>
      </c>
      <c r="M97" s="3" t="str">
        <f>IF(K97="","",IFERROR(matches(K97,VLOOKUP(I97,Resources!$A$2:$AA$1503,16,FALSE)),FALSE))</f>
        <v/>
      </c>
      <c r="N97" s="3" t="e">
        <f>VLOOKUP(E97,Enviroments!$A$3:$D$59,1,FALSE)</f>
        <v>#N/A</v>
      </c>
      <c r="O97" s="3" t="e">
        <f>VLOOKUP(E97,Enviroments!$A$3:$D$59,2,FALSE)</f>
        <v>#N/A</v>
      </c>
      <c r="P97" s="3" t="e">
        <f>VLOOKUP(E97,Enviroments!$A$3:$D$59,3,FALSE)</f>
        <v>#N/A</v>
      </c>
      <c r="Q97" s="3" t="e">
        <f>VLOOKUP(E97,Enviroments!$A$3:$D$59,4,FALSE)</f>
        <v>#N/A</v>
      </c>
      <c r="R97" s="3" t="e">
        <f>VLOOKUP(H97,AzureRegions!$A$4:$B$1493,1,FALSE)</f>
        <v>#N/A</v>
      </c>
      <c r="S97" s="3" t="e">
        <f>VLOOKUP(H97,AzureRegions!$A$4:$B$1493,2,FALSE)</f>
        <v>#N/A</v>
      </c>
      <c r="T97" s="3" t="e">
        <f>VLOOKUP(H97,AzureRegions!$A$4:$C$1493,3,FALSE)</f>
        <v>#N/A</v>
      </c>
      <c r="U97" s="3" t="e">
        <f>VLOOKUP(I97,Resources!$A$2:$AA$1503,2,FALSE)</f>
        <v>#N/A</v>
      </c>
      <c r="V97" s="3" t="e">
        <f>VLOOKUP(I97,Resources!$A$2:$H$1503,6,FALSE)</f>
        <v>#N/A</v>
      </c>
      <c r="W97" s="3" t="str">
        <f>VLOOKUP($H$2,Casing!$A$4:$A$60,1,FALSE)</f>
        <v>Lower</v>
      </c>
      <c r="X97" s="14" t="str">
        <f t="shared" si="3"/>
        <v>001</v>
      </c>
      <c r="Y97" s="3" t="str">
        <f>IFERROR(VLOOKUP(F97,Func!$A$4:$G$1500,2,FALSE),"none")</f>
        <v>none</v>
      </c>
      <c r="Z97" s="3" t="e">
        <f>VLOOKUP(I97,Resources!$A$2:$AA$1503,18,FALSE)</f>
        <v>#N/A</v>
      </c>
      <c r="AA97" s="3" t="str">
        <f>IFERROR(VLOOKUP(B97,Orgs!$A$4:$G$1500,2,FALSE),"none")</f>
        <v>none</v>
      </c>
      <c r="AB97" s="3" t="str">
        <f>IFERROR(VLOOKUP(C97,UnitsDepts!$A$4:$G$1500,2,FALSE),"none")</f>
        <v>none</v>
      </c>
      <c r="AC97" s="3" t="str">
        <f>IFERROR(VLOOKUP(D97,ProjAppSvc!$A$4:$G$1500,2,FALSE),"none")</f>
        <v>none</v>
      </c>
    </row>
    <row r="98" spans="1:29" x14ac:dyDescent="0.45">
      <c r="A98" s="14" t="s">
        <v>23</v>
      </c>
      <c r="B98" s="14"/>
      <c r="C98" s="14"/>
      <c r="D98" s="14"/>
      <c r="H98" s="8"/>
      <c r="I98" s="3"/>
      <c r="J98" s="3" t="str">
        <f t="shared" si="4"/>
        <v/>
      </c>
      <c r="K98" s="3" t="str">
        <f>IF(ISNUMBER(SEARCH("-",V98)),IFERROR(IF($H$2="Lower", LOWER(ComputeResourceName(Z98,#REF!,#REF!,G98,N98,O98,P98,Q98,S98,T98,V98,A98)), UPPER(ComputeResourceName(Z98,#REF!,#REF!,G98,N98,O98,P98,Q98,S98,T98,V98,A98))),""),SUBSTITUTE(IFERROR(IF($H$2="Lower", LOWER(ComputeResourceName(#REF!,#REF!,#REF!,G98,N98,O98,P98,Q98,S98,T98,V98,A98)), UPPER(ComputeResourceName(#REF!,#REF!,#REF!,G98,N98,O98,P98,Q98,S98,T98,V98,A98))),""), "-",""))</f>
        <v/>
      </c>
      <c r="L98" s="3" t="str">
        <f xml:space="preserve"> IF(K98="","",  IFERROR(VLOOKUP(I98,Resources!$B$1:$H$1503,5,FALSE)-LEN(K98),0))</f>
        <v/>
      </c>
      <c r="M98" s="3" t="str">
        <f>IF(K98="","",IFERROR(matches(K98,VLOOKUP(I98,Resources!$A$2:$AA$1503,16,FALSE)),FALSE))</f>
        <v/>
      </c>
      <c r="N98" s="3" t="e">
        <f>VLOOKUP(E98,Enviroments!$A$3:$D$59,1,FALSE)</f>
        <v>#N/A</v>
      </c>
      <c r="O98" s="3" t="e">
        <f>VLOOKUP(E98,Enviroments!$A$3:$D$59,2,FALSE)</f>
        <v>#N/A</v>
      </c>
      <c r="P98" s="3" t="e">
        <f>VLOOKUP(E98,Enviroments!$A$3:$D$59,3,FALSE)</f>
        <v>#N/A</v>
      </c>
      <c r="Q98" s="3" t="e">
        <f>VLOOKUP(E98,Enviroments!$A$3:$D$59,4,FALSE)</f>
        <v>#N/A</v>
      </c>
      <c r="R98" s="3" t="e">
        <f>VLOOKUP(H98,AzureRegions!$A$4:$B$1493,1,FALSE)</f>
        <v>#N/A</v>
      </c>
      <c r="S98" s="3" t="e">
        <f>VLOOKUP(H98,AzureRegions!$A$4:$B$1493,2,FALSE)</f>
        <v>#N/A</v>
      </c>
      <c r="T98" s="3" t="e">
        <f>VLOOKUP(H98,AzureRegions!$A$4:$C$1493,3,FALSE)</f>
        <v>#N/A</v>
      </c>
      <c r="U98" s="3" t="e">
        <f>VLOOKUP(I98,Resources!$A$2:$AA$1503,2,FALSE)</f>
        <v>#N/A</v>
      </c>
      <c r="V98" s="3" t="e">
        <f>VLOOKUP(I98,Resources!$A$2:$H$1503,6,FALSE)</f>
        <v>#N/A</v>
      </c>
      <c r="W98" s="3" t="str">
        <f>VLOOKUP($H$2,Casing!$A$4:$A$60,1,FALSE)</f>
        <v>Lower</v>
      </c>
      <c r="X98" s="14" t="str">
        <f t="shared" si="3"/>
        <v>001</v>
      </c>
      <c r="Y98" s="3" t="str">
        <f>IFERROR(VLOOKUP(F98,Func!$A$4:$G$1500,2,FALSE),"none")</f>
        <v>none</v>
      </c>
      <c r="Z98" s="3" t="e">
        <f>VLOOKUP(I98,Resources!$A$2:$AA$1503,18,FALSE)</f>
        <v>#N/A</v>
      </c>
      <c r="AA98" s="3" t="str">
        <f>IFERROR(VLOOKUP(B98,Orgs!$A$4:$G$1500,2,FALSE),"none")</f>
        <v>none</v>
      </c>
      <c r="AB98" s="3" t="str">
        <f>IFERROR(VLOOKUP(C98,UnitsDepts!$A$4:$G$1500,2,FALSE),"none")</f>
        <v>none</v>
      </c>
      <c r="AC98" s="3" t="str">
        <f>IFERROR(VLOOKUP(D98,ProjAppSvc!$A$4:$G$1500,2,FALSE),"none")</f>
        <v>none</v>
      </c>
    </row>
    <row r="99" spans="1:29" x14ac:dyDescent="0.45">
      <c r="A99" s="14" t="s">
        <v>23</v>
      </c>
      <c r="B99" s="14"/>
      <c r="C99" s="14"/>
      <c r="D99" s="14"/>
      <c r="H99" s="8"/>
      <c r="I99" s="3"/>
      <c r="J99" s="3" t="str">
        <f t="shared" si="4"/>
        <v/>
      </c>
      <c r="K99" s="3" t="str">
        <f>IF(ISNUMBER(SEARCH("-",V99)),IFERROR(IF($H$2="Lower", LOWER(ComputeResourceName(Z99,#REF!,#REF!,G99,N99,O99,P99,Q99,S99,T99,V99,A99)), UPPER(ComputeResourceName(Z99,#REF!,#REF!,G99,N99,O99,P99,Q99,S99,T99,V99,A99))),""),SUBSTITUTE(IFERROR(IF($H$2="Lower", LOWER(ComputeResourceName(#REF!,#REF!,#REF!,G99,N99,O99,P99,Q99,S99,T99,V99,A99)), UPPER(ComputeResourceName(#REF!,#REF!,#REF!,G99,N99,O99,P99,Q99,S99,T99,V99,A99))),""), "-",""))</f>
        <v/>
      </c>
      <c r="L99" s="3" t="str">
        <f xml:space="preserve"> IF(K99="","",  IFERROR(VLOOKUP(I99,Resources!$B$1:$H$1503,5,FALSE)-LEN(K99),0))</f>
        <v/>
      </c>
      <c r="M99" s="3" t="str">
        <f>IF(K99="","",IFERROR(matches(K99,VLOOKUP(I99,Resources!$A$2:$AA$1503,16,FALSE)),FALSE))</f>
        <v/>
      </c>
      <c r="N99" s="3" t="e">
        <f>VLOOKUP(E99,Enviroments!$A$3:$D$59,1,FALSE)</f>
        <v>#N/A</v>
      </c>
      <c r="O99" s="3" t="e">
        <f>VLOOKUP(E99,Enviroments!$A$3:$D$59,2,FALSE)</f>
        <v>#N/A</v>
      </c>
      <c r="P99" s="3" t="e">
        <f>VLOOKUP(E99,Enviroments!$A$3:$D$59,3,FALSE)</f>
        <v>#N/A</v>
      </c>
      <c r="Q99" s="3" t="e">
        <f>VLOOKUP(E99,Enviroments!$A$3:$D$59,4,FALSE)</f>
        <v>#N/A</v>
      </c>
      <c r="R99" s="3" t="e">
        <f>VLOOKUP(H99,AzureRegions!$A$4:$B$1493,1,FALSE)</f>
        <v>#N/A</v>
      </c>
      <c r="S99" s="3" t="e">
        <f>VLOOKUP(H99,AzureRegions!$A$4:$B$1493,2,FALSE)</f>
        <v>#N/A</v>
      </c>
      <c r="T99" s="3" t="e">
        <f>VLOOKUP(H99,AzureRegions!$A$4:$C$1493,3,FALSE)</f>
        <v>#N/A</v>
      </c>
      <c r="U99" s="3" t="e">
        <f>VLOOKUP(I99,Resources!$A$2:$AA$1503,2,FALSE)</f>
        <v>#N/A</v>
      </c>
      <c r="V99" s="3" t="e">
        <f>VLOOKUP(I99,Resources!$A$2:$H$1503,6,FALSE)</f>
        <v>#N/A</v>
      </c>
      <c r="W99" s="3" t="str">
        <f>VLOOKUP($H$2,Casing!$A$4:$A$60,1,FALSE)</f>
        <v>Lower</v>
      </c>
      <c r="X99" s="14" t="str">
        <f t="shared" si="3"/>
        <v>001</v>
      </c>
      <c r="Y99" s="3" t="str">
        <f>IFERROR(VLOOKUP(F99,Func!$A$4:$G$1500,2,FALSE),"none")</f>
        <v>none</v>
      </c>
      <c r="Z99" s="3" t="e">
        <f>VLOOKUP(I99,Resources!$A$2:$AA$1503,18,FALSE)</f>
        <v>#N/A</v>
      </c>
      <c r="AA99" s="3" t="str">
        <f>IFERROR(VLOOKUP(B99,Orgs!$A$4:$G$1500,2,FALSE),"none")</f>
        <v>none</v>
      </c>
      <c r="AB99" s="3" t="str">
        <f>IFERROR(VLOOKUP(C99,UnitsDepts!$A$4:$G$1500,2,FALSE),"none")</f>
        <v>none</v>
      </c>
      <c r="AC99" s="3" t="str">
        <f>IFERROR(VLOOKUP(D99,ProjAppSvc!$A$4:$G$1500,2,FALSE),"none")</f>
        <v>none</v>
      </c>
    </row>
    <row r="100" spans="1:29" x14ac:dyDescent="0.45">
      <c r="A100" s="14" t="s">
        <v>23</v>
      </c>
      <c r="B100" s="14"/>
      <c r="C100" s="14"/>
      <c r="D100" s="14"/>
      <c r="H100" s="8"/>
      <c r="I100" s="3"/>
      <c r="J100" s="3" t="str">
        <f t="shared" si="4"/>
        <v/>
      </c>
      <c r="K100" s="3" t="str">
        <f>IF(ISNUMBER(SEARCH("-",V100)),IFERROR(IF($H$2="Lower", LOWER(ComputeResourceName(Z100,#REF!,#REF!,G100,N100,O100,P100,Q100,S100,T100,V100,A100)), UPPER(ComputeResourceName(Z100,#REF!,#REF!,G100,N100,O100,P100,Q100,S100,T100,V100,A100))),""),SUBSTITUTE(IFERROR(IF($H$2="Lower", LOWER(ComputeResourceName(#REF!,#REF!,#REF!,G100,N100,O100,P100,Q100,S100,T100,V100,A100)), UPPER(ComputeResourceName(#REF!,#REF!,#REF!,G100,N100,O100,P100,Q100,S100,T100,V100,A100))),""), "-",""))</f>
        <v/>
      </c>
      <c r="L100" s="3" t="str">
        <f xml:space="preserve"> IF(K100="","",  IFERROR(VLOOKUP(I100,Resources!$B$1:$H$1503,5,FALSE)-LEN(K100),0))</f>
        <v/>
      </c>
      <c r="M100" s="3" t="str">
        <f>IF(K100="","",IFERROR(matches(K100,VLOOKUP(I100,Resources!$A$2:$AA$1503,16,FALSE)),FALSE))</f>
        <v/>
      </c>
      <c r="N100" s="3" t="e">
        <f>VLOOKUP(E100,Enviroments!$A$3:$D$59,1,FALSE)</f>
        <v>#N/A</v>
      </c>
      <c r="O100" s="3" t="e">
        <f>VLOOKUP(E100,Enviroments!$A$3:$D$59,2,FALSE)</f>
        <v>#N/A</v>
      </c>
      <c r="P100" s="3" t="e">
        <f>VLOOKUP(E100,Enviroments!$A$3:$D$59,3,FALSE)</f>
        <v>#N/A</v>
      </c>
      <c r="Q100" s="3" t="e">
        <f>VLOOKUP(E100,Enviroments!$A$3:$D$59,4,FALSE)</f>
        <v>#N/A</v>
      </c>
      <c r="R100" s="3" t="e">
        <f>VLOOKUP(H100,AzureRegions!$A$4:$B$1493,1,FALSE)</f>
        <v>#N/A</v>
      </c>
      <c r="S100" s="3" t="e">
        <f>VLOOKUP(H100,AzureRegions!$A$4:$B$1493,2,FALSE)</f>
        <v>#N/A</v>
      </c>
      <c r="T100" s="3" t="e">
        <f>VLOOKUP(H100,AzureRegions!$A$4:$C$1493,3,FALSE)</f>
        <v>#N/A</v>
      </c>
      <c r="U100" s="3" t="e">
        <f>VLOOKUP(I100,Resources!$A$2:$AA$1503,2,FALSE)</f>
        <v>#N/A</v>
      </c>
      <c r="V100" s="3" t="e">
        <f>VLOOKUP(I100,Resources!$A$2:$H$1503,6,FALSE)</f>
        <v>#N/A</v>
      </c>
      <c r="W100" s="3" t="str">
        <f>VLOOKUP($H$2,Casing!$A$4:$A$60,1,FALSE)</f>
        <v>Lower</v>
      </c>
      <c r="X100" s="14" t="str">
        <f t="shared" si="3"/>
        <v>001</v>
      </c>
      <c r="Y100" s="3" t="str">
        <f>IFERROR(VLOOKUP(F100,Func!$A$4:$G$1500,2,FALSE),"none")</f>
        <v>none</v>
      </c>
      <c r="Z100" s="3" t="e">
        <f>VLOOKUP(I100,Resources!$A$2:$AA$1503,18,FALSE)</f>
        <v>#N/A</v>
      </c>
      <c r="AA100" s="3" t="str">
        <f>IFERROR(VLOOKUP(B100,Orgs!$A$4:$G$1500,2,FALSE),"none")</f>
        <v>none</v>
      </c>
      <c r="AB100" s="3" t="str">
        <f>IFERROR(VLOOKUP(C100,UnitsDepts!$A$4:$G$1500,2,FALSE),"none")</f>
        <v>none</v>
      </c>
      <c r="AC100" s="3" t="str">
        <f>IFERROR(VLOOKUP(D100,ProjAppSvc!$A$4:$G$1500,2,FALSE),"none")</f>
        <v>none</v>
      </c>
    </row>
    <row r="101" spans="1:29" x14ac:dyDescent="0.45">
      <c r="A101" s="14" t="s">
        <v>23</v>
      </c>
      <c r="B101" s="14"/>
      <c r="C101" s="14"/>
      <c r="D101" s="14"/>
      <c r="H101" s="8"/>
      <c r="I101" s="3"/>
      <c r="J101" s="3" t="str">
        <f t="shared" si="4"/>
        <v/>
      </c>
      <c r="K101" s="3" t="str">
        <f>IF(ISNUMBER(SEARCH("-",V101)),IFERROR(IF($H$2="Lower", LOWER(ComputeResourceName(Z101,#REF!,#REF!,G101,N101,O101,P101,Q101,S101,T101,V101,A101)), UPPER(ComputeResourceName(Z101,#REF!,#REF!,G101,N101,O101,P101,Q101,S101,T101,V101,A101))),""),SUBSTITUTE(IFERROR(IF($H$2="Lower", LOWER(ComputeResourceName(#REF!,#REF!,#REF!,G101,N101,O101,P101,Q101,S101,T101,V101,A101)), UPPER(ComputeResourceName(#REF!,#REF!,#REF!,G101,N101,O101,P101,Q101,S101,T101,V101,A101))),""), "-",""))</f>
        <v/>
      </c>
      <c r="L101" s="3" t="str">
        <f xml:space="preserve"> IF(K101="","",  IFERROR(VLOOKUP(I101,Resources!$B$1:$H$1503,5,FALSE)-LEN(K101),0))</f>
        <v/>
      </c>
      <c r="M101" s="3" t="str">
        <f>IF(K101="","",IFERROR(matches(K101,VLOOKUP(I101,Resources!$A$2:$AA$1503,16,FALSE)),FALSE))</f>
        <v/>
      </c>
      <c r="N101" s="3" t="e">
        <f>VLOOKUP(E101,Enviroments!$A$3:$D$59,1,FALSE)</f>
        <v>#N/A</v>
      </c>
      <c r="O101" s="3" t="e">
        <f>VLOOKUP(E101,Enviroments!$A$3:$D$59,2,FALSE)</f>
        <v>#N/A</v>
      </c>
      <c r="P101" s="3" t="e">
        <f>VLOOKUP(E101,Enviroments!$A$3:$D$59,3,FALSE)</f>
        <v>#N/A</v>
      </c>
      <c r="Q101" s="3" t="e">
        <f>VLOOKUP(E101,Enviroments!$A$3:$D$59,4,FALSE)</f>
        <v>#N/A</v>
      </c>
      <c r="R101" s="3" t="e">
        <f>VLOOKUP(H101,AzureRegions!$A$4:$B$1493,1,FALSE)</f>
        <v>#N/A</v>
      </c>
      <c r="S101" s="3" t="e">
        <f>VLOOKUP(H101,AzureRegions!$A$4:$B$1493,2,FALSE)</f>
        <v>#N/A</v>
      </c>
      <c r="T101" s="3" t="e">
        <f>VLOOKUP(H101,AzureRegions!$A$4:$C$1493,3,FALSE)</f>
        <v>#N/A</v>
      </c>
      <c r="U101" s="3" t="e">
        <f>VLOOKUP(I101,Resources!$A$2:$AA$1503,2,FALSE)</f>
        <v>#N/A</v>
      </c>
      <c r="V101" s="3" t="e">
        <f>VLOOKUP(I101,Resources!$A$2:$H$1503,6,FALSE)</f>
        <v>#N/A</v>
      </c>
      <c r="W101" s="3" t="str">
        <f>VLOOKUP($H$2,Casing!$A$4:$A$60,1,FALSE)</f>
        <v>Lower</v>
      </c>
      <c r="X101" s="14" t="str">
        <f t="shared" si="3"/>
        <v>001</v>
      </c>
      <c r="Y101" s="3" t="str">
        <f>IFERROR(VLOOKUP(F101,Func!$A$4:$G$1500,2,FALSE),"none")</f>
        <v>none</v>
      </c>
      <c r="Z101" s="3" t="e">
        <f>VLOOKUP(I101,Resources!$A$2:$AA$1503,18,FALSE)</f>
        <v>#N/A</v>
      </c>
      <c r="AA101" s="3" t="str">
        <f>IFERROR(VLOOKUP(B101,Orgs!$A$4:$G$1500,2,FALSE),"none")</f>
        <v>none</v>
      </c>
      <c r="AB101" s="3" t="str">
        <f>IFERROR(VLOOKUP(C101,UnitsDepts!$A$4:$G$1500,2,FALSE),"none")</f>
        <v>none</v>
      </c>
      <c r="AC101" s="3" t="str">
        <f>IFERROR(VLOOKUP(D101,ProjAppSvc!$A$4:$G$1500,2,FALSE),"none")</f>
        <v>none</v>
      </c>
    </row>
    <row r="102" spans="1:29" x14ac:dyDescent="0.45">
      <c r="A102" s="14" t="s">
        <v>23</v>
      </c>
      <c r="B102" s="14"/>
      <c r="C102" s="14"/>
      <c r="D102" s="14"/>
      <c r="H102" s="8"/>
      <c r="I102" s="3"/>
      <c r="J102" s="3" t="str">
        <f t="shared" si="4"/>
        <v/>
      </c>
      <c r="K102" s="3" t="str">
        <f>IF(ISNUMBER(SEARCH("-",V102)),IFERROR(IF($H$2="Lower", LOWER(ComputeResourceName(Z102,#REF!,#REF!,G102,N102,O102,P102,Q102,S102,T102,V102,A102)), UPPER(ComputeResourceName(Z102,#REF!,#REF!,G102,N102,O102,P102,Q102,S102,T102,V102,A102))),""),SUBSTITUTE(IFERROR(IF($H$2="Lower", LOWER(ComputeResourceName(#REF!,#REF!,#REF!,G102,N102,O102,P102,Q102,S102,T102,V102,A102)), UPPER(ComputeResourceName(#REF!,#REF!,#REF!,G102,N102,O102,P102,Q102,S102,T102,V102,A102))),""), "-",""))</f>
        <v/>
      </c>
      <c r="L102" s="3" t="str">
        <f xml:space="preserve"> IF(K102="","",  IFERROR(VLOOKUP(I102,Resources!$B$1:$H$1503,5,FALSE)-LEN(K102),0))</f>
        <v/>
      </c>
      <c r="M102" s="3" t="str">
        <f>IF(K102="","",IFERROR(matches(K102,VLOOKUP(I102,Resources!$A$2:$AA$1503,16,FALSE)),FALSE))</f>
        <v/>
      </c>
      <c r="N102" s="3" t="e">
        <f>VLOOKUP(E102,Enviroments!$A$3:$D$59,1,FALSE)</f>
        <v>#N/A</v>
      </c>
      <c r="O102" s="3" t="e">
        <f>VLOOKUP(E102,Enviroments!$A$3:$D$59,2,FALSE)</f>
        <v>#N/A</v>
      </c>
      <c r="P102" s="3" t="e">
        <f>VLOOKUP(E102,Enviroments!$A$3:$D$59,3,FALSE)</f>
        <v>#N/A</v>
      </c>
      <c r="Q102" s="3" t="e">
        <f>VLOOKUP(E102,Enviroments!$A$3:$D$59,4,FALSE)</f>
        <v>#N/A</v>
      </c>
      <c r="R102" s="3" t="e">
        <f>VLOOKUP(H102,AzureRegions!$A$4:$B$1493,1,FALSE)</f>
        <v>#N/A</v>
      </c>
      <c r="S102" s="3" t="e">
        <f>VLOOKUP(H102,AzureRegions!$A$4:$B$1493,2,FALSE)</f>
        <v>#N/A</v>
      </c>
      <c r="T102" s="3" t="e">
        <f>VLOOKUP(H102,AzureRegions!$A$4:$C$1493,3,FALSE)</f>
        <v>#N/A</v>
      </c>
      <c r="U102" s="3" t="e">
        <f>VLOOKUP(I102,Resources!$A$2:$AA$1503,2,FALSE)</f>
        <v>#N/A</v>
      </c>
      <c r="V102" s="3" t="e">
        <f>VLOOKUP(I102,Resources!$A$2:$H$1503,6,FALSE)</f>
        <v>#N/A</v>
      </c>
      <c r="W102" s="3" t="str">
        <f>VLOOKUP($H$2,Casing!$A$4:$A$60,1,FALSE)</f>
        <v>Lower</v>
      </c>
      <c r="X102" s="14" t="str">
        <f t="shared" si="3"/>
        <v>001</v>
      </c>
      <c r="Y102" s="3" t="str">
        <f>IFERROR(VLOOKUP(F102,Func!$A$4:$G$1500,2,FALSE),"none")</f>
        <v>none</v>
      </c>
      <c r="Z102" s="3" t="e">
        <f>VLOOKUP(I102,Resources!$A$2:$AA$1503,18,FALSE)</f>
        <v>#N/A</v>
      </c>
      <c r="AA102" s="3" t="str">
        <f>IFERROR(VLOOKUP(B102,Orgs!$A$4:$G$1500,2,FALSE),"none")</f>
        <v>none</v>
      </c>
      <c r="AB102" s="3" t="str">
        <f>IFERROR(VLOOKUP(C102,UnitsDepts!$A$4:$G$1500,2,FALSE),"none")</f>
        <v>none</v>
      </c>
      <c r="AC102" s="3" t="str">
        <f>IFERROR(VLOOKUP(D102,ProjAppSvc!$A$4:$G$1500,2,FALSE),"none")</f>
        <v>none</v>
      </c>
    </row>
    <row r="103" spans="1:29" x14ac:dyDescent="0.45">
      <c r="A103" s="14" t="s">
        <v>23</v>
      </c>
      <c r="B103" s="14"/>
      <c r="C103" s="14"/>
      <c r="D103" s="14"/>
      <c r="H103" s="8"/>
      <c r="I103" s="3"/>
      <c r="J103" s="3" t="str">
        <f t="shared" si="4"/>
        <v/>
      </c>
      <c r="K103" s="3" t="str">
        <f>IF(ISNUMBER(SEARCH("-",V103)),IFERROR(IF($H$2="Lower", LOWER(ComputeResourceName(Z103,#REF!,#REF!,G103,N103,O103,P103,Q103,S103,T103,V103,A103)), UPPER(ComputeResourceName(Z103,#REF!,#REF!,G103,N103,O103,P103,Q103,S103,T103,V103,A103))),""),SUBSTITUTE(IFERROR(IF($H$2="Lower", LOWER(ComputeResourceName(#REF!,#REF!,#REF!,G103,N103,O103,P103,Q103,S103,T103,V103,A103)), UPPER(ComputeResourceName(#REF!,#REF!,#REF!,G103,N103,O103,P103,Q103,S103,T103,V103,A103))),""), "-",""))</f>
        <v/>
      </c>
      <c r="L103" s="3" t="str">
        <f xml:space="preserve"> IF(K103="","",  IFERROR(VLOOKUP(I103,Resources!$B$1:$H$1503,5,FALSE)-LEN(K103),0))</f>
        <v/>
      </c>
      <c r="M103" s="3" t="str">
        <f>IF(K103="","",IFERROR(matches(K103,VLOOKUP(I103,Resources!$A$2:$AA$1503,16,FALSE)),FALSE))</f>
        <v/>
      </c>
      <c r="N103" s="3" t="e">
        <f>VLOOKUP(E103,Enviroments!$A$3:$D$59,1,FALSE)</f>
        <v>#N/A</v>
      </c>
      <c r="O103" s="3" t="e">
        <f>VLOOKUP(E103,Enviroments!$A$3:$D$59,2,FALSE)</f>
        <v>#N/A</v>
      </c>
      <c r="P103" s="3" t="e">
        <f>VLOOKUP(E103,Enviroments!$A$3:$D$59,3,FALSE)</f>
        <v>#N/A</v>
      </c>
      <c r="Q103" s="3" t="e">
        <f>VLOOKUP(E103,Enviroments!$A$3:$D$59,4,FALSE)</f>
        <v>#N/A</v>
      </c>
      <c r="R103" s="3" t="e">
        <f>VLOOKUP(H103,AzureRegions!$A$4:$B$1493,1,FALSE)</f>
        <v>#N/A</v>
      </c>
      <c r="S103" s="3" t="e">
        <f>VLOOKUP(H103,AzureRegions!$A$4:$B$1493,2,FALSE)</f>
        <v>#N/A</v>
      </c>
      <c r="T103" s="3" t="e">
        <f>VLOOKUP(H103,AzureRegions!$A$4:$C$1493,3,FALSE)</f>
        <v>#N/A</v>
      </c>
      <c r="U103" s="3" t="e">
        <f>VLOOKUP(I103,Resources!$A$2:$AA$1503,2,FALSE)</f>
        <v>#N/A</v>
      </c>
      <c r="V103" s="3" t="e">
        <f>VLOOKUP(I103,Resources!$A$2:$H$1503,6,FALSE)</f>
        <v>#N/A</v>
      </c>
      <c r="W103" s="3" t="str">
        <f>VLOOKUP($H$2,Casing!$A$4:$A$60,1,FALSE)</f>
        <v>Lower</v>
      </c>
      <c r="X103" s="14" t="str">
        <f t="shared" si="3"/>
        <v>001</v>
      </c>
      <c r="Y103" s="3" t="str">
        <f>IFERROR(VLOOKUP(F103,Func!$A$4:$G$1500,2,FALSE),"none")</f>
        <v>none</v>
      </c>
      <c r="Z103" s="3" t="e">
        <f>VLOOKUP(I103,Resources!$A$2:$AA$1503,18,FALSE)</f>
        <v>#N/A</v>
      </c>
      <c r="AA103" s="3" t="str">
        <f>IFERROR(VLOOKUP(B103,Orgs!$A$4:$G$1500,2,FALSE),"none")</f>
        <v>none</v>
      </c>
      <c r="AB103" s="3" t="str">
        <f>IFERROR(VLOOKUP(C103,UnitsDepts!$A$4:$G$1500,2,FALSE),"none")</f>
        <v>none</v>
      </c>
      <c r="AC103" s="3" t="str">
        <f>IFERROR(VLOOKUP(D103,ProjAppSvc!$A$4:$G$1500,2,FALSE),"none")</f>
        <v>none</v>
      </c>
    </row>
    <row r="104" spans="1:29" x14ac:dyDescent="0.45">
      <c r="A104" s="14" t="s">
        <v>23</v>
      </c>
      <c r="B104" s="14"/>
      <c r="C104" s="14"/>
      <c r="D104" s="14"/>
      <c r="H104" s="8"/>
      <c r="I104" s="3"/>
      <c r="J104" s="3" t="str">
        <f t="shared" si="4"/>
        <v/>
      </c>
      <c r="K104" s="3" t="str">
        <f>IF(ISNUMBER(SEARCH("-",V104)),IFERROR(IF($H$2="Lower", LOWER(ComputeResourceName(Z104,#REF!,#REF!,G104,N104,O104,P104,Q104,S104,T104,V104,A104)), UPPER(ComputeResourceName(Z104,#REF!,#REF!,G104,N104,O104,P104,Q104,S104,T104,V104,A104))),""),SUBSTITUTE(IFERROR(IF($H$2="Lower", LOWER(ComputeResourceName(#REF!,#REF!,#REF!,G104,N104,O104,P104,Q104,S104,T104,V104,A104)), UPPER(ComputeResourceName(#REF!,#REF!,#REF!,G104,N104,O104,P104,Q104,S104,T104,V104,A104))),""), "-",""))</f>
        <v/>
      </c>
      <c r="L104" s="3" t="str">
        <f xml:space="preserve"> IF(K104="","",  IFERROR(VLOOKUP(I104,Resources!$B$1:$H$1503,5,FALSE)-LEN(K104),0))</f>
        <v/>
      </c>
      <c r="M104" s="3" t="str">
        <f>IF(K104="","",IFERROR(matches(K104,VLOOKUP(I104,Resources!$A$2:$AA$1503,16,FALSE)),FALSE))</f>
        <v/>
      </c>
      <c r="N104" s="3" t="e">
        <f>VLOOKUP(E104,Enviroments!$A$3:$D$59,1,FALSE)</f>
        <v>#N/A</v>
      </c>
      <c r="O104" s="3" t="e">
        <f>VLOOKUP(E104,Enviroments!$A$3:$D$59,2,FALSE)</f>
        <v>#N/A</v>
      </c>
      <c r="P104" s="3" t="e">
        <f>VLOOKUP(E104,Enviroments!$A$3:$D$59,3,FALSE)</f>
        <v>#N/A</v>
      </c>
      <c r="Q104" s="3" t="e">
        <f>VLOOKUP(E104,Enviroments!$A$3:$D$59,4,FALSE)</f>
        <v>#N/A</v>
      </c>
      <c r="R104" s="3" t="e">
        <f>VLOOKUP(H104,AzureRegions!$A$4:$B$1493,1,FALSE)</f>
        <v>#N/A</v>
      </c>
      <c r="S104" s="3" t="e">
        <f>VLOOKUP(H104,AzureRegions!$A$4:$B$1493,2,FALSE)</f>
        <v>#N/A</v>
      </c>
      <c r="T104" s="3" t="e">
        <f>VLOOKUP(H104,AzureRegions!$A$4:$C$1493,3,FALSE)</f>
        <v>#N/A</v>
      </c>
      <c r="U104" s="3" t="e">
        <f>VLOOKUP(I104,Resources!$A$2:$AA$1503,2,FALSE)</f>
        <v>#N/A</v>
      </c>
      <c r="V104" s="3" t="e">
        <f>VLOOKUP(I104,Resources!$A$2:$H$1503,6,FALSE)</f>
        <v>#N/A</v>
      </c>
      <c r="W104" s="3" t="str">
        <f>VLOOKUP($H$2,Casing!$A$4:$A$60,1,FALSE)</f>
        <v>Lower</v>
      </c>
      <c r="X104" s="14" t="str">
        <f t="shared" si="3"/>
        <v>001</v>
      </c>
      <c r="Y104" s="3" t="str">
        <f>IFERROR(VLOOKUP(F104,Func!$A$4:$G$1500,2,FALSE),"none")</f>
        <v>none</v>
      </c>
      <c r="Z104" s="3" t="e">
        <f>VLOOKUP(I104,Resources!$A$2:$AA$1503,18,FALSE)</f>
        <v>#N/A</v>
      </c>
      <c r="AA104" s="3" t="str">
        <f>IFERROR(VLOOKUP(B104,Orgs!$A$4:$G$1500,2,FALSE),"none")</f>
        <v>none</v>
      </c>
      <c r="AB104" s="3" t="str">
        <f>IFERROR(VLOOKUP(C104,UnitsDepts!$A$4:$G$1500,2,FALSE),"none")</f>
        <v>none</v>
      </c>
      <c r="AC104" s="3" t="str">
        <f>IFERROR(VLOOKUP(D104,ProjAppSvc!$A$4:$G$1500,2,FALSE),"none")</f>
        <v>none</v>
      </c>
    </row>
    <row r="105" spans="1:29" x14ac:dyDescent="0.45">
      <c r="A105" s="14" t="s">
        <v>23</v>
      </c>
      <c r="B105" s="14"/>
      <c r="C105" s="14"/>
      <c r="D105" s="14"/>
      <c r="H105" s="8"/>
      <c r="I105" s="3"/>
      <c r="J105" s="3" t="str">
        <f t="shared" si="4"/>
        <v/>
      </c>
      <c r="K105" s="3" t="str">
        <f>IF(ISNUMBER(SEARCH("-",V105)),IFERROR(IF($H$2="Lower", LOWER(ComputeResourceName(Z105,#REF!,#REF!,G105,N105,O105,P105,Q105,S105,T105,V105,A105)), UPPER(ComputeResourceName(Z105,#REF!,#REF!,G105,N105,O105,P105,Q105,S105,T105,V105,A105))),""),SUBSTITUTE(IFERROR(IF($H$2="Lower", LOWER(ComputeResourceName(#REF!,#REF!,#REF!,G105,N105,O105,P105,Q105,S105,T105,V105,A105)), UPPER(ComputeResourceName(#REF!,#REF!,#REF!,G105,N105,O105,P105,Q105,S105,T105,V105,A105))),""), "-",""))</f>
        <v/>
      </c>
      <c r="L105" s="3" t="str">
        <f xml:space="preserve"> IF(K105="","",  IFERROR(VLOOKUP(I105,Resources!$B$1:$H$1503,5,FALSE)-LEN(K105),0))</f>
        <v/>
      </c>
      <c r="M105" s="3" t="str">
        <f>IF(K105="","",IFERROR(matches(K105,VLOOKUP(I105,Resources!$A$2:$AA$1503,16,FALSE)),FALSE))</f>
        <v/>
      </c>
      <c r="N105" s="3" t="e">
        <f>VLOOKUP(E105,Enviroments!$A$3:$D$59,1,FALSE)</f>
        <v>#N/A</v>
      </c>
      <c r="O105" s="3" t="e">
        <f>VLOOKUP(E105,Enviroments!$A$3:$D$59,2,FALSE)</f>
        <v>#N/A</v>
      </c>
      <c r="P105" s="3" t="e">
        <f>VLOOKUP(E105,Enviroments!$A$3:$D$59,3,FALSE)</f>
        <v>#N/A</v>
      </c>
      <c r="Q105" s="3" t="e">
        <f>VLOOKUP(E105,Enviroments!$A$3:$D$59,4,FALSE)</f>
        <v>#N/A</v>
      </c>
      <c r="R105" s="3" t="e">
        <f>VLOOKUP(H105,AzureRegions!$A$4:$B$1493,1,FALSE)</f>
        <v>#N/A</v>
      </c>
      <c r="S105" s="3" t="e">
        <f>VLOOKUP(H105,AzureRegions!$A$4:$B$1493,2,FALSE)</f>
        <v>#N/A</v>
      </c>
      <c r="T105" s="3" t="e">
        <f>VLOOKUP(H105,AzureRegions!$A$4:$C$1493,3,FALSE)</f>
        <v>#N/A</v>
      </c>
      <c r="U105" s="3" t="e">
        <f>VLOOKUP(I105,Resources!$A$2:$AA$1503,2,FALSE)</f>
        <v>#N/A</v>
      </c>
      <c r="V105" s="3" t="e">
        <f>VLOOKUP(I105,Resources!$A$2:$H$1503,6,FALSE)</f>
        <v>#N/A</v>
      </c>
      <c r="W105" s="3" t="str">
        <f>VLOOKUP($H$2,Casing!$A$4:$A$60,1,FALSE)</f>
        <v>Lower</v>
      </c>
      <c r="X105" s="14" t="str">
        <f t="shared" si="3"/>
        <v>001</v>
      </c>
      <c r="Y105" s="3" t="str">
        <f>IFERROR(VLOOKUP(F105,Func!$A$4:$G$1500,2,FALSE),"none")</f>
        <v>none</v>
      </c>
      <c r="Z105" s="3" t="e">
        <f>VLOOKUP(I105,Resources!$A$2:$AA$1503,18,FALSE)</f>
        <v>#N/A</v>
      </c>
      <c r="AA105" s="3" t="str">
        <f>IFERROR(VLOOKUP(B105,Orgs!$A$4:$G$1500,2,FALSE),"none")</f>
        <v>none</v>
      </c>
      <c r="AB105" s="3" t="str">
        <f>IFERROR(VLOOKUP(C105,UnitsDepts!$A$4:$G$1500,2,FALSE),"none")</f>
        <v>none</v>
      </c>
      <c r="AC105" s="3" t="str">
        <f>IFERROR(VLOOKUP(D105,ProjAppSvc!$A$4:$G$1500,2,FALSE),"none")</f>
        <v>none</v>
      </c>
    </row>
    <row r="106" spans="1:29" x14ac:dyDescent="0.45">
      <c r="A106" s="14" t="s">
        <v>23</v>
      </c>
      <c r="B106" s="14"/>
      <c r="C106" s="14"/>
      <c r="D106" s="14"/>
      <c r="H106" s="8"/>
      <c r="I106" s="3"/>
      <c r="J106" s="3" t="str">
        <f t="shared" si="4"/>
        <v/>
      </c>
      <c r="K106" s="3" t="str">
        <f>IF(ISNUMBER(SEARCH("-",V106)),IFERROR(IF($H$2="Lower", LOWER(ComputeResourceName(Z106,#REF!,#REF!,G106,N106,O106,P106,Q106,S106,T106,V106,A106)), UPPER(ComputeResourceName(Z106,#REF!,#REF!,G106,N106,O106,P106,Q106,S106,T106,V106,A106))),""),SUBSTITUTE(IFERROR(IF($H$2="Lower", LOWER(ComputeResourceName(#REF!,#REF!,#REF!,G106,N106,O106,P106,Q106,S106,T106,V106,A106)), UPPER(ComputeResourceName(#REF!,#REF!,#REF!,G106,N106,O106,P106,Q106,S106,T106,V106,A106))),""), "-",""))</f>
        <v/>
      </c>
      <c r="L106" s="3" t="str">
        <f xml:space="preserve"> IF(K106="","",  IFERROR(VLOOKUP(I106,Resources!$B$1:$H$1503,5,FALSE)-LEN(K106),0))</f>
        <v/>
      </c>
      <c r="M106" s="3" t="str">
        <f>IF(K106="","",IFERROR(matches(K106,VLOOKUP(I106,Resources!$A$2:$AA$1503,16,FALSE)),FALSE))</f>
        <v/>
      </c>
      <c r="N106" s="3" t="e">
        <f>VLOOKUP(E106,Enviroments!$A$3:$D$59,1,FALSE)</f>
        <v>#N/A</v>
      </c>
      <c r="O106" s="3" t="e">
        <f>VLOOKUP(E106,Enviroments!$A$3:$D$59,2,FALSE)</f>
        <v>#N/A</v>
      </c>
      <c r="P106" s="3" t="e">
        <f>VLOOKUP(E106,Enviroments!$A$3:$D$59,3,FALSE)</f>
        <v>#N/A</v>
      </c>
      <c r="Q106" s="3" t="e">
        <f>VLOOKUP(E106,Enviroments!$A$3:$D$59,4,FALSE)</f>
        <v>#N/A</v>
      </c>
      <c r="R106" s="3" t="e">
        <f>VLOOKUP(H106,AzureRegions!$A$4:$B$1493,1,FALSE)</f>
        <v>#N/A</v>
      </c>
      <c r="S106" s="3" t="e">
        <f>VLOOKUP(H106,AzureRegions!$A$4:$B$1493,2,FALSE)</f>
        <v>#N/A</v>
      </c>
      <c r="T106" s="3" t="e">
        <f>VLOOKUP(H106,AzureRegions!$A$4:$C$1493,3,FALSE)</f>
        <v>#N/A</v>
      </c>
      <c r="U106" s="3" t="e">
        <f>VLOOKUP(I106,Resources!$A$2:$AA$1503,2,FALSE)</f>
        <v>#N/A</v>
      </c>
      <c r="V106" s="3" t="e">
        <f>VLOOKUP(I106,Resources!$A$2:$H$1503,6,FALSE)</f>
        <v>#N/A</v>
      </c>
      <c r="W106" s="3" t="str">
        <f>VLOOKUP($H$2,Casing!$A$4:$A$60,1,FALSE)</f>
        <v>Lower</v>
      </c>
      <c r="X106" s="14" t="str">
        <f t="shared" si="3"/>
        <v>001</v>
      </c>
      <c r="Y106" s="3" t="str">
        <f>IFERROR(VLOOKUP(F106,Func!$A$4:$G$1500,2,FALSE),"none")</f>
        <v>none</v>
      </c>
      <c r="Z106" s="3" t="e">
        <f>VLOOKUP(I106,Resources!$A$2:$AA$1503,18,FALSE)</f>
        <v>#N/A</v>
      </c>
      <c r="AA106" s="3" t="str">
        <f>IFERROR(VLOOKUP(B106,Orgs!$A$4:$G$1500,2,FALSE),"none")</f>
        <v>none</v>
      </c>
      <c r="AB106" s="3" t="str">
        <f>IFERROR(VLOOKUP(C106,UnitsDepts!$A$4:$G$1500,2,FALSE),"none")</f>
        <v>none</v>
      </c>
      <c r="AC106" s="3" t="str">
        <f>IFERROR(VLOOKUP(D106,ProjAppSvc!$A$4:$G$1500,2,FALSE),"none")</f>
        <v>none</v>
      </c>
    </row>
    <row r="107" spans="1:29" x14ac:dyDescent="0.45">
      <c r="A107" s="14" t="s">
        <v>23</v>
      </c>
      <c r="B107" s="14"/>
      <c r="C107" s="14"/>
      <c r="D107" s="14"/>
      <c r="H107" s="8"/>
      <c r="I107" s="3"/>
      <c r="J107" s="3" t="str">
        <f t="shared" si="4"/>
        <v/>
      </c>
      <c r="K107" s="3" t="str">
        <f>IF(ISNUMBER(SEARCH("-",V107)),IFERROR(IF($H$2="Lower", LOWER(ComputeResourceName(Z107,#REF!,#REF!,G107,N107,O107,P107,Q107,S107,T107,V107,A107)), UPPER(ComputeResourceName(Z107,#REF!,#REF!,G107,N107,O107,P107,Q107,S107,T107,V107,A107))),""),SUBSTITUTE(IFERROR(IF($H$2="Lower", LOWER(ComputeResourceName(#REF!,#REF!,#REF!,G107,N107,O107,P107,Q107,S107,T107,V107,A107)), UPPER(ComputeResourceName(#REF!,#REF!,#REF!,G107,N107,O107,P107,Q107,S107,T107,V107,A107))),""), "-",""))</f>
        <v/>
      </c>
      <c r="L107" s="3" t="str">
        <f xml:space="preserve"> IF(K107="","",  IFERROR(VLOOKUP(I107,Resources!$B$1:$H$1503,5,FALSE)-LEN(K107),0))</f>
        <v/>
      </c>
      <c r="M107" s="3" t="str">
        <f>IF(K107="","",IFERROR(matches(K107,VLOOKUP(I107,Resources!$A$2:$AA$1503,16,FALSE)),FALSE))</f>
        <v/>
      </c>
      <c r="N107" s="3" t="e">
        <f>VLOOKUP(E107,Enviroments!$A$3:$D$59,1,FALSE)</f>
        <v>#N/A</v>
      </c>
      <c r="O107" s="3" t="e">
        <f>VLOOKUP(E107,Enviroments!$A$3:$D$59,2,FALSE)</f>
        <v>#N/A</v>
      </c>
      <c r="P107" s="3" t="e">
        <f>VLOOKUP(E107,Enviroments!$A$3:$D$59,3,FALSE)</f>
        <v>#N/A</v>
      </c>
      <c r="Q107" s="3" t="e">
        <f>VLOOKUP(E107,Enviroments!$A$3:$D$59,4,FALSE)</f>
        <v>#N/A</v>
      </c>
      <c r="R107" s="3" t="e">
        <f>VLOOKUP(H107,AzureRegions!$A$4:$B$1493,1,FALSE)</f>
        <v>#N/A</v>
      </c>
      <c r="S107" s="3" t="e">
        <f>VLOOKUP(H107,AzureRegions!$A$4:$B$1493,2,FALSE)</f>
        <v>#N/A</v>
      </c>
      <c r="T107" s="3" t="e">
        <f>VLOOKUP(H107,AzureRegions!$A$4:$C$1493,3,FALSE)</f>
        <v>#N/A</v>
      </c>
      <c r="U107" s="3" t="e">
        <f>VLOOKUP(I107,Resources!$A$2:$AA$1503,2,FALSE)</f>
        <v>#N/A</v>
      </c>
      <c r="V107" s="3" t="e">
        <f>VLOOKUP(I107,Resources!$A$2:$H$1503,6,FALSE)</f>
        <v>#N/A</v>
      </c>
      <c r="W107" s="3" t="str">
        <f>VLOOKUP($H$2,Casing!$A$4:$A$60,1,FALSE)</f>
        <v>Lower</v>
      </c>
      <c r="X107" s="14" t="str">
        <f t="shared" si="3"/>
        <v>001</v>
      </c>
      <c r="Y107" s="3" t="str">
        <f>IFERROR(VLOOKUP(F107,Func!$A$4:$G$1500,2,FALSE),"none")</f>
        <v>none</v>
      </c>
      <c r="Z107" s="3" t="e">
        <f>VLOOKUP(I107,Resources!$A$2:$AA$1503,18,FALSE)</f>
        <v>#N/A</v>
      </c>
      <c r="AA107" s="3" t="str">
        <f>IFERROR(VLOOKUP(B107,Orgs!$A$4:$G$1500,2,FALSE),"none")</f>
        <v>none</v>
      </c>
      <c r="AB107" s="3" t="str">
        <f>IFERROR(VLOOKUP(C107,UnitsDepts!$A$4:$G$1500,2,FALSE),"none")</f>
        <v>none</v>
      </c>
      <c r="AC107" s="3" t="str">
        <f>IFERROR(VLOOKUP(D107,ProjAppSvc!$A$4:$G$1500,2,FALSE),"none")</f>
        <v>none</v>
      </c>
    </row>
    <row r="108" spans="1:29" x14ac:dyDescent="0.45">
      <c r="A108" s="14" t="s">
        <v>23</v>
      </c>
      <c r="B108" s="14"/>
      <c r="C108" s="14"/>
      <c r="D108" s="14"/>
      <c r="H108" s="8"/>
      <c r="I108" s="3"/>
      <c r="J108" s="3" t="str">
        <f t="shared" si="4"/>
        <v/>
      </c>
      <c r="K108" s="3" t="str">
        <f>IF(ISNUMBER(SEARCH("-",V108)),IFERROR(IF($H$2="Lower", LOWER(ComputeResourceName(Z108,#REF!,#REF!,G108,N108,O108,P108,Q108,S108,T108,V108,A108)), UPPER(ComputeResourceName(Z108,#REF!,#REF!,G108,N108,O108,P108,Q108,S108,T108,V108,A108))),""),SUBSTITUTE(IFERROR(IF($H$2="Lower", LOWER(ComputeResourceName(#REF!,#REF!,#REF!,G108,N108,O108,P108,Q108,S108,T108,V108,A108)), UPPER(ComputeResourceName(#REF!,#REF!,#REF!,G108,N108,O108,P108,Q108,S108,T108,V108,A108))),""), "-",""))</f>
        <v/>
      </c>
      <c r="L108" s="3" t="str">
        <f xml:space="preserve"> IF(K108="","",  IFERROR(VLOOKUP(I108,Resources!$B$1:$H$1503,5,FALSE)-LEN(K108),0))</f>
        <v/>
      </c>
      <c r="M108" s="3" t="str">
        <f>IF(K108="","",IFERROR(matches(K108,VLOOKUP(I108,Resources!$A$2:$AA$1503,16,FALSE)),FALSE))</f>
        <v/>
      </c>
      <c r="N108" s="3" t="e">
        <f>VLOOKUP(E108,Enviroments!$A$3:$D$59,1,FALSE)</f>
        <v>#N/A</v>
      </c>
      <c r="O108" s="3" t="e">
        <f>VLOOKUP(E108,Enviroments!$A$3:$D$59,2,FALSE)</f>
        <v>#N/A</v>
      </c>
      <c r="P108" s="3" t="e">
        <f>VLOOKUP(E108,Enviroments!$A$3:$D$59,3,FALSE)</f>
        <v>#N/A</v>
      </c>
      <c r="Q108" s="3" t="e">
        <f>VLOOKUP(E108,Enviroments!$A$3:$D$59,4,FALSE)</f>
        <v>#N/A</v>
      </c>
      <c r="R108" s="3" t="e">
        <f>VLOOKUP(H108,AzureRegions!$A$4:$B$1493,1,FALSE)</f>
        <v>#N/A</v>
      </c>
      <c r="S108" s="3" t="e">
        <f>VLOOKUP(H108,AzureRegions!$A$4:$B$1493,2,FALSE)</f>
        <v>#N/A</v>
      </c>
      <c r="T108" s="3" t="e">
        <f>VLOOKUP(H108,AzureRegions!$A$4:$C$1493,3,FALSE)</f>
        <v>#N/A</v>
      </c>
      <c r="U108" s="3" t="e">
        <f>VLOOKUP(I108,Resources!$A$2:$AA$1503,2,FALSE)</f>
        <v>#N/A</v>
      </c>
      <c r="V108" s="3" t="e">
        <f>VLOOKUP(I108,Resources!$A$2:$H$1503,6,FALSE)</f>
        <v>#N/A</v>
      </c>
      <c r="W108" s="3" t="str">
        <f>VLOOKUP($H$2,Casing!$A$4:$A$60,1,FALSE)</f>
        <v>Lower</v>
      </c>
      <c r="X108" s="14" t="str">
        <f t="shared" si="3"/>
        <v>001</v>
      </c>
      <c r="Y108" s="3" t="str">
        <f>IFERROR(VLOOKUP(F108,Func!$A$4:$G$1500,2,FALSE),"none")</f>
        <v>none</v>
      </c>
      <c r="Z108" s="3" t="e">
        <f>VLOOKUP(I108,Resources!$A$2:$AA$1503,18,FALSE)</f>
        <v>#N/A</v>
      </c>
      <c r="AA108" s="3" t="str">
        <f>IFERROR(VLOOKUP(B108,Orgs!$A$4:$G$1500,2,FALSE),"none")</f>
        <v>none</v>
      </c>
      <c r="AB108" s="3" t="str">
        <f>IFERROR(VLOOKUP(C108,UnitsDepts!$A$4:$G$1500,2,FALSE),"none")</f>
        <v>none</v>
      </c>
      <c r="AC108" s="3" t="str">
        <f>IFERROR(VLOOKUP(D108,ProjAppSvc!$A$4:$G$1500,2,FALSE),"none")</f>
        <v>none</v>
      </c>
    </row>
    <row r="109" spans="1:29" x14ac:dyDescent="0.45">
      <c r="A109" s="14" t="s">
        <v>23</v>
      </c>
      <c r="B109" s="14"/>
      <c r="C109" s="14"/>
      <c r="D109" s="14"/>
      <c r="H109" s="8"/>
      <c r="I109" s="3"/>
      <c r="J109" s="3" t="str">
        <f t="shared" si="4"/>
        <v/>
      </c>
      <c r="K109" s="3" t="str">
        <f>IF(ISNUMBER(SEARCH("-",V109)),IFERROR(IF($H$2="Lower", LOWER(ComputeResourceName(Z109,#REF!,#REF!,G109,N109,O109,P109,Q109,S109,T109,V109,A109)), UPPER(ComputeResourceName(Z109,#REF!,#REF!,G109,N109,O109,P109,Q109,S109,T109,V109,A109))),""),SUBSTITUTE(IFERROR(IF($H$2="Lower", LOWER(ComputeResourceName(#REF!,#REF!,#REF!,G109,N109,O109,P109,Q109,S109,T109,V109,A109)), UPPER(ComputeResourceName(#REF!,#REF!,#REF!,G109,N109,O109,P109,Q109,S109,T109,V109,A109))),""), "-",""))</f>
        <v/>
      </c>
      <c r="L109" s="3" t="str">
        <f xml:space="preserve"> IF(K109="","",  IFERROR(VLOOKUP(I109,Resources!$B$1:$H$1503,5,FALSE)-LEN(K109),0))</f>
        <v/>
      </c>
      <c r="M109" s="3" t="str">
        <f>IF(K109="","",IFERROR(matches(K109,VLOOKUP(I109,Resources!$A$2:$AA$1503,16,FALSE)),FALSE))</f>
        <v/>
      </c>
      <c r="N109" s="3" t="e">
        <f>VLOOKUP(E109,Enviroments!$A$3:$D$59,1,FALSE)</f>
        <v>#N/A</v>
      </c>
      <c r="O109" s="3" t="e">
        <f>VLOOKUP(E109,Enviroments!$A$3:$D$59,2,FALSE)</f>
        <v>#N/A</v>
      </c>
      <c r="P109" s="3" t="e">
        <f>VLOOKUP(E109,Enviroments!$A$3:$D$59,3,FALSE)</f>
        <v>#N/A</v>
      </c>
      <c r="Q109" s="3" t="e">
        <f>VLOOKUP(E109,Enviroments!$A$3:$D$59,4,FALSE)</f>
        <v>#N/A</v>
      </c>
      <c r="R109" s="3" t="e">
        <f>VLOOKUP(H109,AzureRegions!$A$4:$B$1493,1,FALSE)</f>
        <v>#N/A</v>
      </c>
      <c r="S109" s="3" t="e">
        <f>VLOOKUP(H109,AzureRegions!$A$4:$B$1493,2,FALSE)</f>
        <v>#N/A</v>
      </c>
      <c r="T109" s="3" t="e">
        <f>VLOOKUP(H109,AzureRegions!$A$4:$C$1493,3,FALSE)</f>
        <v>#N/A</v>
      </c>
      <c r="U109" s="3" t="e">
        <f>VLOOKUP(I109,Resources!$A$2:$AA$1503,2,FALSE)</f>
        <v>#N/A</v>
      </c>
      <c r="V109" s="3" t="e">
        <f>VLOOKUP(I109,Resources!$A$2:$H$1503,6,FALSE)</f>
        <v>#N/A</v>
      </c>
      <c r="W109" s="3" t="str">
        <f>VLOOKUP($H$2,Casing!$A$4:$A$60,1,FALSE)</f>
        <v>Lower</v>
      </c>
      <c r="X109" s="14" t="str">
        <f t="shared" si="3"/>
        <v>001</v>
      </c>
      <c r="Y109" s="3" t="str">
        <f>IFERROR(VLOOKUP(F109,Func!$A$4:$G$1500,2,FALSE),"none")</f>
        <v>none</v>
      </c>
      <c r="Z109" s="3" t="e">
        <f>VLOOKUP(I109,Resources!$A$2:$AA$1503,18,FALSE)</f>
        <v>#N/A</v>
      </c>
      <c r="AA109" s="3" t="str">
        <f>IFERROR(VLOOKUP(B109,Orgs!$A$4:$G$1500,2,FALSE),"none")</f>
        <v>none</v>
      </c>
      <c r="AB109" s="3" t="str">
        <f>IFERROR(VLOOKUP(C109,UnitsDepts!$A$4:$G$1500,2,FALSE),"none")</f>
        <v>none</v>
      </c>
      <c r="AC109" s="3" t="str">
        <f>IFERROR(VLOOKUP(D109,ProjAppSvc!$A$4:$G$1500,2,FALSE),"none")</f>
        <v>none</v>
      </c>
    </row>
    <row r="110" spans="1:29" x14ac:dyDescent="0.45">
      <c r="A110" s="14" t="s">
        <v>23</v>
      </c>
      <c r="B110" s="14"/>
      <c r="C110" s="14"/>
      <c r="D110" s="14"/>
      <c r="H110" s="8"/>
      <c r="I110" s="3"/>
      <c r="J110" s="3" t="str">
        <f t="shared" si="4"/>
        <v/>
      </c>
      <c r="K110" s="3" t="str">
        <f>IF(ISNUMBER(SEARCH("-",V110)),IFERROR(IF($H$2="Lower", LOWER(ComputeResourceName(Z110,#REF!,#REF!,G110,N110,O110,P110,Q110,S110,T110,V110,A110)), UPPER(ComputeResourceName(Z110,#REF!,#REF!,G110,N110,O110,P110,Q110,S110,T110,V110,A110))),""),SUBSTITUTE(IFERROR(IF($H$2="Lower", LOWER(ComputeResourceName(#REF!,#REF!,#REF!,G110,N110,O110,P110,Q110,S110,T110,V110,A110)), UPPER(ComputeResourceName(#REF!,#REF!,#REF!,G110,N110,O110,P110,Q110,S110,T110,V110,A110))),""), "-",""))</f>
        <v/>
      </c>
      <c r="L110" s="3" t="str">
        <f xml:space="preserve"> IF(K110="","",  IFERROR(VLOOKUP(I110,Resources!$B$1:$H$1503,5,FALSE)-LEN(K110),0))</f>
        <v/>
      </c>
      <c r="M110" s="3" t="str">
        <f>IF(K110="","",IFERROR(matches(K110,VLOOKUP(I110,Resources!$A$2:$AA$1503,16,FALSE)),FALSE))</f>
        <v/>
      </c>
      <c r="N110" s="3" t="e">
        <f>VLOOKUP(E110,Enviroments!$A$3:$D$59,1,FALSE)</f>
        <v>#N/A</v>
      </c>
      <c r="O110" s="3" t="e">
        <f>VLOOKUP(E110,Enviroments!$A$3:$D$59,2,FALSE)</f>
        <v>#N/A</v>
      </c>
      <c r="P110" s="3" t="e">
        <f>VLOOKUP(E110,Enviroments!$A$3:$D$59,3,FALSE)</f>
        <v>#N/A</v>
      </c>
      <c r="Q110" s="3" t="e">
        <f>VLOOKUP(E110,Enviroments!$A$3:$D$59,4,FALSE)</f>
        <v>#N/A</v>
      </c>
      <c r="R110" s="3" t="e">
        <f>VLOOKUP(H110,AzureRegions!$A$4:$B$1493,1,FALSE)</f>
        <v>#N/A</v>
      </c>
      <c r="S110" s="3" t="e">
        <f>VLOOKUP(H110,AzureRegions!$A$4:$B$1493,2,FALSE)</f>
        <v>#N/A</v>
      </c>
      <c r="T110" s="3" t="e">
        <f>VLOOKUP(H110,AzureRegions!$A$4:$C$1493,3,FALSE)</f>
        <v>#N/A</v>
      </c>
      <c r="U110" s="3" t="e">
        <f>VLOOKUP(I110,Resources!$A$2:$AA$1503,2,FALSE)</f>
        <v>#N/A</v>
      </c>
      <c r="V110" s="3" t="e">
        <f>VLOOKUP(I110,Resources!$A$2:$H$1503,6,FALSE)</f>
        <v>#N/A</v>
      </c>
      <c r="W110" s="3" t="str">
        <f>VLOOKUP($H$2,Casing!$A$4:$A$60,1,FALSE)</f>
        <v>Lower</v>
      </c>
      <c r="X110" s="14" t="str">
        <f t="shared" si="3"/>
        <v>001</v>
      </c>
      <c r="Y110" s="3" t="str">
        <f>IFERROR(VLOOKUP(F110,Func!$A$4:$G$1500,2,FALSE),"none")</f>
        <v>none</v>
      </c>
      <c r="Z110" s="3" t="e">
        <f>VLOOKUP(I110,Resources!$A$2:$AA$1503,18,FALSE)</f>
        <v>#N/A</v>
      </c>
      <c r="AA110" s="3" t="str">
        <f>IFERROR(VLOOKUP(B110,Orgs!$A$4:$G$1500,2,FALSE),"none")</f>
        <v>none</v>
      </c>
      <c r="AB110" s="3" t="str">
        <f>IFERROR(VLOOKUP(C110,UnitsDepts!$A$4:$G$1500,2,FALSE),"none")</f>
        <v>none</v>
      </c>
      <c r="AC110" s="3" t="str">
        <f>IFERROR(VLOOKUP(D110,ProjAppSvc!$A$4:$G$1500,2,FALSE),"none")</f>
        <v>none</v>
      </c>
    </row>
    <row r="111" spans="1:29" x14ac:dyDescent="0.45">
      <c r="A111" s="14" t="s">
        <v>23</v>
      </c>
      <c r="B111" s="14"/>
      <c r="C111" s="14"/>
      <c r="D111" s="14"/>
      <c r="H111" s="8"/>
      <c r="I111" s="3"/>
      <c r="J111" s="3" t="str">
        <f t="shared" si="4"/>
        <v/>
      </c>
      <c r="K111" s="3" t="str">
        <f>IF(ISNUMBER(SEARCH("-",V111)),IFERROR(IF($H$2="Lower", LOWER(ComputeResourceName(Z111,#REF!,#REF!,G111,N111,O111,P111,Q111,S111,T111,V111,A111)), UPPER(ComputeResourceName(Z111,#REF!,#REF!,G111,N111,O111,P111,Q111,S111,T111,V111,A111))),""),SUBSTITUTE(IFERROR(IF($H$2="Lower", LOWER(ComputeResourceName(#REF!,#REF!,#REF!,G111,N111,O111,P111,Q111,S111,T111,V111,A111)), UPPER(ComputeResourceName(#REF!,#REF!,#REF!,G111,N111,O111,P111,Q111,S111,T111,V111,A111))),""), "-",""))</f>
        <v/>
      </c>
      <c r="L111" s="3" t="str">
        <f xml:space="preserve"> IF(K111="","",  IFERROR(VLOOKUP(I111,Resources!$B$1:$H$1503,5,FALSE)-LEN(K111),0))</f>
        <v/>
      </c>
      <c r="M111" s="3" t="str">
        <f>IF(K111="","",IFERROR(matches(K111,VLOOKUP(I111,Resources!$A$2:$AA$1503,16,FALSE)),FALSE))</f>
        <v/>
      </c>
      <c r="N111" s="3" t="e">
        <f>VLOOKUP(E111,Enviroments!$A$3:$D$59,1,FALSE)</f>
        <v>#N/A</v>
      </c>
      <c r="O111" s="3" t="e">
        <f>VLOOKUP(E111,Enviroments!$A$3:$D$59,2,FALSE)</f>
        <v>#N/A</v>
      </c>
      <c r="P111" s="3" t="e">
        <f>VLOOKUP(E111,Enviroments!$A$3:$D$59,3,FALSE)</f>
        <v>#N/A</v>
      </c>
      <c r="Q111" s="3" t="e">
        <f>VLOOKUP(E111,Enviroments!$A$3:$D$59,4,FALSE)</f>
        <v>#N/A</v>
      </c>
      <c r="R111" s="3" t="e">
        <f>VLOOKUP(H111,AzureRegions!$A$4:$B$1493,1,FALSE)</f>
        <v>#N/A</v>
      </c>
      <c r="S111" s="3" t="e">
        <f>VLOOKUP(H111,AzureRegions!$A$4:$B$1493,2,FALSE)</f>
        <v>#N/A</v>
      </c>
      <c r="T111" s="3" t="e">
        <f>VLOOKUP(H111,AzureRegions!$A$4:$C$1493,3,FALSE)</f>
        <v>#N/A</v>
      </c>
      <c r="U111" s="3" t="e">
        <f>VLOOKUP(I111,Resources!$A$2:$AA$1503,2,FALSE)</f>
        <v>#N/A</v>
      </c>
      <c r="V111" s="3" t="e">
        <f>VLOOKUP(I111,Resources!$A$2:$H$1503,6,FALSE)</f>
        <v>#N/A</v>
      </c>
      <c r="W111" s="3" t="str">
        <f>VLOOKUP($H$2,Casing!$A$4:$A$60,1,FALSE)</f>
        <v>Lower</v>
      </c>
      <c r="X111" s="14" t="str">
        <f t="shared" si="3"/>
        <v>001</v>
      </c>
      <c r="Y111" s="3" t="str">
        <f>IFERROR(VLOOKUP(F111,Func!$A$4:$G$1500,2,FALSE),"none")</f>
        <v>none</v>
      </c>
      <c r="Z111" s="3" t="e">
        <f>VLOOKUP(I111,Resources!$A$2:$AA$1503,18,FALSE)</f>
        <v>#N/A</v>
      </c>
      <c r="AA111" s="3" t="str">
        <f>IFERROR(VLOOKUP(B111,Orgs!$A$4:$G$1500,2,FALSE),"none")</f>
        <v>none</v>
      </c>
      <c r="AB111" s="3" t="str">
        <f>IFERROR(VLOOKUP(C111,UnitsDepts!$A$4:$G$1500,2,FALSE),"none")</f>
        <v>none</v>
      </c>
      <c r="AC111" s="3" t="str">
        <f>IFERROR(VLOOKUP(D111,ProjAppSvc!$A$4:$G$1500,2,FALSE),"none")</f>
        <v>none</v>
      </c>
    </row>
    <row r="112" spans="1:29" x14ac:dyDescent="0.45">
      <c r="A112" s="14" t="s">
        <v>23</v>
      </c>
      <c r="B112" s="14"/>
      <c r="C112" s="14"/>
      <c r="D112" s="14"/>
      <c r="H112" s="8"/>
      <c r="I112" s="3"/>
      <c r="J112" s="3" t="str">
        <f t="shared" si="4"/>
        <v/>
      </c>
      <c r="K112" s="3" t="str">
        <f>IF(ISNUMBER(SEARCH("-",V112)),IFERROR(IF($H$2="Lower", LOWER(ComputeResourceName(Z112,#REF!,#REF!,G112,N112,O112,P112,Q112,S112,T112,V112,A112)), UPPER(ComputeResourceName(Z112,#REF!,#REF!,G112,N112,O112,P112,Q112,S112,T112,V112,A112))),""),SUBSTITUTE(IFERROR(IF($H$2="Lower", LOWER(ComputeResourceName(#REF!,#REF!,#REF!,G112,N112,O112,P112,Q112,S112,T112,V112,A112)), UPPER(ComputeResourceName(#REF!,#REF!,#REF!,G112,N112,O112,P112,Q112,S112,T112,V112,A112))),""), "-",""))</f>
        <v/>
      </c>
      <c r="L112" s="3" t="str">
        <f xml:space="preserve"> IF(K112="","",  IFERROR(VLOOKUP(I112,Resources!$B$1:$H$1503,5,FALSE)-LEN(K112),0))</f>
        <v/>
      </c>
      <c r="M112" s="3" t="str">
        <f>IF(K112="","",IFERROR(matches(K112,VLOOKUP(I112,Resources!$A$2:$AA$1503,16,FALSE)),FALSE))</f>
        <v/>
      </c>
      <c r="N112" s="3" t="e">
        <f>VLOOKUP(E112,Enviroments!$A$3:$D$59,1,FALSE)</f>
        <v>#N/A</v>
      </c>
      <c r="O112" s="3" t="e">
        <f>VLOOKUP(E112,Enviroments!$A$3:$D$59,2,FALSE)</f>
        <v>#N/A</v>
      </c>
      <c r="P112" s="3" t="e">
        <f>VLOOKUP(E112,Enviroments!$A$3:$D$59,3,FALSE)</f>
        <v>#N/A</v>
      </c>
      <c r="Q112" s="3" t="e">
        <f>VLOOKUP(E112,Enviroments!$A$3:$D$59,4,FALSE)</f>
        <v>#N/A</v>
      </c>
      <c r="R112" s="3" t="e">
        <f>VLOOKUP(H112,AzureRegions!$A$4:$B$1493,1,FALSE)</f>
        <v>#N/A</v>
      </c>
      <c r="S112" s="3" t="e">
        <f>VLOOKUP(H112,AzureRegions!$A$4:$B$1493,2,FALSE)</f>
        <v>#N/A</v>
      </c>
      <c r="T112" s="3" t="e">
        <f>VLOOKUP(H112,AzureRegions!$A$4:$C$1493,3,FALSE)</f>
        <v>#N/A</v>
      </c>
      <c r="U112" s="3" t="e">
        <f>VLOOKUP(I112,Resources!$A$2:$AA$1503,2,FALSE)</f>
        <v>#N/A</v>
      </c>
      <c r="V112" s="3" t="e">
        <f>VLOOKUP(I112,Resources!$A$2:$H$1503,6,FALSE)</f>
        <v>#N/A</v>
      </c>
      <c r="W112" s="3" t="str">
        <f>VLOOKUP($H$2,Casing!$A$4:$A$60,1,FALSE)</f>
        <v>Lower</v>
      </c>
      <c r="X112" s="14" t="str">
        <f t="shared" si="3"/>
        <v>001</v>
      </c>
      <c r="Y112" s="3" t="str">
        <f>IFERROR(VLOOKUP(F112,Func!$A$4:$G$1500,2,FALSE),"none")</f>
        <v>none</v>
      </c>
      <c r="Z112" s="3" t="e">
        <f>VLOOKUP(I112,Resources!$A$2:$AA$1503,18,FALSE)</f>
        <v>#N/A</v>
      </c>
      <c r="AA112" s="3" t="str">
        <f>IFERROR(VLOOKUP(B112,Orgs!$A$4:$G$1500,2,FALSE),"none")</f>
        <v>none</v>
      </c>
      <c r="AB112" s="3" t="str">
        <f>IFERROR(VLOOKUP(C112,UnitsDepts!$A$4:$G$1500,2,FALSE),"none")</f>
        <v>none</v>
      </c>
      <c r="AC112" s="3" t="str">
        <f>IFERROR(VLOOKUP(D112,ProjAppSvc!$A$4:$G$1500,2,FALSE),"none")</f>
        <v>none</v>
      </c>
    </row>
    <row r="113" spans="1:29" x14ac:dyDescent="0.45">
      <c r="A113" s="14" t="s">
        <v>23</v>
      </c>
      <c r="B113" s="14"/>
      <c r="C113" s="14"/>
      <c r="D113" s="14"/>
      <c r="H113" s="8"/>
      <c r="I113" s="3"/>
      <c r="J113" s="3" t="str">
        <f t="shared" si="4"/>
        <v/>
      </c>
      <c r="K113" s="3" t="str">
        <f>IF(ISNUMBER(SEARCH("-",V113)),IFERROR(IF($H$2="Lower", LOWER(ComputeResourceName(Z113,#REF!,#REF!,G113,N113,O113,P113,Q113,S113,T113,V113,A113)), UPPER(ComputeResourceName(Z113,#REF!,#REF!,G113,N113,O113,P113,Q113,S113,T113,V113,A113))),""),SUBSTITUTE(IFERROR(IF($H$2="Lower", LOWER(ComputeResourceName(#REF!,#REF!,#REF!,G113,N113,O113,P113,Q113,S113,T113,V113,A113)), UPPER(ComputeResourceName(#REF!,#REF!,#REF!,G113,N113,O113,P113,Q113,S113,T113,V113,A113))),""), "-",""))</f>
        <v/>
      </c>
      <c r="L113" s="3" t="str">
        <f xml:space="preserve"> IF(K113="","",  IFERROR(VLOOKUP(I113,Resources!$B$1:$H$1503,5,FALSE)-LEN(K113),0))</f>
        <v/>
      </c>
      <c r="M113" s="3" t="str">
        <f>IF(K113="","",IFERROR(matches(K113,VLOOKUP(I113,Resources!$A$2:$AA$1503,16,FALSE)),FALSE))</f>
        <v/>
      </c>
      <c r="N113" s="3" t="e">
        <f>VLOOKUP(E113,Enviroments!$A$3:$D$59,1,FALSE)</f>
        <v>#N/A</v>
      </c>
      <c r="O113" s="3" t="e">
        <f>VLOOKUP(E113,Enviroments!$A$3:$D$59,2,FALSE)</f>
        <v>#N/A</v>
      </c>
      <c r="P113" s="3" t="e">
        <f>VLOOKUP(E113,Enviroments!$A$3:$D$59,3,FALSE)</f>
        <v>#N/A</v>
      </c>
      <c r="Q113" s="3" t="e">
        <f>VLOOKUP(E113,Enviroments!$A$3:$D$59,4,FALSE)</f>
        <v>#N/A</v>
      </c>
      <c r="R113" s="3" t="e">
        <f>VLOOKUP(H113,AzureRegions!$A$4:$B$1493,1,FALSE)</f>
        <v>#N/A</v>
      </c>
      <c r="S113" s="3" t="e">
        <f>VLOOKUP(H113,AzureRegions!$A$4:$B$1493,2,FALSE)</f>
        <v>#N/A</v>
      </c>
      <c r="T113" s="3" t="e">
        <f>VLOOKUP(H113,AzureRegions!$A$4:$C$1493,3,FALSE)</f>
        <v>#N/A</v>
      </c>
      <c r="U113" s="3" t="e">
        <f>VLOOKUP(I113,Resources!$A$2:$AA$1503,2,FALSE)</f>
        <v>#N/A</v>
      </c>
      <c r="V113" s="3" t="e">
        <f>VLOOKUP(I113,Resources!$A$2:$H$1503,6,FALSE)</f>
        <v>#N/A</v>
      </c>
      <c r="W113" s="3" t="str">
        <f>VLOOKUP($H$2,Casing!$A$4:$A$60,1,FALSE)</f>
        <v>Lower</v>
      </c>
      <c r="X113" s="14" t="str">
        <f t="shared" si="3"/>
        <v>001</v>
      </c>
      <c r="Y113" s="3" t="str">
        <f>IFERROR(VLOOKUP(F113,Func!$A$4:$G$1500,2,FALSE),"none")</f>
        <v>none</v>
      </c>
      <c r="Z113" s="3" t="e">
        <f>VLOOKUP(I113,Resources!$A$2:$AA$1503,18,FALSE)</f>
        <v>#N/A</v>
      </c>
      <c r="AA113" s="3" t="str">
        <f>IFERROR(VLOOKUP(B113,Orgs!$A$4:$G$1500,2,FALSE),"none")</f>
        <v>none</v>
      </c>
      <c r="AB113" s="3" t="str">
        <f>IFERROR(VLOOKUP(C113,UnitsDepts!$A$4:$G$1500,2,FALSE),"none")</f>
        <v>none</v>
      </c>
      <c r="AC113" s="3" t="str">
        <f>IFERROR(VLOOKUP(D113,ProjAppSvc!$A$4:$G$1500,2,FALSE),"none")</f>
        <v>none</v>
      </c>
    </row>
    <row r="114" spans="1:29" x14ac:dyDescent="0.45">
      <c r="A114" s="14" t="s">
        <v>23</v>
      </c>
      <c r="B114" s="14"/>
      <c r="C114" s="14"/>
      <c r="D114" s="14"/>
      <c r="H114" s="8"/>
      <c r="I114" s="3"/>
      <c r="J114" s="3" t="str">
        <f t="shared" si="4"/>
        <v/>
      </c>
      <c r="K114" s="3" t="str">
        <f>IF(ISNUMBER(SEARCH("-",V114)),IFERROR(IF($H$2="Lower", LOWER(ComputeResourceName(Z114,#REF!,#REF!,G114,N114,O114,P114,Q114,S114,T114,V114,A114)), UPPER(ComputeResourceName(Z114,#REF!,#REF!,G114,N114,O114,P114,Q114,S114,T114,V114,A114))),""),SUBSTITUTE(IFERROR(IF($H$2="Lower", LOWER(ComputeResourceName(#REF!,#REF!,#REF!,G114,N114,O114,P114,Q114,S114,T114,V114,A114)), UPPER(ComputeResourceName(#REF!,#REF!,#REF!,G114,N114,O114,P114,Q114,S114,T114,V114,A114))),""), "-",""))</f>
        <v/>
      </c>
      <c r="L114" s="3" t="str">
        <f xml:space="preserve"> IF(K114="","",  IFERROR(VLOOKUP(I114,Resources!$B$1:$H$1503,5,FALSE)-LEN(K114),0))</f>
        <v/>
      </c>
      <c r="M114" s="3" t="str">
        <f>IF(K114="","",IFERROR(matches(K114,VLOOKUP(I114,Resources!$A$2:$AA$1503,16,FALSE)),FALSE))</f>
        <v/>
      </c>
      <c r="N114" s="3" t="e">
        <f>VLOOKUP(E114,Enviroments!$A$3:$D$59,1,FALSE)</f>
        <v>#N/A</v>
      </c>
      <c r="O114" s="3" t="e">
        <f>VLOOKUP(E114,Enviroments!$A$3:$D$59,2,FALSE)</f>
        <v>#N/A</v>
      </c>
      <c r="P114" s="3" t="e">
        <f>VLOOKUP(E114,Enviroments!$A$3:$D$59,3,FALSE)</f>
        <v>#N/A</v>
      </c>
      <c r="Q114" s="3" t="e">
        <f>VLOOKUP(E114,Enviroments!$A$3:$D$59,4,FALSE)</f>
        <v>#N/A</v>
      </c>
      <c r="R114" s="3" t="e">
        <f>VLOOKUP(H114,AzureRegions!$A$4:$B$1493,1,FALSE)</f>
        <v>#N/A</v>
      </c>
      <c r="S114" s="3" t="e">
        <f>VLOOKUP(H114,AzureRegions!$A$4:$B$1493,2,FALSE)</f>
        <v>#N/A</v>
      </c>
      <c r="T114" s="3" t="e">
        <f>VLOOKUP(H114,AzureRegions!$A$4:$C$1493,3,FALSE)</f>
        <v>#N/A</v>
      </c>
      <c r="U114" s="3" t="e">
        <f>VLOOKUP(I114,Resources!$A$2:$AA$1503,2,FALSE)</f>
        <v>#N/A</v>
      </c>
      <c r="V114" s="3" t="e">
        <f>VLOOKUP(I114,Resources!$A$2:$H$1503,6,FALSE)</f>
        <v>#N/A</v>
      </c>
      <c r="W114" s="3" t="str">
        <f>VLOOKUP($H$2,Casing!$A$4:$A$60,1,FALSE)</f>
        <v>Lower</v>
      </c>
      <c r="X114" s="14" t="str">
        <f t="shared" si="3"/>
        <v>001</v>
      </c>
      <c r="Y114" s="3" t="str">
        <f>IFERROR(VLOOKUP(F114,Func!$A$4:$G$1500,2,FALSE),"none")</f>
        <v>none</v>
      </c>
      <c r="Z114" s="3" t="e">
        <f>VLOOKUP(I114,Resources!$A$2:$AA$1503,18,FALSE)</f>
        <v>#N/A</v>
      </c>
      <c r="AA114" s="3" t="str">
        <f>IFERROR(VLOOKUP(B114,Orgs!$A$4:$G$1500,2,FALSE),"none")</f>
        <v>none</v>
      </c>
      <c r="AB114" s="3" t="str">
        <f>IFERROR(VLOOKUP(C114,UnitsDepts!$A$4:$G$1500,2,FALSE),"none")</f>
        <v>none</v>
      </c>
      <c r="AC114" s="3" t="str">
        <f>IFERROR(VLOOKUP(D114,ProjAppSvc!$A$4:$G$1500,2,FALSE),"none")</f>
        <v>none</v>
      </c>
    </row>
    <row r="115" spans="1:29" x14ac:dyDescent="0.45">
      <c r="A115" s="14" t="s">
        <v>23</v>
      </c>
      <c r="B115" s="14"/>
      <c r="C115" s="14"/>
      <c r="D115" s="14"/>
      <c r="H115" s="8"/>
      <c r="I115" s="3"/>
      <c r="J115" s="3" t="str">
        <f t="shared" si="4"/>
        <v/>
      </c>
      <c r="K115" s="3" t="str">
        <f>IF(ISNUMBER(SEARCH("-",V115)),IFERROR(IF($H$2="Lower", LOWER(ComputeResourceName(Z115,#REF!,#REF!,G115,N115,O115,P115,Q115,S115,T115,V115,A115)), UPPER(ComputeResourceName(Z115,#REF!,#REF!,G115,N115,O115,P115,Q115,S115,T115,V115,A115))),""),SUBSTITUTE(IFERROR(IF($H$2="Lower", LOWER(ComputeResourceName(#REF!,#REF!,#REF!,G115,N115,O115,P115,Q115,S115,T115,V115,A115)), UPPER(ComputeResourceName(#REF!,#REF!,#REF!,G115,N115,O115,P115,Q115,S115,T115,V115,A115))),""), "-",""))</f>
        <v/>
      </c>
      <c r="L115" s="3" t="str">
        <f xml:space="preserve"> IF(K115="","",  IFERROR(VLOOKUP(I115,Resources!$B$1:$H$1503,5,FALSE)-LEN(K115),0))</f>
        <v/>
      </c>
      <c r="M115" s="3" t="str">
        <f>IF(K115="","",IFERROR(matches(K115,VLOOKUP(I115,Resources!$A$2:$AA$1503,16,FALSE)),FALSE))</f>
        <v/>
      </c>
      <c r="N115" s="3" t="e">
        <f>VLOOKUP(E115,Enviroments!$A$3:$D$59,1,FALSE)</f>
        <v>#N/A</v>
      </c>
      <c r="O115" s="3" t="e">
        <f>VLOOKUP(E115,Enviroments!$A$3:$D$59,2,FALSE)</f>
        <v>#N/A</v>
      </c>
      <c r="P115" s="3" t="e">
        <f>VLOOKUP(E115,Enviroments!$A$3:$D$59,3,FALSE)</f>
        <v>#N/A</v>
      </c>
      <c r="Q115" s="3" t="e">
        <f>VLOOKUP(E115,Enviroments!$A$3:$D$59,4,FALSE)</f>
        <v>#N/A</v>
      </c>
      <c r="R115" s="3" t="e">
        <f>VLOOKUP(H115,AzureRegions!$A$4:$B$1493,1,FALSE)</f>
        <v>#N/A</v>
      </c>
      <c r="S115" s="3" t="e">
        <f>VLOOKUP(H115,AzureRegions!$A$4:$B$1493,2,FALSE)</f>
        <v>#N/A</v>
      </c>
      <c r="T115" s="3" t="e">
        <f>VLOOKUP(H115,AzureRegions!$A$4:$C$1493,3,FALSE)</f>
        <v>#N/A</v>
      </c>
      <c r="U115" s="3" t="e">
        <f>VLOOKUP(I115,Resources!$A$2:$AA$1503,2,FALSE)</f>
        <v>#N/A</v>
      </c>
      <c r="V115" s="3" t="e">
        <f>VLOOKUP(I115,Resources!$A$2:$H$1503,6,FALSE)</f>
        <v>#N/A</v>
      </c>
      <c r="W115" s="3" t="str">
        <f>VLOOKUP($H$2,Casing!$A$4:$A$60,1,FALSE)</f>
        <v>Lower</v>
      </c>
      <c r="X115" s="14" t="str">
        <f t="shared" si="3"/>
        <v>001</v>
      </c>
      <c r="Y115" s="3" t="str">
        <f>IFERROR(VLOOKUP(F115,Func!$A$4:$G$1500,2,FALSE),"none")</f>
        <v>none</v>
      </c>
      <c r="Z115" s="3" t="e">
        <f>VLOOKUP(I115,Resources!$A$2:$AA$1503,18,FALSE)</f>
        <v>#N/A</v>
      </c>
      <c r="AA115" s="3" t="str">
        <f>IFERROR(VLOOKUP(B115,Orgs!$A$4:$G$1500,2,FALSE),"none")</f>
        <v>none</v>
      </c>
      <c r="AB115" s="3" t="str">
        <f>IFERROR(VLOOKUP(C115,UnitsDepts!$A$4:$G$1500,2,FALSE),"none")</f>
        <v>none</v>
      </c>
      <c r="AC115" s="3" t="str">
        <f>IFERROR(VLOOKUP(D115,ProjAppSvc!$A$4:$G$1500,2,FALSE),"none")</f>
        <v>none</v>
      </c>
    </row>
    <row r="116" spans="1:29" x14ac:dyDescent="0.45">
      <c r="A116" s="14" t="s">
        <v>23</v>
      </c>
      <c r="B116" s="14"/>
      <c r="C116" s="14"/>
      <c r="D116" s="14"/>
      <c r="H116" s="8"/>
      <c r="I116" s="3"/>
      <c r="J116" s="3" t="str">
        <f t="shared" si="4"/>
        <v/>
      </c>
      <c r="K116" s="3" t="str">
        <f>IF(ISNUMBER(SEARCH("-",V116)),IFERROR(IF($H$2="Lower", LOWER(ComputeResourceName(Z116,#REF!,#REF!,G116,N116,O116,P116,Q116,S116,T116,V116,A116)), UPPER(ComputeResourceName(Z116,#REF!,#REF!,G116,N116,O116,P116,Q116,S116,T116,V116,A116))),""),SUBSTITUTE(IFERROR(IF($H$2="Lower", LOWER(ComputeResourceName(#REF!,#REF!,#REF!,G116,N116,O116,P116,Q116,S116,T116,V116,A116)), UPPER(ComputeResourceName(#REF!,#REF!,#REF!,G116,N116,O116,P116,Q116,S116,T116,V116,A116))),""), "-",""))</f>
        <v/>
      </c>
      <c r="L116" s="3" t="str">
        <f xml:space="preserve"> IF(K116="","",  IFERROR(VLOOKUP(I116,Resources!$B$1:$H$1503,5,FALSE)-LEN(K116),0))</f>
        <v/>
      </c>
      <c r="M116" s="3" t="str">
        <f>IF(K116="","",IFERROR(matches(K116,VLOOKUP(I116,Resources!$A$2:$AA$1503,16,FALSE)),FALSE))</f>
        <v/>
      </c>
      <c r="N116" s="3" t="e">
        <f>VLOOKUP(E116,Enviroments!$A$3:$D$59,1,FALSE)</f>
        <v>#N/A</v>
      </c>
      <c r="O116" s="3" t="e">
        <f>VLOOKUP(E116,Enviroments!$A$3:$D$59,2,FALSE)</f>
        <v>#N/A</v>
      </c>
      <c r="P116" s="3" t="e">
        <f>VLOOKUP(E116,Enviroments!$A$3:$D$59,3,FALSE)</f>
        <v>#N/A</v>
      </c>
      <c r="Q116" s="3" t="e">
        <f>VLOOKUP(E116,Enviroments!$A$3:$D$59,4,FALSE)</f>
        <v>#N/A</v>
      </c>
      <c r="R116" s="3" t="e">
        <f>VLOOKUP(H116,AzureRegions!$A$4:$B$1493,1,FALSE)</f>
        <v>#N/A</v>
      </c>
      <c r="S116" s="3" t="e">
        <f>VLOOKUP(H116,AzureRegions!$A$4:$B$1493,2,FALSE)</f>
        <v>#N/A</v>
      </c>
      <c r="T116" s="3" t="e">
        <f>VLOOKUP(H116,AzureRegions!$A$4:$C$1493,3,FALSE)</f>
        <v>#N/A</v>
      </c>
      <c r="U116" s="3" t="e">
        <f>VLOOKUP(I116,Resources!$A$2:$AA$1503,2,FALSE)</f>
        <v>#N/A</v>
      </c>
      <c r="V116" s="3" t="e">
        <f>VLOOKUP(I116,Resources!$A$2:$H$1503,6,FALSE)</f>
        <v>#N/A</v>
      </c>
      <c r="W116" s="3" t="str">
        <f>VLOOKUP($H$2,Casing!$A$4:$A$60,1,FALSE)</f>
        <v>Lower</v>
      </c>
      <c r="X116" s="14" t="str">
        <f t="shared" si="3"/>
        <v>001</v>
      </c>
      <c r="Y116" s="3" t="str">
        <f>IFERROR(VLOOKUP(F116,Func!$A$4:$G$1500,2,FALSE),"none")</f>
        <v>none</v>
      </c>
      <c r="Z116" s="3" t="e">
        <f>VLOOKUP(I116,Resources!$A$2:$AA$1503,18,FALSE)</f>
        <v>#N/A</v>
      </c>
      <c r="AA116" s="3" t="str">
        <f>IFERROR(VLOOKUP(B116,Orgs!$A$4:$G$1500,2,FALSE),"none")</f>
        <v>none</v>
      </c>
      <c r="AB116" s="3" t="str">
        <f>IFERROR(VLOOKUP(C116,UnitsDepts!$A$4:$G$1500,2,FALSE),"none")</f>
        <v>none</v>
      </c>
      <c r="AC116" s="3" t="str">
        <f>IFERROR(VLOOKUP(D116,ProjAppSvc!$A$4:$G$1500,2,FALSE),"none")</f>
        <v>none</v>
      </c>
    </row>
    <row r="117" spans="1:29" x14ac:dyDescent="0.45">
      <c r="A117" s="14" t="s">
        <v>23</v>
      </c>
      <c r="B117" s="14"/>
      <c r="C117" s="14"/>
      <c r="D117" s="14"/>
      <c r="H117" s="8"/>
      <c r="I117" s="3"/>
      <c r="J117" s="3" t="str">
        <f t="shared" si="4"/>
        <v/>
      </c>
      <c r="K117" s="3" t="str">
        <f>IF(ISNUMBER(SEARCH("-",V117)),IFERROR(IF($H$2="Lower", LOWER(ComputeResourceName(Z117,#REF!,#REF!,G117,N117,O117,P117,Q117,S117,T117,V117,A117)), UPPER(ComputeResourceName(Z117,#REF!,#REF!,G117,N117,O117,P117,Q117,S117,T117,V117,A117))),""),SUBSTITUTE(IFERROR(IF($H$2="Lower", LOWER(ComputeResourceName(#REF!,#REF!,#REF!,G117,N117,O117,P117,Q117,S117,T117,V117,A117)), UPPER(ComputeResourceName(#REF!,#REF!,#REF!,G117,N117,O117,P117,Q117,S117,T117,V117,A117))),""), "-",""))</f>
        <v/>
      </c>
      <c r="L117" s="3" t="str">
        <f xml:space="preserve"> IF(K117="","",  IFERROR(VLOOKUP(I117,Resources!$B$1:$H$1503,5,FALSE)-LEN(K117),0))</f>
        <v/>
      </c>
      <c r="M117" s="3" t="str">
        <f>IF(K117="","",IFERROR(matches(K117,VLOOKUP(I117,Resources!$A$2:$AA$1503,16,FALSE)),FALSE))</f>
        <v/>
      </c>
      <c r="N117" s="3" t="e">
        <f>VLOOKUP(E117,Enviroments!$A$3:$D$59,1,FALSE)</f>
        <v>#N/A</v>
      </c>
      <c r="O117" s="3" t="e">
        <f>VLOOKUP(E117,Enviroments!$A$3:$D$59,2,FALSE)</f>
        <v>#N/A</v>
      </c>
      <c r="P117" s="3" t="e">
        <f>VLOOKUP(E117,Enviroments!$A$3:$D$59,3,FALSE)</f>
        <v>#N/A</v>
      </c>
      <c r="Q117" s="3" t="e">
        <f>VLOOKUP(E117,Enviroments!$A$3:$D$59,4,FALSE)</f>
        <v>#N/A</v>
      </c>
      <c r="R117" s="3" t="e">
        <f>VLOOKUP(H117,AzureRegions!$A$4:$B$1493,1,FALSE)</f>
        <v>#N/A</v>
      </c>
      <c r="S117" s="3" t="e">
        <f>VLOOKUP(H117,AzureRegions!$A$4:$B$1493,2,FALSE)</f>
        <v>#N/A</v>
      </c>
      <c r="T117" s="3" t="e">
        <f>VLOOKUP(H117,AzureRegions!$A$4:$C$1493,3,FALSE)</f>
        <v>#N/A</v>
      </c>
      <c r="U117" s="3" t="e">
        <f>VLOOKUP(I117,Resources!$A$2:$AA$1503,2,FALSE)</f>
        <v>#N/A</v>
      </c>
      <c r="V117" s="3" t="e">
        <f>VLOOKUP(I117,Resources!$A$2:$H$1503,6,FALSE)</f>
        <v>#N/A</v>
      </c>
      <c r="W117" s="3" t="str">
        <f>VLOOKUP($H$2,Casing!$A$4:$A$60,1,FALSE)</f>
        <v>Lower</v>
      </c>
      <c r="X117" s="14" t="str">
        <f t="shared" si="3"/>
        <v>001</v>
      </c>
      <c r="Y117" s="3" t="str">
        <f>IFERROR(VLOOKUP(F117,Func!$A$4:$G$1500,2,FALSE),"none")</f>
        <v>none</v>
      </c>
      <c r="Z117" s="3" t="e">
        <f>VLOOKUP(I117,Resources!$A$2:$AA$1503,18,FALSE)</f>
        <v>#N/A</v>
      </c>
      <c r="AA117" s="3" t="str">
        <f>IFERROR(VLOOKUP(B117,Orgs!$A$4:$G$1500,2,FALSE),"none")</f>
        <v>none</v>
      </c>
      <c r="AB117" s="3" t="str">
        <f>IFERROR(VLOOKUP(C117,UnitsDepts!$A$4:$G$1500,2,FALSE),"none")</f>
        <v>none</v>
      </c>
      <c r="AC117" s="3" t="str">
        <f>IFERROR(VLOOKUP(D117,ProjAppSvc!$A$4:$G$1500,2,FALSE),"none")</f>
        <v>none</v>
      </c>
    </row>
    <row r="118" spans="1:29" x14ac:dyDescent="0.45">
      <c r="A118" s="14" t="s">
        <v>23</v>
      </c>
      <c r="B118" s="14"/>
      <c r="C118" s="14"/>
      <c r="D118" s="14"/>
      <c r="H118" s="8"/>
      <c r="I118" s="3"/>
      <c r="J118" s="3" t="str">
        <f t="shared" si="4"/>
        <v/>
      </c>
      <c r="K118" s="3" t="str">
        <f>IF(ISNUMBER(SEARCH("-",V118)),IFERROR(IF($H$2="Lower", LOWER(ComputeResourceName(Z118,#REF!,#REF!,G118,N118,O118,P118,Q118,S118,T118,V118,A118)), UPPER(ComputeResourceName(Z118,#REF!,#REF!,G118,N118,O118,P118,Q118,S118,T118,V118,A118))),""),SUBSTITUTE(IFERROR(IF($H$2="Lower", LOWER(ComputeResourceName(#REF!,#REF!,#REF!,G118,N118,O118,P118,Q118,S118,T118,V118,A118)), UPPER(ComputeResourceName(#REF!,#REF!,#REF!,G118,N118,O118,P118,Q118,S118,T118,V118,A118))),""), "-",""))</f>
        <v/>
      </c>
      <c r="L118" s="3" t="str">
        <f xml:space="preserve"> IF(K118="","",  IFERROR(VLOOKUP(I118,Resources!$B$1:$H$1503,5,FALSE)-LEN(K118),0))</f>
        <v/>
      </c>
      <c r="M118" s="3" t="str">
        <f>IF(K118="","",IFERROR(matches(K118,VLOOKUP(I118,Resources!$A$2:$AA$1503,16,FALSE)),FALSE))</f>
        <v/>
      </c>
      <c r="N118" s="3" t="e">
        <f>VLOOKUP(E118,Enviroments!$A$3:$D$59,1,FALSE)</f>
        <v>#N/A</v>
      </c>
      <c r="O118" s="3" t="e">
        <f>VLOOKUP(E118,Enviroments!$A$3:$D$59,2,FALSE)</f>
        <v>#N/A</v>
      </c>
      <c r="P118" s="3" t="e">
        <f>VLOOKUP(E118,Enviroments!$A$3:$D$59,3,FALSE)</f>
        <v>#N/A</v>
      </c>
      <c r="Q118" s="3" t="e">
        <f>VLOOKUP(E118,Enviroments!$A$3:$D$59,4,FALSE)</f>
        <v>#N/A</v>
      </c>
      <c r="R118" s="3" t="e">
        <f>VLOOKUP(H118,AzureRegions!$A$4:$B$1493,1,FALSE)</f>
        <v>#N/A</v>
      </c>
      <c r="S118" s="3" t="e">
        <f>VLOOKUP(H118,AzureRegions!$A$4:$B$1493,2,FALSE)</f>
        <v>#N/A</v>
      </c>
      <c r="T118" s="3" t="e">
        <f>VLOOKUP(H118,AzureRegions!$A$4:$C$1493,3,FALSE)</f>
        <v>#N/A</v>
      </c>
      <c r="U118" s="3" t="e">
        <f>VLOOKUP(I118,Resources!$A$2:$AA$1503,2,FALSE)</f>
        <v>#N/A</v>
      </c>
      <c r="V118" s="3" t="e">
        <f>VLOOKUP(I118,Resources!$A$2:$H$1503,6,FALSE)</f>
        <v>#N/A</v>
      </c>
      <c r="W118" s="3" t="str">
        <f>VLOOKUP($H$2,Casing!$A$4:$A$60,1,FALSE)</f>
        <v>Lower</v>
      </c>
      <c r="X118" s="14" t="str">
        <f t="shared" si="3"/>
        <v>001</v>
      </c>
      <c r="Y118" s="3" t="str">
        <f>IFERROR(VLOOKUP(F118,Func!$A$4:$G$1500,2,FALSE),"none")</f>
        <v>none</v>
      </c>
      <c r="Z118" s="3" t="e">
        <f>VLOOKUP(I118,Resources!$A$2:$AA$1503,18,FALSE)</f>
        <v>#N/A</v>
      </c>
      <c r="AA118" s="3" t="str">
        <f>IFERROR(VLOOKUP(B118,Orgs!$A$4:$G$1500,2,FALSE),"none")</f>
        <v>none</v>
      </c>
      <c r="AB118" s="3" t="str">
        <f>IFERROR(VLOOKUP(C118,UnitsDepts!$A$4:$G$1500,2,FALSE),"none")</f>
        <v>none</v>
      </c>
      <c r="AC118" s="3" t="str">
        <f>IFERROR(VLOOKUP(D118,ProjAppSvc!$A$4:$G$1500,2,FALSE),"none")</f>
        <v>none</v>
      </c>
    </row>
    <row r="119" spans="1:29" x14ac:dyDescent="0.45">
      <c r="A119" s="14" t="s">
        <v>23</v>
      </c>
      <c r="B119" s="14"/>
      <c r="C119" s="14"/>
      <c r="D119" s="14"/>
      <c r="H119" s="8"/>
      <c r="I119" s="3"/>
      <c r="J119" s="3" t="str">
        <f t="shared" si="4"/>
        <v/>
      </c>
      <c r="K119" s="3" t="str">
        <f>IF(ISNUMBER(SEARCH("-",V119)),IFERROR(IF($H$2="Lower", LOWER(ComputeResourceName(Z119,#REF!,#REF!,G119,N119,O119,P119,Q119,S119,T119,V119,A119)), UPPER(ComputeResourceName(Z119,#REF!,#REF!,G119,N119,O119,P119,Q119,S119,T119,V119,A119))),""),SUBSTITUTE(IFERROR(IF($H$2="Lower", LOWER(ComputeResourceName(#REF!,#REF!,#REF!,G119,N119,O119,P119,Q119,S119,T119,V119,A119)), UPPER(ComputeResourceName(#REF!,#REF!,#REF!,G119,N119,O119,P119,Q119,S119,T119,V119,A119))),""), "-",""))</f>
        <v/>
      </c>
      <c r="L119" s="3" t="str">
        <f xml:space="preserve"> IF(K119="","",  IFERROR(VLOOKUP(I119,Resources!$B$1:$H$1503,5,FALSE)-LEN(K119),0))</f>
        <v/>
      </c>
      <c r="M119" s="3" t="str">
        <f>IF(K119="","",IFERROR(matches(K119,VLOOKUP(I119,Resources!$A$2:$AA$1503,16,FALSE)),FALSE))</f>
        <v/>
      </c>
      <c r="N119" s="3" t="e">
        <f>VLOOKUP(E119,Enviroments!$A$3:$D$59,1,FALSE)</f>
        <v>#N/A</v>
      </c>
      <c r="O119" s="3" t="e">
        <f>VLOOKUP(E119,Enviroments!$A$3:$D$59,2,FALSE)</f>
        <v>#N/A</v>
      </c>
      <c r="P119" s="3" t="e">
        <f>VLOOKUP(E119,Enviroments!$A$3:$D$59,3,FALSE)</f>
        <v>#N/A</v>
      </c>
      <c r="Q119" s="3" t="e">
        <f>VLOOKUP(E119,Enviroments!$A$3:$D$59,4,FALSE)</f>
        <v>#N/A</v>
      </c>
      <c r="R119" s="3" t="e">
        <f>VLOOKUP(H119,AzureRegions!$A$4:$B$1493,1,FALSE)</f>
        <v>#N/A</v>
      </c>
      <c r="S119" s="3" t="e">
        <f>VLOOKUP(H119,AzureRegions!$A$4:$B$1493,2,FALSE)</f>
        <v>#N/A</v>
      </c>
      <c r="T119" s="3" t="e">
        <f>VLOOKUP(H119,AzureRegions!$A$4:$C$1493,3,FALSE)</f>
        <v>#N/A</v>
      </c>
      <c r="U119" s="3" t="e">
        <f>VLOOKUP(I119,Resources!$A$2:$AA$1503,2,FALSE)</f>
        <v>#N/A</v>
      </c>
      <c r="V119" s="3" t="e">
        <f>VLOOKUP(I119,Resources!$A$2:$H$1503,6,FALSE)</f>
        <v>#N/A</v>
      </c>
      <c r="W119" s="3" t="str">
        <f>VLOOKUP($H$2,Casing!$A$4:$A$60,1,FALSE)</f>
        <v>Lower</v>
      </c>
      <c r="X119" s="14" t="str">
        <f t="shared" si="3"/>
        <v>001</v>
      </c>
      <c r="Y119" s="3" t="str">
        <f>IFERROR(VLOOKUP(F119,Func!$A$4:$G$1500,2,FALSE),"none")</f>
        <v>none</v>
      </c>
      <c r="Z119" s="3" t="e">
        <f>VLOOKUP(I119,Resources!$A$2:$AA$1503,18,FALSE)</f>
        <v>#N/A</v>
      </c>
      <c r="AA119" s="3" t="str">
        <f>IFERROR(VLOOKUP(B119,Orgs!$A$4:$G$1500,2,FALSE),"none")</f>
        <v>none</v>
      </c>
      <c r="AB119" s="3" t="str">
        <f>IFERROR(VLOOKUP(C119,UnitsDepts!$A$4:$G$1500,2,FALSE),"none")</f>
        <v>none</v>
      </c>
      <c r="AC119" s="3" t="str">
        <f>IFERROR(VLOOKUP(D119,ProjAppSvc!$A$4:$G$1500,2,FALSE),"none")</f>
        <v>none</v>
      </c>
    </row>
    <row r="120" spans="1:29" x14ac:dyDescent="0.45">
      <c r="A120" s="14" t="s">
        <v>23</v>
      </c>
      <c r="B120" s="14"/>
      <c r="C120" s="14"/>
      <c r="D120" s="14"/>
      <c r="H120" s="8"/>
      <c r="I120" s="3"/>
      <c r="J120" s="3" t="str">
        <f t="shared" si="4"/>
        <v/>
      </c>
      <c r="K120" s="3" t="str">
        <f>IF(ISNUMBER(SEARCH("-",V120)),IFERROR(IF($H$2="Lower", LOWER(ComputeResourceName(Z120,#REF!,#REF!,G120,N120,O120,P120,Q120,S120,T120,V120,A120)), UPPER(ComputeResourceName(Z120,#REF!,#REF!,G120,N120,O120,P120,Q120,S120,T120,V120,A120))),""),SUBSTITUTE(IFERROR(IF($H$2="Lower", LOWER(ComputeResourceName(#REF!,#REF!,#REF!,G120,N120,O120,P120,Q120,S120,T120,V120,A120)), UPPER(ComputeResourceName(#REF!,#REF!,#REF!,G120,N120,O120,P120,Q120,S120,T120,V120,A120))),""), "-",""))</f>
        <v/>
      </c>
      <c r="L120" s="3" t="str">
        <f xml:space="preserve"> IF(K120="","",  IFERROR(VLOOKUP(I120,Resources!$B$1:$H$1503,5,FALSE)-LEN(K120),0))</f>
        <v/>
      </c>
      <c r="M120" s="3" t="str">
        <f>IF(K120="","",IFERROR(matches(K120,VLOOKUP(I120,Resources!$A$2:$AA$1503,16,FALSE)),FALSE))</f>
        <v/>
      </c>
      <c r="N120" s="3" t="e">
        <f>VLOOKUP(E120,Enviroments!$A$3:$D$59,1,FALSE)</f>
        <v>#N/A</v>
      </c>
      <c r="O120" s="3" t="e">
        <f>VLOOKUP(E120,Enviroments!$A$3:$D$59,2,FALSE)</f>
        <v>#N/A</v>
      </c>
      <c r="P120" s="3" t="e">
        <f>VLOOKUP(E120,Enviroments!$A$3:$D$59,3,FALSE)</f>
        <v>#N/A</v>
      </c>
      <c r="Q120" s="3" t="e">
        <f>VLOOKUP(E120,Enviroments!$A$3:$D$59,4,FALSE)</f>
        <v>#N/A</v>
      </c>
      <c r="R120" s="3" t="e">
        <f>VLOOKUP(H120,AzureRegions!$A$4:$B$1493,1,FALSE)</f>
        <v>#N/A</v>
      </c>
      <c r="S120" s="3" t="e">
        <f>VLOOKUP(H120,AzureRegions!$A$4:$B$1493,2,FALSE)</f>
        <v>#N/A</v>
      </c>
      <c r="T120" s="3" t="e">
        <f>VLOOKUP(H120,AzureRegions!$A$4:$C$1493,3,FALSE)</f>
        <v>#N/A</v>
      </c>
      <c r="U120" s="3" t="e">
        <f>VLOOKUP(I120,Resources!$A$2:$AA$1503,2,FALSE)</f>
        <v>#N/A</v>
      </c>
      <c r="V120" s="3" t="e">
        <f>VLOOKUP(I120,Resources!$A$2:$H$1503,6,FALSE)</f>
        <v>#N/A</v>
      </c>
      <c r="W120" s="3" t="str">
        <f>VLOOKUP($H$2,Casing!$A$4:$A$60,1,FALSE)</f>
        <v>Lower</v>
      </c>
      <c r="X120" s="14" t="str">
        <f t="shared" si="3"/>
        <v>001</v>
      </c>
      <c r="Y120" s="3" t="str">
        <f>IFERROR(VLOOKUP(F120,Func!$A$4:$G$1500,2,FALSE),"none")</f>
        <v>none</v>
      </c>
      <c r="Z120" s="3" t="e">
        <f>VLOOKUP(I120,Resources!$A$2:$AA$1503,18,FALSE)</f>
        <v>#N/A</v>
      </c>
      <c r="AA120" s="3" t="str">
        <f>IFERROR(VLOOKUP(B120,Orgs!$A$4:$G$1500,2,FALSE),"none")</f>
        <v>none</v>
      </c>
      <c r="AB120" s="3" t="str">
        <f>IFERROR(VLOOKUP(C120,UnitsDepts!$A$4:$G$1500,2,FALSE),"none")</f>
        <v>none</v>
      </c>
      <c r="AC120" s="3" t="str">
        <f>IFERROR(VLOOKUP(D120,ProjAppSvc!$A$4:$G$1500,2,FALSE),"none")</f>
        <v>none</v>
      </c>
    </row>
    <row r="121" spans="1:29" x14ac:dyDescent="0.45">
      <c r="A121" s="14" t="s">
        <v>23</v>
      </c>
      <c r="B121" s="14"/>
      <c r="C121" s="14"/>
      <c r="D121" s="14"/>
      <c r="H121" s="8"/>
      <c r="I121" s="3"/>
      <c r="J121" s="3" t="str">
        <f t="shared" si="4"/>
        <v/>
      </c>
      <c r="K121" s="3" t="str">
        <f>IF(ISNUMBER(SEARCH("-",V121)),IFERROR(IF($H$2="Lower", LOWER(ComputeResourceName(Z121,#REF!,#REF!,G121,N121,O121,P121,Q121,S121,T121,V121,A121)), UPPER(ComputeResourceName(Z121,#REF!,#REF!,G121,N121,O121,P121,Q121,S121,T121,V121,A121))),""),SUBSTITUTE(IFERROR(IF($H$2="Lower", LOWER(ComputeResourceName(#REF!,#REF!,#REF!,G121,N121,O121,P121,Q121,S121,T121,V121,A121)), UPPER(ComputeResourceName(#REF!,#REF!,#REF!,G121,N121,O121,P121,Q121,S121,T121,V121,A121))),""), "-",""))</f>
        <v/>
      </c>
      <c r="L121" s="3" t="str">
        <f xml:space="preserve"> IF(K121="","",  IFERROR(VLOOKUP(I121,Resources!$B$1:$H$1503,5,FALSE)-LEN(K121),0))</f>
        <v/>
      </c>
      <c r="M121" s="3" t="str">
        <f>IF(K121="","",IFERROR(matches(K121,VLOOKUP(I121,Resources!$A$2:$AA$1503,16,FALSE)),FALSE))</f>
        <v/>
      </c>
      <c r="N121" s="3" t="e">
        <f>VLOOKUP(E121,Enviroments!$A$3:$D$59,1,FALSE)</f>
        <v>#N/A</v>
      </c>
      <c r="O121" s="3" t="e">
        <f>VLOOKUP(E121,Enviroments!$A$3:$D$59,2,FALSE)</f>
        <v>#N/A</v>
      </c>
      <c r="P121" s="3" t="e">
        <f>VLOOKUP(E121,Enviroments!$A$3:$D$59,3,FALSE)</f>
        <v>#N/A</v>
      </c>
      <c r="Q121" s="3" t="e">
        <f>VLOOKUP(E121,Enviroments!$A$3:$D$59,4,FALSE)</f>
        <v>#N/A</v>
      </c>
      <c r="R121" s="3" t="e">
        <f>VLOOKUP(H121,AzureRegions!$A$4:$B$1493,1,FALSE)</f>
        <v>#N/A</v>
      </c>
      <c r="S121" s="3" t="e">
        <f>VLOOKUP(H121,AzureRegions!$A$4:$B$1493,2,FALSE)</f>
        <v>#N/A</v>
      </c>
      <c r="T121" s="3" t="e">
        <f>VLOOKUP(H121,AzureRegions!$A$4:$C$1493,3,FALSE)</f>
        <v>#N/A</v>
      </c>
      <c r="U121" s="3" t="e">
        <f>VLOOKUP(I121,Resources!$A$2:$AA$1503,2,FALSE)</f>
        <v>#N/A</v>
      </c>
      <c r="V121" s="3" t="e">
        <f>VLOOKUP(I121,Resources!$A$2:$H$1503,6,FALSE)</f>
        <v>#N/A</v>
      </c>
      <c r="W121" s="3" t="str">
        <f>VLOOKUP($H$2,Casing!$A$4:$A$60,1,FALSE)</f>
        <v>Lower</v>
      </c>
      <c r="X121" s="14" t="str">
        <f t="shared" si="3"/>
        <v>001</v>
      </c>
      <c r="Y121" s="3" t="str">
        <f>IFERROR(VLOOKUP(F121,Func!$A$4:$G$1500,2,FALSE),"none")</f>
        <v>none</v>
      </c>
      <c r="Z121" s="3" t="e">
        <f>VLOOKUP(I121,Resources!$A$2:$AA$1503,18,FALSE)</f>
        <v>#N/A</v>
      </c>
      <c r="AA121" s="3" t="str">
        <f>IFERROR(VLOOKUP(B121,Orgs!$A$4:$G$1500,2,FALSE),"none")</f>
        <v>none</v>
      </c>
      <c r="AB121" s="3" t="str">
        <f>IFERROR(VLOOKUP(C121,UnitsDepts!$A$4:$G$1500,2,FALSE),"none")</f>
        <v>none</v>
      </c>
      <c r="AC121" s="3" t="str">
        <f>IFERROR(VLOOKUP(D121,ProjAppSvc!$A$4:$G$1500,2,FALSE),"none")</f>
        <v>none</v>
      </c>
    </row>
    <row r="122" spans="1:29" x14ac:dyDescent="0.45">
      <c r="A122" s="14" t="s">
        <v>23</v>
      </c>
      <c r="B122" s="14"/>
      <c r="C122" s="14"/>
      <c r="D122" s="14"/>
      <c r="H122" s="8"/>
      <c r="I122" s="3"/>
      <c r="J122" s="3" t="str">
        <f t="shared" si="4"/>
        <v/>
      </c>
      <c r="K122" s="3" t="str">
        <f>IF(ISNUMBER(SEARCH("-",V122)),IFERROR(IF($H$2="Lower", LOWER(ComputeResourceName(Z122,#REF!,#REF!,G122,N122,O122,P122,Q122,S122,T122,V122,A122)), UPPER(ComputeResourceName(Z122,#REF!,#REF!,G122,N122,O122,P122,Q122,S122,T122,V122,A122))),""),SUBSTITUTE(IFERROR(IF($H$2="Lower", LOWER(ComputeResourceName(#REF!,#REF!,#REF!,G122,N122,O122,P122,Q122,S122,T122,V122,A122)), UPPER(ComputeResourceName(#REF!,#REF!,#REF!,G122,N122,O122,P122,Q122,S122,T122,V122,A122))),""), "-",""))</f>
        <v/>
      </c>
      <c r="L122" s="3" t="str">
        <f xml:space="preserve"> IF(K122="","",  IFERROR(VLOOKUP(I122,Resources!$B$1:$H$1503,5,FALSE)-LEN(K122),0))</f>
        <v/>
      </c>
      <c r="M122" s="3" t="str">
        <f>IF(K122="","",IFERROR(matches(K122,VLOOKUP(I122,Resources!$A$2:$AA$1503,16,FALSE)),FALSE))</f>
        <v/>
      </c>
      <c r="N122" s="3" t="e">
        <f>VLOOKUP(E122,Enviroments!$A$3:$D$59,1,FALSE)</f>
        <v>#N/A</v>
      </c>
      <c r="O122" s="3" t="e">
        <f>VLOOKUP(E122,Enviroments!$A$3:$D$59,2,FALSE)</f>
        <v>#N/A</v>
      </c>
      <c r="P122" s="3" t="e">
        <f>VLOOKUP(E122,Enviroments!$A$3:$D$59,3,FALSE)</f>
        <v>#N/A</v>
      </c>
      <c r="Q122" s="3" t="e">
        <f>VLOOKUP(E122,Enviroments!$A$3:$D$59,4,FALSE)</f>
        <v>#N/A</v>
      </c>
      <c r="R122" s="3" t="e">
        <f>VLOOKUP(H122,AzureRegions!$A$4:$B$1493,1,FALSE)</f>
        <v>#N/A</v>
      </c>
      <c r="S122" s="3" t="e">
        <f>VLOOKUP(H122,AzureRegions!$A$4:$B$1493,2,FALSE)</f>
        <v>#N/A</v>
      </c>
      <c r="T122" s="3" t="e">
        <f>VLOOKUP(H122,AzureRegions!$A$4:$C$1493,3,FALSE)</f>
        <v>#N/A</v>
      </c>
      <c r="U122" s="3" t="e">
        <f>VLOOKUP(I122,Resources!$A$2:$AA$1503,2,FALSE)</f>
        <v>#N/A</v>
      </c>
      <c r="V122" s="3" t="e">
        <f>VLOOKUP(I122,Resources!$A$2:$H$1503,6,FALSE)</f>
        <v>#N/A</v>
      </c>
      <c r="W122" s="3" t="str">
        <f>VLOOKUP($H$2,Casing!$A$4:$A$60,1,FALSE)</f>
        <v>Lower</v>
      </c>
      <c r="X122" s="14" t="str">
        <f t="shared" si="3"/>
        <v>001</v>
      </c>
      <c r="Y122" s="3" t="str">
        <f>IFERROR(VLOOKUP(F122,Func!$A$4:$G$1500,2,FALSE),"none")</f>
        <v>none</v>
      </c>
      <c r="Z122" s="3" t="e">
        <f>VLOOKUP(I122,Resources!$A$2:$AA$1503,18,FALSE)</f>
        <v>#N/A</v>
      </c>
      <c r="AA122" s="3" t="str">
        <f>IFERROR(VLOOKUP(B122,Orgs!$A$4:$G$1500,2,FALSE),"none")</f>
        <v>none</v>
      </c>
      <c r="AB122" s="3" t="str">
        <f>IFERROR(VLOOKUP(C122,UnitsDepts!$A$4:$G$1500,2,FALSE),"none")</f>
        <v>none</v>
      </c>
      <c r="AC122" s="3" t="str">
        <f>IFERROR(VLOOKUP(D122,ProjAppSvc!$A$4:$G$1500,2,FALSE),"none")</f>
        <v>none</v>
      </c>
    </row>
    <row r="123" spans="1:29" x14ac:dyDescent="0.45">
      <c r="A123" s="14" t="s">
        <v>23</v>
      </c>
      <c r="B123" s="14"/>
      <c r="C123" s="14"/>
      <c r="D123" s="14"/>
      <c r="H123" s="8"/>
      <c r="I123" s="3"/>
      <c r="J123" s="3" t="str">
        <f t="shared" si="4"/>
        <v/>
      </c>
      <c r="K123" s="3" t="str">
        <f>IF(ISNUMBER(SEARCH("-",V123)),IFERROR(IF($H$2="Lower", LOWER(ComputeResourceName(Z123,#REF!,#REF!,G123,N123,O123,P123,Q123,S123,T123,V123,A123)), UPPER(ComputeResourceName(Z123,#REF!,#REF!,G123,N123,O123,P123,Q123,S123,T123,V123,A123))),""),SUBSTITUTE(IFERROR(IF($H$2="Lower", LOWER(ComputeResourceName(#REF!,#REF!,#REF!,G123,N123,O123,P123,Q123,S123,T123,V123,A123)), UPPER(ComputeResourceName(#REF!,#REF!,#REF!,G123,N123,O123,P123,Q123,S123,T123,V123,A123))),""), "-",""))</f>
        <v/>
      </c>
      <c r="L123" s="3" t="str">
        <f xml:space="preserve"> IF(K123="","",  IFERROR(VLOOKUP(I123,Resources!$B$1:$H$1503,5,FALSE)-LEN(K123),0))</f>
        <v/>
      </c>
      <c r="M123" s="3" t="str">
        <f>IF(K123="","",IFERROR(matches(K123,VLOOKUP(I123,Resources!$A$2:$AA$1503,16,FALSE)),FALSE))</f>
        <v/>
      </c>
      <c r="N123" s="3" t="e">
        <f>VLOOKUP(E123,Enviroments!$A$3:$D$59,1,FALSE)</f>
        <v>#N/A</v>
      </c>
      <c r="O123" s="3" t="e">
        <f>VLOOKUP(E123,Enviroments!$A$3:$D$59,2,FALSE)</f>
        <v>#N/A</v>
      </c>
      <c r="P123" s="3" t="e">
        <f>VLOOKUP(E123,Enviroments!$A$3:$D$59,3,FALSE)</f>
        <v>#N/A</v>
      </c>
      <c r="Q123" s="3" t="e">
        <f>VLOOKUP(E123,Enviroments!$A$3:$D$59,4,FALSE)</f>
        <v>#N/A</v>
      </c>
      <c r="R123" s="3" t="e">
        <f>VLOOKUP(H123,AzureRegions!$A$4:$B$1493,1,FALSE)</f>
        <v>#N/A</v>
      </c>
      <c r="S123" s="3" t="e">
        <f>VLOOKUP(H123,AzureRegions!$A$4:$B$1493,2,FALSE)</f>
        <v>#N/A</v>
      </c>
      <c r="T123" s="3" t="e">
        <f>VLOOKUP(H123,AzureRegions!$A$4:$C$1493,3,FALSE)</f>
        <v>#N/A</v>
      </c>
      <c r="U123" s="3" t="e">
        <f>VLOOKUP(I123,Resources!$A$2:$AA$1503,2,FALSE)</f>
        <v>#N/A</v>
      </c>
      <c r="V123" s="3" t="e">
        <f>VLOOKUP(I123,Resources!$A$2:$H$1503,6,FALSE)</f>
        <v>#N/A</v>
      </c>
      <c r="W123" s="3" t="str">
        <f>VLOOKUP($H$2,Casing!$A$4:$A$60,1,FALSE)</f>
        <v>Lower</v>
      </c>
      <c r="X123" s="14" t="str">
        <f t="shared" si="3"/>
        <v>001</v>
      </c>
      <c r="Y123" s="3" t="str">
        <f>IFERROR(VLOOKUP(F123,Func!$A$4:$G$1500,2,FALSE),"none")</f>
        <v>none</v>
      </c>
      <c r="Z123" s="3" t="e">
        <f>VLOOKUP(I123,Resources!$A$2:$AA$1503,18,FALSE)</f>
        <v>#N/A</v>
      </c>
      <c r="AA123" s="3" t="str">
        <f>IFERROR(VLOOKUP(B123,Orgs!$A$4:$G$1500,2,FALSE),"none")</f>
        <v>none</v>
      </c>
      <c r="AB123" s="3" t="str">
        <f>IFERROR(VLOOKUP(C123,UnitsDepts!$A$4:$G$1500,2,FALSE),"none")</f>
        <v>none</v>
      </c>
      <c r="AC123" s="3" t="str">
        <f>IFERROR(VLOOKUP(D123,ProjAppSvc!$A$4:$G$1500,2,FALSE),"none")</f>
        <v>none</v>
      </c>
    </row>
    <row r="124" spans="1:29" x14ac:dyDescent="0.45">
      <c r="A124" s="14" t="s">
        <v>23</v>
      </c>
      <c r="B124" s="14"/>
      <c r="C124" s="14"/>
      <c r="D124" s="14"/>
      <c r="H124" s="8"/>
      <c r="I124" s="3"/>
      <c r="J124" s="3" t="str">
        <f t="shared" si="4"/>
        <v/>
      </c>
      <c r="K124" s="3" t="str">
        <f>IF(ISNUMBER(SEARCH("-",V124)),IFERROR(IF($H$2="Lower", LOWER(ComputeResourceName(Z124,#REF!,#REF!,G124,N124,O124,P124,Q124,S124,T124,V124,A124)), UPPER(ComputeResourceName(Z124,#REF!,#REF!,G124,N124,O124,P124,Q124,S124,T124,V124,A124))),""),SUBSTITUTE(IFERROR(IF($H$2="Lower", LOWER(ComputeResourceName(#REF!,#REF!,#REF!,G124,N124,O124,P124,Q124,S124,T124,V124,A124)), UPPER(ComputeResourceName(#REF!,#REF!,#REF!,G124,N124,O124,P124,Q124,S124,T124,V124,A124))),""), "-",""))</f>
        <v/>
      </c>
      <c r="L124" s="3" t="str">
        <f xml:space="preserve"> IF(K124="","",  IFERROR(VLOOKUP(I124,Resources!$B$1:$H$1503,5,FALSE)-LEN(K124),0))</f>
        <v/>
      </c>
      <c r="M124" s="3" t="str">
        <f>IF(K124="","",IFERROR(matches(K124,VLOOKUP(I124,Resources!$A$2:$AA$1503,16,FALSE)),FALSE))</f>
        <v/>
      </c>
      <c r="N124" s="3" t="e">
        <f>VLOOKUP(E124,Enviroments!$A$3:$D$59,1,FALSE)</f>
        <v>#N/A</v>
      </c>
      <c r="O124" s="3" t="e">
        <f>VLOOKUP(E124,Enviroments!$A$3:$D$59,2,FALSE)</f>
        <v>#N/A</v>
      </c>
      <c r="P124" s="3" t="e">
        <f>VLOOKUP(E124,Enviroments!$A$3:$D$59,3,FALSE)</f>
        <v>#N/A</v>
      </c>
      <c r="Q124" s="3" t="e">
        <f>VLOOKUP(E124,Enviroments!$A$3:$D$59,4,FALSE)</f>
        <v>#N/A</v>
      </c>
      <c r="R124" s="3" t="e">
        <f>VLOOKUP(H124,AzureRegions!$A$4:$B$1493,1,FALSE)</f>
        <v>#N/A</v>
      </c>
      <c r="S124" s="3" t="e">
        <f>VLOOKUP(H124,AzureRegions!$A$4:$B$1493,2,FALSE)</f>
        <v>#N/A</v>
      </c>
      <c r="T124" s="3" t="e">
        <f>VLOOKUP(H124,AzureRegions!$A$4:$C$1493,3,FALSE)</f>
        <v>#N/A</v>
      </c>
      <c r="U124" s="3" t="e">
        <f>VLOOKUP(I124,Resources!$A$2:$AA$1503,2,FALSE)</f>
        <v>#N/A</v>
      </c>
      <c r="V124" s="3" t="e">
        <f>VLOOKUP(I124,Resources!$A$2:$H$1503,6,FALSE)</f>
        <v>#N/A</v>
      </c>
      <c r="W124" s="3" t="str">
        <f>VLOOKUP($H$2,Casing!$A$4:$A$60,1,FALSE)</f>
        <v>Lower</v>
      </c>
      <c r="X124" s="14" t="str">
        <f t="shared" si="3"/>
        <v>001</v>
      </c>
      <c r="Y124" s="3" t="str">
        <f>IFERROR(VLOOKUP(F124,Func!$A$4:$G$1500,2,FALSE),"none")</f>
        <v>none</v>
      </c>
      <c r="Z124" s="3" t="e">
        <f>VLOOKUP(I124,Resources!$A$2:$AA$1503,18,FALSE)</f>
        <v>#N/A</v>
      </c>
      <c r="AA124" s="3" t="str">
        <f>IFERROR(VLOOKUP(B124,Orgs!$A$4:$G$1500,2,FALSE),"none")</f>
        <v>none</v>
      </c>
      <c r="AB124" s="3" t="str">
        <f>IFERROR(VLOOKUP(C124,UnitsDepts!$A$4:$G$1500,2,FALSE),"none")</f>
        <v>none</v>
      </c>
      <c r="AC124" s="3" t="str">
        <f>IFERROR(VLOOKUP(D124,ProjAppSvc!$A$4:$G$1500,2,FALSE),"none")</f>
        <v>none</v>
      </c>
    </row>
    <row r="125" spans="1:29" x14ac:dyDescent="0.45">
      <c r="A125" s="14" t="s">
        <v>23</v>
      </c>
      <c r="B125" s="14"/>
      <c r="C125" s="14"/>
      <c r="D125" s="14"/>
      <c r="H125" s="8"/>
      <c r="I125" s="3"/>
      <c r="J125" s="3" t="str">
        <f t="shared" si="4"/>
        <v/>
      </c>
      <c r="K125" s="3" t="str">
        <f>IF(ISNUMBER(SEARCH("-",V125)),IFERROR(IF($H$2="Lower", LOWER(ComputeResourceName(Z125,#REF!,#REF!,G125,N125,O125,P125,Q125,S125,T125,V125,A125)), UPPER(ComputeResourceName(Z125,#REF!,#REF!,G125,N125,O125,P125,Q125,S125,T125,V125,A125))),""),SUBSTITUTE(IFERROR(IF($H$2="Lower", LOWER(ComputeResourceName(#REF!,#REF!,#REF!,G125,N125,O125,P125,Q125,S125,T125,V125,A125)), UPPER(ComputeResourceName(#REF!,#REF!,#REF!,G125,N125,O125,P125,Q125,S125,T125,V125,A125))),""), "-",""))</f>
        <v/>
      </c>
      <c r="L125" s="3" t="str">
        <f xml:space="preserve"> IF(K125="","",  IFERROR(VLOOKUP(I125,Resources!$B$1:$H$1503,5,FALSE)-LEN(K125),0))</f>
        <v/>
      </c>
      <c r="M125" s="3" t="str">
        <f>IF(K125="","",IFERROR(matches(K125,VLOOKUP(I125,Resources!$A$2:$AA$1503,16,FALSE)),FALSE))</f>
        <v/>
      </c>
      <c r="N125" s="3" t="e">
        <f>VLOOKUP(E125,Enviroments!$A$3:$D$59,1,FALSE)</f>
        <v>#N/A</v>
      </c>
      <c r="O125" s="3" t="e">
        <f>VLOOKUP(E125,Enviroments!$A$3:$D$59,2,FALSE)</f>
        <v>#N/A</v>
      </c>
      <c r="P125" s="3" t="e">
        <f>VLOOKUP(E125,Enviroments!$A$3:$D$59,3,FALSE)</f>
        <v>#N/A</v>
      </c>
      <c r="Q125" s="3" t="e">
        <f>VLOOKUP(E125,Enviroments!$A$3:$D$59,4,FALSE)</f>
        <v>#N/A</v>
      </c>
      <c r="R125" s="3" t="e">
        <f>VLOOKUP(H125,AzureRegions!$A$4:$B$1493,1,FALSE)</f>
        <v>#N/A</v>
      </c>
      <c r="S125" s="3" t="e">
        <f>VLOOKUP(H125,AzureRegions!$A$4:$B$1493,2,FALSE)</f>
        <v>#N/A</v>
      </c>
      <c r="T125" s="3" t="e">
        <f>VLOOKUP(H125,AzureRegions!$A$4:$C$1493,3,FALSE)</f>
        <v>#N/A</v>
      </c>
      <c r="U125" s="3" t="e">
        <f>VLOOKUP(I125,Resources!$A$2:$AA$1503,2,FALSE)</f>
        <v>#N/A</v>
      </c>
      <c r="V125" s="3" t="e">
        <f>VLOOKUP(I125,Resources!$A$2:$H$1503,6,FALSE)</f>
        <v>#N/A</v>
      </c>
      <c r="W125" s="3" t="str">
        <f>VLOOKUP($H$2,Casing!$A$4:$A$60,1,FALSE)</f>
        <v>Lower</v>
      </c>
      <c r="X125" s="14" t="str">
        <f t="shared" si="3"/>
        <v>001</v>
      </c>
      <c r="Y125" s="3" t="str">
        <f>IFERROR(VLOOKUP(F125,Func!$A$4:$G$1500,2,FALSE),"none")</f>
        <v>none</v>
      </c>
      <c r="Z125" s="3" t="e">
        <f>VLOOKUP(I125,Resources!$A$2:$AA$1503,18,FALSE)</f>
        <v>#N/A</v>
      </c>
      <c r="AA125" s="3" t="str">
        <f>IFERROR(VLOOKUP(B125,Orgs!$A$4:$G$1500,2,FALSE),"none")</f>
        <v>none</v>
      </c>
      <c r="AB125" s="3" t="str">
        <f>IFERROR(VLOOKUP(C125,UnitsDepts!$A$4:$G$1500,2,FALSE),"none")</f>
        <v>none</v>
      </c>
      <c r="AC125" s="3" t="str">
        <f>IFERROR(VLOOKUP(D125,ProjAppSvc!$A$4:$G$1500,2,FALSE),"none")</f>
        <v>none</v>
      </c>
    </row>
    <row r="126" spans="1:29" x14ac:dyDescent="0.45">
      <c r="A126" s="14" t="s">
        <v>23</v>
      </c>
      <c r="B126" s="14"/>
      <c r="C126" s="14"/>
      <c r="D126" s="14"/>
      <c r="H126" s="8"/>
      <c r="I126" s="3"/>
      <c r="J126" s="3" t="str">
        <f t="shared" si="4"/>
        <v/>
      </c>
      <c r="K126" s="3" t="str">
        <f>IF(ISNUMBER(SEARCH("-",V126)),IFERROR(IF($H$2="Lower", LOWER(ComputeResourceName(Z126,#REF!,#REF!,G126,N126,O126,P126,Q126,S126,T126,V126,A126)), UPPER(ComputeResourceName(Z126,#REF!,#REF!,G126,N126,O126,P126,Q126,S126,T126,V126,A126))),""),SUBSTITUTE(IFERROR(IF($H$2="Lower", LOWER(ComputeResourceName(#REF!,#REF!,#REF!,G126,N126,O126,P126,Q126,S126,T126,V126,A126)), UPPER(ComputeResourceName(#REF!,#REF!,#REF!,G126,N126,O126,P126,Q126,S126,T126,V126,A126))),""), "-",""))</f>
        <v/>
      </c>
      <c r="L126" s="3" t="str">
        <f xml:space="preserve"> IF(K126="","",  IFERROR(VLOOKUP(I126,Resources!$B$1:$H$1503,5,FALSE)-LEN(K126),0))</f>
        <v/>
      </c>
      <c r="M126" s="3" t="str">
        <f>IF(K126="","",IFERROR(matches(K126,VLOOKUP(I126,Resources!$A$2:$AA$1503,16,FALSE)),FALSE))</f>
        <v/>
      </c>
      <c r="N126" s="3" t="e">
        <f>VLOOKUP(E126,Enviroments!$A$3:$D$59,1,FALSE)</f>
        <v>#N/A</v>
      </c>
      <c r="O126" s="3" t="e">
        <f>VLOOKUP(E126,Enviroments!$A$3:$D$59,2,FALSE)</f>
        <v>#N/A</v>
      </c>
      <c r="P126" s="3" t="e">
        <f>VLOOKUP(E126,Enviroments!$A$3:$D$59,3,FALSE)</f>
        <v>#N/A</v>
      </c>
      <c r="Q126" s="3" t="e">
        <f>VLOOKUP(E126,Enviroments!$A$3:$D$59,4,FALSE)</f>
        <v>#N/A</v>
      </c>
      <c r="R126" s="3" t="e">
        <f>VLOOKUP(H126,AzureRegions!$A$4:$B$1493,1,FALSE)</f>
        <v>#N/A</v>
      </c>
      <c r="S126" s="3" t="e">
        <f>VLOOKUP(H126,AzureRegions!$A$4:$B$1493,2,FALSE)</f>
        <v>#N/A</v>
      </c>
      <c r="T126" s="3" t="e">
        <f>VLOOKUP(H126,AzureRegions!$A$4:$C$1493,3,FALSE)</f>
        <v>#N/A</v>
      </c>
      <c r="U126" s="3" t="e">
        <f>VLOOKUP(I126,Resources!$A$2:$AA$1503,2,FALSE)</f>
        <v>#N/A</v>
      </c>
      <c r="V126" s="3" t="e">
        <f>VLOOKUP(I126,Resources!$A$2:$H$1503,6,FALSE)</f>
        <v>#N/A</v>
      </c>
      <c r="W126" s="3" t="str">
        <f>VLOOKUP($H$2,Casing!$A$4:$A$60,1,FALSE)</f>
        <v>Lower</v>
      </c>
      <c r="X126" s="14" t="str">
        <f t="shared" si="3"/>
        <v>001</v>
      </c>
      <c r="Y126" s="3" t="str">
        <f>IFERROR(VLOOKUP(F126,Func!$A$4:$G$1500,2,FALSE),"none")</f>
        <v>none</v>
      </c>
      <c r="Z126" s="3" t="e">
        <f>VLOOKUP(I126,Resources!$A$2:$AA$1503,18,FALSE)</f>
        <v>#N/A</v>
      </c>
      <c r="AA126" s="3" t="str">
        <f>IFERROR(VLOOKUP(B126,Orgs!$A$4:$G$1500,2,FALSE),"none")</f>
        <v>none</v>
      </c>
      <c r="AB126" s="3" t="str">
        <f>IFERROR(VLOOKUP(C126,UnitsDepts!$A$4:$G$1500,2,FALSE),"none")</f>
        <v>none</v>
      </c>
      <c r="AC126" s="3" t="str">
        <f>IFERROR(VLOOKUP(D126,ProjAppSvc!$A$4:$G$1500,2,FALSE),"none")</f>
        <v>none</v>
      </c>
    </row>
    <row r="127" spans="1:29" x14ac:dyDescent="0.45">
      <c r="A127" s="14" t="s">
        <v>23</v>
      </c>
      <c r="B127" s="14"/>
      <c r="C127" s="14"/>
      <c r="D127" s="14"/>
      <c r="H127" s="8"/>
      <c r="I127" s="3"/>
      <c r="J127" s="3" t="str">
        <f t="shared" si="4"/>
        <v/>
      </c>
      <c r="K127" s="3" t="str">
        <f>IF(ISNUMBER(SEARCH("-",V127)),IFERROR(IF($H$2="Lower", LOWER(ComputeResourceName(Z127,#REF!,#REF!,G127,N127,O127,P127,Q127,S127,T127,V127,A127)), UPPER(ComputeResourceName(Z127,#REF!,#REF!,G127,N127,O127,P127,Q127,S127,T127,V127,A127))),""),SUBSTITUTE(IFERROR(IF($H$2="Lower", LOWER(ComputeResourceName(#REF!,#REF!,#REF!,G127,N127,O127,P127,Q127,S127,T127,V127,A127)), UPPER(ComputeResourceName(#REF!,#REF!,#REF!,G127,N127,O127,P127,Q127,S127,T127,V127,A127))),""), "-",""))</f>
        <v/>
      </c>
      <c r="L127" s="3" t="str">
        <f xml:space="preserve"> IF(K127="","",  IFERROR(VLOOKUP(I127,Resources!$B$1:$H$1503,5,FALSE)-LEN(K127),0))</f>
        <v/>
      </c>
      <c r="M127" s="3" t="str">
        <f>IF(K127="","",IFERROR(matches(K127,VLOOKUP(I127,Resources!$A$2:$AA$1503,16,FALSE)),FALSE))</f>
        <v/>
      </c>
      <c r="N127" s="3" t="e">
        <f>VLOOKUP(E127,Enviroments!$A$3:$D$59,1,FALSE)</f>
        <v>#N/A</v>
      </c>
      <c r="O127" s="3" t="e">
        <f>VLOOKUP(E127,Enviroments!$A$3:$D$59,2,FALSE)</f>
        <v>#N/A</v>
      </c>
      <c r="P127" s="3" t="e">
        <f>VLOOKUP(E127,Enviroments!$A$3:$D$59,3,FALSE)</f>
        <v>#N/A</v>
      </c>
      <c r="Q127" s="3" t="e">
        <f>VLOOKUP(E127,Enviroments!$A$3:$D$59,4,FALSE)</f>
        <v>#N/A</v>
      </c>
      <c r="R127" s="3" t="e">
        <f>VLOOKUP(H127,AzureRegions!$A$4:$B$1493,1,FALSE)</f>
        <v>#N/A</v>
      </c>
      <c r="S127" s="3" t="e">
        <f>VLOOKUP(H127,AzureRegions!$A$4:$B$1493,2,FALSE)</f>
        <v>#N/A</v>
      </c>
      <c r="T127" s="3" t="e">
        <f>VLOOKUP(H127,AzureRegions!$A$4:$C$1493,3,FALSE)</f>
        <v>#N/A</v>
      </c>
      <c r="U127" s="3" t="e">
        <f>VLOOKUP(I127,Resources!$A$2:$AA$1503,2,FALSE)</f>
        <v>#N/A</v>
      </c>
      <c r="V127" s="3" t="e">
        <f>VLOOKUP(I127,Resources!$A$2:$H$1503,6,FALSE)</f>
        <v>#N/A</v>
      </c>
      <c r="W127" s="3" t="str">
        <f>VLOOKUP($H$2,Casing!$A$4:$A$60,1,FALSE)</f>
        <v>Lower</v>
      </c>
      <c r="X127" s="14" t="str">
        <f t="shared" si="3"/>
        <v>001</v>
      </c>
      <c r="Y127" s="3" t="str">
        <f>IFERROR(VLOOKUP(F127,Func!$A$4:$G$1500,2,FALSE),"none")</f>
        <v>none</v>
      </c>
      <c r="Z127" s="3" t="e">
        <f>VLOOKUP(I127,Resources!$A$2:$AA$1503,18,FALSE)</f>
        <v>#N/A</v>
      </c>
      <c r="AA127" s="3" t="str">
        <f>IFERROR(VLOOKUP(B127,Orgs!$A$4:$G$1500,2,FALSE),"none")</f>
        <v>none</v>
      </c>
      <c r="AB127" s="3" t="str">
        <f>IFERROR(VLOOKUP(C127,UnitsDepts!$A$4:$G$1500,2,FALSE),"none")</f>
        <v>none</v>
      </c>
      <c r="AC127" s="3" t="str">
        <f>IFERROR(VLOOKUP(D127,ProjAppSvc!$A$4:$G$1500,2,FALSE),"none")</f>
        <v>none</v>
      </c>
    </row>
    <row r="128" spans="1:29" x14ac:dyDescent="0.45">
      <c r="A128" s="14" t="s">
        <v>23</v>
      </c>
      <c r="B128" s="14"/>
      <c r="C128" s="14"/>
      <c r="D128" s="14"/>
      <c r="H128" s="8"/>
      <c r="I128" s="3"/>
      <c r="J128" s="3" t="str">
        <f t="shared" si="4"/>
        <v/>
      </c>
      <c r="K128" s="3" t="str">
        <f>IF(ISNUMBER(SEARCH("-",V128)),IFERROR(IF($H$2="Lower", LOWER(ComputeResourceName(Z128,#REF!,#REF!,G128,N128,O128,P128,Q128,S128,T128,V128,A128)), UPPER(ComputeResourceName(Z128,#REF!,#REF!,G128,N128,O128,P128,Q128,S128,T128,V128,A128))),""),SUBSTITUTE(IFERROR(IF($H$2="Lower", LOWER(ComputeResourceName(#REF!,#REF!,#REF!,G128,N128,O128,P128,Q128,S128,T128,V128,A128)), UPPER(ComputeResourceName(#REF!,#REF!,#REF!,G128,N128,O128,P128,Q128,S128,T128,V128,A128))),""), "-",""))</f>
        <v/>
      </c>
      <c r="L128" s="3" t="str">
        <f xml:space="preserve"> IF(K128="","",  IFERROR(VLOOKUP(I128,Resources!$B$1:$H$1503,5,FALSE)-LEN(K128),0))</f>
        <v/>
      </c>
      <c r="M128" s="3" t="str">
        <f>IF(K128="","",IFERROR(matches(K128,VLOOKUP(I128,Resources!$A$2:$AA$1503,16,FALSE)),FALSE))</f>
        <v/>
      </c>
      <c r="N128" s="3" t="e">
        <f>VLOOKUP(E128,Enviroments!$A$3:$D$59,1,FALSE)</f>
        <v>#N/A</v>
      </c>
      <c r="O128" s="3" t="e">
        <f>VLOOKUP(E128,Enviroments!$A$3:$D$59,2,FALSE)</f>
        <v>#N/A</v>
      </c>
      <c r="P128" s="3" t="e">
        <f>VLOOKUP(E128,Enviroments!$A$3:$D$59,3,FALSE)</f>
        <v>#N/A</v>
      </c>
      <c r="Q128" s="3" t="e">
        <f>VLOOKUP(E128,Enviroments!$A$3:$D$59,4,FALSE)</f>
        <v>#N/A</v>
      </c>
      <c r="R128" s="3" t="e">
        <f>VLOOKUP(H128,AzureRegions!$A$4:$B$1493,1,FALSE)</f>
        <v>#N/A</v>
      </c>
      <c r="S128" s="3" t="e">
        <f>VLOOKUP(H128,AzureRegions!$A$4:$B$1493,2,FALSE)</f>
        <v>#N/A</v>
      </c>
      <c r="T128" s="3" t="e">
        <f>VLOOKUP(H128,AzureRegions!$A$4:$C$1493,3,FALSE)</f>
        <v>#N/A</v>
      </c>
      <c r="U128" s="3" t="e">
        <f>VLOOKUP(I128,Resources!$A$2:$AA$1503,2,FALSE)</f>
        <v>#N/A</v>
      </c>
      <c r="V128" s="3" t="e">
        <f>VLOOKUP(I128,Resources!$A$2:$H$1503,6,FALSE)</f>
        <v>#N/A</v>
      </c>
      <c r="W128" s="3" t="str">
        <f>VLOOKUP($H$2,Casing!$A$4:$A$60,1,FALSE)</f>
        <v>Lower</v>
      </c>
      <c r="X128" s="14" t="str">
        <f t="shared" si="3"/>
        <v>001</v>
      </c>
      <c r="Y128" s="3" t="str">
        <f>IFERROR(VLOOKUP(F128,Func!$A$4:$G$1500,2,FALSE),"none")</f>
        <v>none</v>
      </c>
      <c r="Z128" s="3" t="e">
        <f>VLOOKUP(I128,Resources!$A$2:$AA$1503,18,FALSE)</f>
        <v>#N/A</v>
      </c>
      <c r="AA128" s="3" t="str">
        <f>IFERROR(VLOOKUP(B128,Orgs!$A$4:$G$1500,2,FALSE),"none")</f>
        <v>none</v>
      </c>
      <c r="AB128" s="3" t="str">
        <f>IFERROR(VLOOKUP(C128,UnitsDepts!$A$4:$G$1500,2,FALSE),"none")</f>
        <v>none</v>
      </c>
      <c r="AC128" s="3" t="str">
        <f>IFERROR(VLOOKUP(D128,ProjAppSvc!$A$4:$G$1500,2,FALSE),"none")</f>
        <v>none</v>
      </c>
    </row>
    <row r="129" spans="1:29" x14ac:dyDescent="0.45">
      <c r="A129" s="14" t="s">
        <v>23</v>
      </c>
      <c r="B129" s="14"/>
      <c r="C129" s="14"/>
      <c r="D129" s="14"/>
      <c r="H129" s="8"/>
      <c r="I129" s="3"/>
      <c r="J129" s="3" t="str">
        <f t="shared" si="4"/>
        <v/>
      </c>
      <c r="K129" s="3" t="str">
        <f>IF(ISNUMBER(SEARCH("-",V129)),IFERROR(IF($H$2="Lower", LOWER(ComputeResourceName(Z129,#REF!,#REF!,G129,N129,O129,P129,Q129,S129,T129,V129,A129)), UPPER(ComputeResourceName(Z129,#REF!,#REF!,G129,N129,O129,P129,Q129,S129,T129,V129,A129))),""),SUBSTITUTE(IFERROR(IF($H$2="Lower", LOWER(ComputeResourceName(#REF!,#REF!,#REF!,G129,N129,O129,P129,Q129,S129,T129,V129,A129)), UPPER(ComputeResourceName(#REF!,#REF!,#REF!,G129,N129,O129,P129,Q129,S129,T129,V129,A129))),""), "-",""))</f>
        <v/>
      </c>
      <c r="L129" s="3" t="str">
        <f xml:space="preserve"> IF(K129="","",  IFERROR(VLOOKUP(I129,Resources!$B$1:$H$1503,5,FALSE)-LEN(K129),0))</f>
        <v/>
      </c>
      <c r="M129" s="3" t="str">
        <f>IF(K129="","",IFERROR(matches(K129,VLOOKUP(I129,Resources!$A$2:$AA$1503,16,FALSE)),FALSE))</f>
        <v/>
      </c>
      <c r="N129" s="3" t="e">
        <f>VLOOKUP(E129,Enviroments!$A$3:$D$59,1,FALSE)</f>
        <v>#N/A</v>
      </c>
      <c r="O129" s="3" t="e">
        <f>VLOOKUP(E129,Enviroments!$A$3:$D$59,2,FALSE)</f>
        <v>#N/A</v>
      </c>
      <c r="P129" s="3" t="e">
        <f>VLOOKUP(E129,Enviroments!$A$3:$D$59,3,FALSE)</f>
        <v>#N/A</v>
      </c>
      <c r="Q129" s="3" t="e">
        <f>VLOOKUP(E129,Enviroments!$A$3:$D$59,4,FALSE)</f>
        <v>#N/A</v>
      </c>
      <c r="R129" s="3" t="e">
        <f>VLOOKUP(H129,AzureRegions!$A$4:$B$1493,1,FALSE)</f>
        <v>#N/A</v>
      </c>
      <c r="S129" s="3" t="e">
        <f>VLOOKUP(H129,AzureRegions!$A$4:$B$1493,2,FALSE)</f>
        <v>#N/A</v>
      </c>
      <c r="T129" s="3" t="e">
        <f>VLOOKUP(H129,AzureRegions!$A$4:$C$1493,3,FALSE)</f>
        <v>#N/A</v>
      </c>
      <c r="U129" s="3" t="e">
        <f>VLOOKUP(I129,Resources!$A$2:$AA$1503,2,FALSE)</f>
        <v>#N/A</v>
      </c>
      <c r="V129" s="3" t="e">
        <f>VLOOKUP(I129,Resources!$A$2:$H$1503,6,FALSE)</f>
        <v>#N/A</v>
      </c>
      <c r="W129" s="3" t="str">
        <f>VLOOKUP($H$2,Casing!$A$4:$A$60,1,FALSE)</f>
        <v>Lower</v>
      </c>
      <c r="X129" s="14" t="str">
        <f t="shared" si="3"/>
        <v>001</v>
      </c>
      <c r="Y129" s="3" t="str">
        <f>IFERROR(VLOOKUP(F129,Func!$A$4:$G$1500,2,FALSE),"none")</f>
        <v>none</v>
      </c>
      <c r="Z129" s="3" t="e">
        <f>VLOOKUP(I129,Resources!$A$2:$AA$1503,18,FALSE)</f>
        <v>#N/A</v>
      </c>
      <c r="AA129" s="3" t="str">
        <f>IFERROR(VLOOKUP(B129,Orgs!$A$4:$G$1500,2,FALSE),"none")</f>
        <v>none</v>
      </c>
      <c r="AB129" s="3" t="str">
        <f>IFERROR(VLOOKUP(C129,UnitsDepts!$A$4:$G$1500,2,FALSE),"none")</f>
        <v>none</v>
      </c>
      <c r="AC129" s="3" t="str">
        <f>IFERROR(VLOOKUP(D129,ProjAppSvc!$A$4:$G$1500,2,FALSE),"none")</f>
        <v>none</v>
      </c>
    </row>
    <row r="130" spans="1:29" x14ac:dyDescent="0.45">
      <c r="A130" s="14" t="s">
        <v>23</v>
      </c>
      <c r="B130" s="14"/>
      <c r="C130" s="14"/>
      <c r="D130" s="14"/>
      <c r="H130" s="8"/>
      <c r="I130" s="3"/>
      <c r="J130" s="3" t="str">
        <f t="shared" si="4"/>
        <v/>
      </c>
      <c r="K130" s="3" t="str">
        <f>IF(ISNUMBER(SEARCH("-",V130)),IFERROR(IF($H$2="Lower", LOWER(ComputeResourceName(Z130,#REF!,#REF!,G130,N130,O130,P130,Q130,S130,T130,V130,A130)), UPPER(ComputeResourceName(Z130,#REF!,#REF!,G130,N130,O130,P130,Q130,S130,T130,V130,A130))),""),SUBSTITUTE(IFERROR(IF($H$2="Lower", LOWER(ComputeResourceName(#REF!,#REF!,#REF!,G130,N130,O130,P130,Q130,S130,T130,V130,A130)), UPPER(ComputeResourceName(#REF!,#REF!,#REF!,G130,N130,O130,P130,Q130,S130,T130,V130,A130))),""), "-",""))</f>
        <v/>
      </c>
      <c r="L130" s="3" t="str">
        <f xml:space="preserve"> IF(K130="","",  IFERROR(VLOOKUP(I130,Resources!$B$1:$H$1503,5,FALSE)-LEN(K130),0))</f>
        <v/>
      </c>
      <c r="M130" s="3" t="str">
        <f>IF(K130="","",IFERROR(matches(K130,VLOOKUP(I130,Resources!$A$2:$AA$1503,16,FALSE)),FALSE))</f>
        <v/>
      </c>
      <c r="N130" s="3" t="e">
        <f>VLOOKUP(E130,Enviroments!$A$3:$D$59,1,FALSE)</f>
        <v>#N/A</v>
      </c>
      <c r="O130" s="3" t="e">
        <f>VLOOKUP(E130,Enviroments!$A$3:$D$59,2,FALSE)</f>
        <v>#N/A</v>
      </c>
      <c r="P130" s="3" t="e">
        <f>VLOOKUP(E130,Enviroments!$A$3:$D$59,3,FALSE)</f>
        <v>#N/A</v>
      </c>
      <c r="Q130" s="3" t="e">
        <f>VLOOKUP(E130,Enviroments!$A$3:$D$59,4,FALSE)</f>
        <v>#N/A</v>
      </c>
      <c r="R130" s="3" t="e">
        <f>VLOOKUP(H130,AzureRegions!$A$4:$B$1493,1,FALSE)</f>
        <v>#N/A</v>
      </c>
      <c r="S130" s="3" t="e">
        <f>VLOOKUP(H130,AzureRegions!$A$4:$B$1493,2,FALSE)</f>
        <v>#N/A</v>
      </c>
      <c r="T130" s="3" t="e">
        <f>VLOOKUP(H130,AzureRegions!$A$4:$C$1493,3,FALSE)</f>
        <v>#N/A</v>
      </c>
      <c r="U130" s="3" t="e">
        <f>VLOOKUP(I130,Resources!$A$2:$AA$1503,2,FALSE)</f>
        <v>#N/A</v>
      </c>
      <c r="V130" s="3" t="e">
        <f>VLOOKUP(I130,Resources!$A$2:$H$1503,6,FALSE)</f>
        <v>#N/A</v>
      </c>
      <c r="W130" s="3" t="str">
        <f>VLOOKUP($H$2,Casing!$A$4:$A$60,1,FALSE)</f>
        <v>Lower</v>
      </c>
      <c r="X130" s="14" t="str">
        <f t="shared" si="3"/>
        <v>001</v>
      </c>
      <c r="Y130" s="3" t="str">
        <f>IFERROR(VLOOKUP(F130,Func!$A$4:$G$1500,2,FALSE),"none")</f>
        <v>none</v>
      </c>
      <c r="Z130" s="3" t="e">
        <f>VLOOKUP(I130,Resources!$A$2:$AA$1503,18,FALSE)</f>
        <v>#N/A</v>
      </c>
      <c r="AA130" s="3" t="str">
        <f>IFERROR(VLOOKUP(B130,Orgs!$A$4:$G$1500,2,FALSE),"none")</f>
        <v>none</v>
      </c>
      <c r="AB130" s="3" t="str">
        <f>IFERROR(VLOOKUP(C130,UnitsDepts!$A$4:$G$1500,2,FALSE),"none")</f>
        <v>none</v>
      </c>
      <c r="AC130" s="3" t="str">
        <f>IFERROR(VLOOKUP(D130,ProjAppSvc!$A$4:$G$1500,2,FALSE),"none")</f>
        <v>none</v>
      </c>
    </row>
    <row r="131" spans="1:29" x14ac:dyDescent="0.45">
      <c r="A131" s="14" t="s">
        <v>23</v>
      </c>
      <c r="B131" s="14"/>
      <c r="C131" s="14"/>
      <c r="D131" s="14"/>
      <c r="H131" s="8"/>
      <c r="I131" s="3"/>
      <c r="J131" s="3" t="str">
        <f t="shared" si="4"/>
        <v/>
      </c>
      <c r="K131" s="3" t="str">
        <f>IF(ISNUMBER(SEARCH("-",V131)),IFERROR(IF($H$2="Lower", LOWER(ComputeResourceName(Z131,#REF!,#REF!,G131,N131,O131,P131,Q131,S131,T131,V131,A131)), UPPER(ComputeResourceName(Z131,#REF!,#REF!,G131,N131,O131,P131,Q131,S131,T131,V131,A131))),""),SUBSTITUTE(IFERROR(IF($H$2="Lower", LOWER(ComputeResourceName(#REF!,#REF!,#REF!,G131,N131,O131,P131,Q131,S131,T131,V131,A131)), UPPER(ComputeResourceName(#REF!,#REF!,#REF!,G131,N131,O131,P131,Q131,S131,T131,V131,A131))),""), "-",""))</f>
        <v/>
      </c>
      <c r="L131" s="3" t="str">
        <f xml:space="preserve"> IF(K131="","",  IFERROR(VLOOKUP(I131,Resources!$B$1:$H$1503,5,FALSE)-LEN(K131),0))</f>
        <v/>
      </c>
      <c r="M131" s="3" t="str">
        <f>IF(K131="","",IFERROR(matches(K131,VLOOKUP(I131,Resources!$A$2:$AA$1503,16,FALSE)),FALSE))</f>
        <v/>
      </c>
      <c r="N131" s="3" t="e">
        <f>VLOOKUP(E131,Enviroments!$A$3:$D$59,1,FALSE)</f>
        <v>#N/A</v>
      </c>
      <c r="O131" s="3" t="e">
        <f>VLOOKUP(E131,Enviroments!$A$3:$D$59,2,FALSE)</f>
        <v>#N/A</v>
      </c>
      <c r="P131" s="3" t="e">
        <f>VLOOKUP(E131,Enviroments!$A$3:$D$59,3,FALSE)</f>
        <v>#N/A</v>
      </c>
      <c r="Q131" s="3" t="e">
        <f>VLOOKUP(E131,Enviroments!$A$3:$D$59,4,FALSE)</f>
        <v>#N/A</v>
      </c>
      <c r="R131" s="3" t="e">
        <f>VLOOKUP(H131,AzureRegions!$A$4:$B$1493,1,FALSE)</f>
        <v>#N/A</v>
      </c>
      <c r="S131" s="3" t="e">
        <f>VLOOKUP(H131,AzureRegions!$A$4:$B$1493,2,FALSE)</f>
        <v>#N/A</v>
      </c>
      <c r="T131" s="3" t="e">
        <f>VLOOKUP(H131,AzureRegions!$A$4:$C$1493,3,FALSE)</f>
        <v>#N/A</v>
      </c>
      <c r="U131" s="3" t="e">
        <f>VLOOKUP(I131,Resources!$A$2:$AA$1503,2,FALSE)</f>
        <v>#N/A</v>
      </c>
      <c r="V131" s="3" t="e">
        <f>VLOOKUP(I131,Resources!$A$2:$H$1503,6,FALSE)</f>
        <v>#N/A</v>
      </c>
      <c r="W131" s="3" t="str">
        <f>VLOOKUP($H$2,Casing!$A$4:$A$60,1,FALSE)</f>
        <v>Lower</v>
      </c>
      <c r="X131" s="14" t="str">
        <f t="shared" si="3"/>
        <v>001</v>
      </c>
      <c r="Y131" s="3" t="str">
        <f>IFERROR(VLOOKUP(F131,Func!$A$4:$G$1500,2,FALSE),"none")</f>
        <v>none</v>
      </c>
      <c r="Z131" s="3" t="e">
        <f>VLOOKUP(I131,Resources!$A$2:$AA$1503,18,FALSE)</f>
        <v>#N/A</v>
      </c>
      <c r="AA131" s="3" t="str">
        <f>IFERROR(VLOOKUP(B131,Orgs!$A$4:$G$1500,2,FALSE),"none")</f>
        <v>none</v>
      </c>
      <c r="AB131" s="3" t="str">
        <f>IFERROR(VLOOKUP(C131,UnitsDepts!$A$4:$G$1500,2,FALSE),"none")</f>
        <v>none</v>
      </c>
      <c r="AC131" s="3" t="str">
        <f>IFERROR(VLOOKUP(D131,ProjAppSvc!$A$4:$G$1500,2,FALSE),"none")</f>
        <v>none</v>
      </c>
    </row>
    <row r="132" spans="1:29" x14ac:dyDescent="0.45">
      <c r="A132" s="14" t="s">
        <v>23</v>
      </c>
      <c r="B132" s="14"/>
      <c r="C132" s="14"/>
      <c r="D132" s="14"/>
      <c r="H132" s="8"/>
      <c r="I132" s="3"/>
      <c r="J132" s="3" t="str">
        <f t="shared" si="4"/>
        <v/>
      </c>
      <c r="K132" s="3" t="str">
        <f>IF(ISNUMBER(SEARCH("-",V132)),IFERROR(IF($H$2="Lower", LOWER(ComputeResourceName(Z132,#REF!,#REF!,G132,N132,O132,P132,Q132,S132,T132,V132,A132)), UPPER(ComputeResourceName(Z132,#REF!,#REF!,G132,N132,O132,P132,Q132,S132,T132,V132,A132))),""),SUBSTITUTE(IFERROR(IF($H$2="Lower", LOWER(ComputeResourceName(#REF!,#REF!,#REF!,G132,N132,O132,P132,Q132,S132,T132,V132,A132)), UPPER(ComputeResourceName(#REF!,#REF!,#REF!,G132,N132,O132,P132,Q132,S132,T132,V132,A132))),""), "-",""))</f>
        <v/>
      </c>
      <c r="L132" s="3" t="str">
        <f xml:space="preserve"> IF(K132="","",  IFERROR(VLOOKUP(I132,Resources!$B$1:$H$1503,5,FALSE)-LEN(K132),0))</f>
        <v/>
      </c>
      <c r="M132" s="3" t="str">
        <f>IF(K132="","",IFERROR(matches(K132,VLOOKUP(I132,Resources!$A$2:$AA$1503,16,FALSE)),FALSE))</f>
        <v/>
      </c>
      <c r="N132" s="3" t="e">
        <f>VLOOKUP(E132,Enviroments!$A$3:$D$59,1,FALSE)</f>
        <v>#N/A</v>
      </c>
      <c r="O132" s="3" t="e">
        <f>VLOOKUP(E132,Enviroments!$A$3:$D$59,2,FALSE)</f>
        <v>#N/A</v>
      </c>
      <c r="P132" s="3" t="e">
        <f>VLOOKUP(E132,Enviroments!$A$3:$D$59,3,FALSE)</f>
        <v>#N/A</v>
      </c>
      <c r="Q132" s="3" t="e">
        <f>VLOOKUP(E132,Enviroments!$A$3:$D$59,4,FALSE)</f>
        <v>#N/A</v>
      </c>
      <c r="R132" s="3" t="e">
        <f>VLOOKUP(H132,AzureRegions!$A$4:$B$1493,1,FALSE)</f>
        <v>#N/A</v>
      </c>
      <c r="S132" s="3" t="e">
        <f>VLOOKUP(H132,AzureRegions!$A$4:$B$1493,2,FALSE)</f>
        <v>#N/A</v>
      </c>
      <c r="T132" s="3" t="e">
        <f>VLOOKUP(H132,AzureRegions!$A$4:$C$1493,3,FALSE)</f>
        <v>#N/A</v>
      </c>
      <c r="U132" s="3" t="e">
        <f>VLOOKUP(I132,Resources!$A$2:$AA$1503,2,FALSE)</f>
        <v>#N/A</v>
      </c>
      <c r="V132" s="3" t="e">
        <f>VLOOKUP(I132,Resources!$A$2:$H$1503,6,FALSE)</f>
        <v>#N/A</v>
      </c>
      <c r="W132" s="3" t="str">
        <f>VLOOKUP($H$2,Casing!$A$4:$A$60,1,FALSE)</f>
        <v>Lower</v>
      </c>
      <c r="X132" s="14" t="str">
        <f t="shared" si="3"/>
        <v>001</v>
      </c>
      <c r="Y132" s="3" t="str">
        <f>IFERROR(VLOOKUP(F132,Func!$A$4:$G$1500,2,FALSE),"none")</f>
        <v>none</v>
      </c>
      <c r="Z132" s="3" t="e">
        <f>VLOOKUP(I132,Resources!$A$2:$AA$1503,18,FALSE)</f>
        <v>#N/A</v>
      </c>
      <c r="AA132" s="3" t="str">
        <f>IFERROR(VLOOKUP(B132,Orgs!$A$4:$G$1500,2,FALSE),"none")</f>
        <v>none</v>
      </c>
      <c r="AB132" s="3" t="str">
        <f>IFERROR(VLOOKUP(C132,UnitsDepts!$A$4:$G$1500,2,FALSE),"none")</f>
        <v>none</v>
      </c>
      <c r="AC132" s="3" t="str">
        <f>IFERROR(VLOOKUP(D132,ProjAppSvc!$A$4:$G$1500,2,FALSE),"none")</f>
        <v>none</v>
      </c>
    </row>
    <row r="133" spans="1:29" x14ac:dyDescent="0.45">
      <c r="A133" s="14" t="s">
        <v>23</v>
      </c>
      <c r="B133" s="14"/>
      <c r="C133" s="14"/>
      <c r="D133" s="14"/>
      <c r="H133" s="8"/>
      <c r="I133" s="3"/>
      <c r="J133" s="3" t="str">
        <f t="shared" si="4"/>
        <v/>
      </c>
      <c r="K133" s="3" t="str">
        <f>IF(ISNUMBER(SEARCH("-",V133)),IFERROR(IF($H$2="Lower", LOWER(ComputeResourceName(Z133,#REF!,#REF!,G133,N133,O133,P133,Q133,S133,T133,V133,A133)), UPPER(ComputeResourceName(Z133,#REF!,#REF!,G133,N133,O133,P133,Q133,S133,T133,V133,A133))),""),SUBSTITUTE(IFERROR(IF($H$2="Lower", LOWER(ComputeResourceName(#REF!,#REF!,#REF!,G133,N133,O133,P133,Q133,S133,T133,V133,A133)), UPPER(ComputeResourceName(#REF!,#REF!,#REF!,G133,N133,O133,P133,Q133,S133,T133,V133,A133))),""), "-",""))</f>
        <v/>
      </c>
      <c r="L133" s="3" t="str">
        <f xml:space="preserve"> IF(K133="","",  IFERROR(VLOOKUP(I133,Resources!$B$1:$H$1503,5,FALSE)-LEN(K133),0))</f>
        <v/>
      </c>
      <c r="M133" s="3" t="str">
        <f>IF(K133="","",IFERROR(matches(K133,VLOOKUP(I133,Resources!$A$2:$AA$1503,16,FALSE)),FALSE))</f>
        <v/>
      </c>
      <c r="N133" s="3" t="e">
        <f>VLOOKUP(E133,Enviroments!$A$3:$D$59,1,FALSE)</f>
        <v>#N/A</v>
      </c>
      <c r="O133" s="3" t="e">
        <f>VLOOKUP(E133,Enviroments!$A$3:$D$59,2,FALSE)</f>
        <v>#N/A</v>
      </c>
      <c r="P133" s="3" t="e">
        <f>VLOOKUP(E133,Enviroments!$A$3:$D$59,3,FALSE)</f>
        <v>#N/A</v>
      </c>
      <c r="Q133" s="3" t="e">
        <f>VLOOKUP(E133,Enviroments!$A$3:$D$59,4,FALSE)</f>
        <v>#N/A</v>
      </c>
      <c r="R133" s="3" t="e">
        <f>VLOOKUP(H133,AzureRegions!$A$4:$B$1493,1,FALSE)</f>
        <v>#N/A</v>
      </c>
      <c r="S133" s="3" t="e">
        <f>VLOOKUP(H133,AzureRegions!$A$4:$B$1493,2,FALSE)</f>
        <v>#N/A</v>
      </c>
      <c r="T133" s="3" t="e">
        <f>VLOOKUP(H133,AzureRegions!$A$4:$C$1493,3,FALSE)</f>
        <v>#N/A</v>
      </c>
      <c r="U133" s="3" t="e">
        <f>VLOOKUP(I133,Resources!$A$2:$AA$1503,2,FALSE)</f>
        <v>#N/A</v>
      </c>
      <c r="V133" s="3" t="e">
        <f>VLOOKUP(I133,Resources!$A$2:$H$1503,6,FALSE)</f>
        <v>#N/A</v>
      </c>
      <c r="W133" s="3" t="str">
        <f>VLOOKUP($H$2,Casing!$A$4:$A$60,1,FALSE)</f>
        <v>Lower</v>
      </c>
      <c r="X133" s="14" t="str">
        <f t="shared" si="3"/>
        <v>001</v>
      </c>
      <c r="Y133" s="3" t="str">
        <f>IFERROR(VLOOKUP(F133,Func!$A$4:$G$1500,2,FALSE),"none")</f>
        <v>none</v>
      </c>
      <c r="Z133" s="3" t="e">
        <f>VLOOKUP(I133,Resources!$A$2:$AA$1503,18,FALSE)</f>
        <v>#N/A</v>
      </c>
      <c r="AA133" s="3" t="str">
        <f>IFERROR(VLOOKUP(B133,Orgs!$A$4:$G$1500,2,FALSE),"none")</f>
        <v>none</v>
      </c>
      <c r="AB133" s="3" t="str">
        <f>IFERROR(VLOOKUP(C133,UnitsDepts!$A$4:$G$1500,2,FALSE),"none")</f>
        <v>none</v>
      </c>
      <c r="AC133" s="3" t="str">
        <f>IFERROR(VLOOKUP(D133,ProjAppSvc!$A$4:$G$1500,2,FALSE),"none")</f>
        <v>none</v>
      </c>
    </row>
    <row r="134" spans="1:29" x14ac:dyDescent="0.45">
      <c r="A134" s="14" t="s">
        <v>23</v>
      </c>
      <c r="B134" s="14"/>
      <c r="C134" s="14"/>
      <c r="D134" s="14"/>
      <c r="H134" s="8"/>
      <c r="I134" s="3"/>
      <c r="J134" s="3" t="str">
        <f t="shared" si="4"/>
        <v/>
      </c>
      <c r="K134" s="3" t="str">
        <f>IF(ISNUMBER(SEARCH("-",V134)),IFERROR(IF($H$2="Lower", LOWER(ComputeResourceName(Z134,#REF!,#REF!,G134,N134,O134,P134,Q134,S134,T134,V134,A134)), UPPER(ComputeResourceName(Z134,#REF!,#REF!,G134,N134,O134,P134,Q134,S134,T134,V134,A134))),""),SUBSTITUTE(IFERROR(IF($H$2="Lower", LOWER(ComputeResourceName(#REF!,#REF!,#REF!,G134,N134,O134,P134,Q134,S134,T134,V134,A134)), UPPER(ComputeResourceName(#REF!,#REF!,#REF!,G134,N134,O134,P134,Q134,S134,T134,V134,A134))),""), "-",""))</f>
        <v/>
      </c>
      <c r="L134" s="3" t="str">
        <f xml:space="preserve"> IF(K134="","",  IFERROR(VLOOKUP(I134,Resources!$B$1:$H$1503,5,FALSE)-LEN(K134),0))</f>
        <v/>
      </c>
      <c r="M134" s="3" t="str">
        <f>IF(K134="","",IFERROR(matches(K134,VLOOKUP(I134,Resources!$A$2:$AA$1503,16,FALSE)),FALSE))</f>
        <v/>
      </c>
      <c r="N134" s="3" t="e">
        <f>VLOOKUP(E134,Enviroments!$A$3:$D$59,1,FALSE)</f>
        <v>#N/A</v>
      </c>
      <c r="O134" s="3" t="e">
        <f>VLOOKUP(E134,Enviroments!$A$3:$D$59,2,FALSE)</f>
        <v>#N/A</v>
      </c>
      <c r="P134" s="3" t="e">
        <f>VLOOKUP(E134,Enviroments!$A$3:$D$59,3,FALSE)</f>
        <v>#N/A</v>
      </c>
      <c r="Q134" s="3" t="e">
        <f>VLOOKUP(E134,Enviroments!$A$3:$D$59,4,FALSE)</f>
        <v>#N/A</v>
      </c>
      <c r="R134" s="3" t="e">
        <f>VLOOKUP(H134,AzureRegions!$A$4:$B$1493,1,FALSE)</f>
        <v>#N/A</v>
      </c>
      <c r="S134" s="3" t="e">
        <f>VLOOKUP(H134,AzureRegions!$A$4:$B$1493,2,FALSE)</f>
        <v>#N/A</v>
      </c>
      <c r="T134" s="3" t="e">
        <f>VLOOKUP(H134,AzureRegions!$A$4:$C$1493,3,FALSE)</f>
        <v>#N/A</v>
      </c>
      <c r="U134" s="3" t="e">
        <f>VLOOKUP(I134,Resources!$A$2:$AA$1503,2,FALSE)</f>
        <v>#N/A</v>
      </c>
      <c r="V134" s="3" t="e">
        <f>VLOOKUP(I134,Resources!$A$2:$H$1503,6,FALSE)</f>
        <v>#N/A</v>
      </c>
      <c r="W134" s="3" t="str">
        <f>VLOOKUP($H$2,Casing!$A$4:$A$60,1,FALSE)</f>
        <v>Lower</v>
      </c>
      <c r="X134" s="14" t="str">
        <f t="shared" si="3"/>
        <v>001</v>
      </c>
      <c r="Y134" s="3" t="str">
        <f>IFERROR(VLOOKUP(F134,Func!$A$4:$G$1500,2,FALSE),"none")</f>
        <v>none</v>
      </c>
      <c r="Z134" s="3" t="e">
        <f>VLOOKUP(I134,Resources!$A$2:$AA$1503,18,FALSE)</f>
        <v>#N/A</v>
      </c>
      <c r="AA134" s="3" t="str">
        <f>IFERROR(VLOOKUP(B134,Orgs!$A$4:$G$1500,2,FALSE),"none")</f>
        <v>none</v>
      </c>
      <c r="AB134" s="3" t="str">
        <f>IFERROR(VLOOKUP(C134,UnitsDepts!$A$4:$G$1500,2,FALSE),"none")</f>
        <v>none</v>
      </c>
      <c r="AC134" s="3" t="str">
        <f>IFERROR(VLOOKUP(D134,ProjAppSvc!$A$4:$G$1500,2,FALSE),"none")</f>
        <v>none</v>
      </c>
    </row>
    <row r="135" spans="1:29" x14ac:dyDescent="0.45">
      <c r="A135" s="14" t="s">
        <v>23</v>
      </c>
      <c r="B135" s="14"/>
      <c r="C135" s="14"/>
      <c r="D135" s="14"/>
      <c r="H135" s="8"/>
      <c r="I135" s="3"/>
      <c r="J135" s="3" t="str">
        <f t="shared" si="4"/>
        <v/>
      </c>
      <c r="K135" s="3" t="str">
        <f>IF(ISNUMBER(SEARCH("-",V135)),IFERROR(IF($H$2="Lower", LOWER(ComputeResourceName(Z135,#REF!,#REF!,G135,N135,O135,P135,Q135,S135,T135,V135,A135)), UPPER(ComputeResourceName(Z135,#REF!,#REF!,G135,N135,O135,P135,Q135,S135,T135,V135,A135))),""),SUBSTITUTE(IFERROR(IF($H$2="Lower", LOWER(ComputeResourceName(#REF!,#REF!,#REF!,G135,N135,O135,P135,Q135,S135,T135,V135,A135)), UPPER(ComputeResourceName(#REF!,#REF!,#REF!,G135,N135,O135,P135,Q135,S135,T135,V135,A135))),""), "-",""))</f>
        <v/>
      </c>
      <c r="L135" s="3" t="str">
        <f xml:space="preserve"> IF(K135="","",  IFERROR(VLOOKUP(I135,Resources!$B$1:$H$1503,5,FALSE)-LEN(K135),0))</f>
        <v/>
      </c>
      <c r="M135" s="3" t="str">
        <f>IF(K135="","",IFERROR(matches(K135,VLOOKUP(I135,Resources!$A$2:$AA$1503,16,FALSE)),FALSE))</f>
        <v/>
      </c>
      <c r="N135" s="3" t="e">
        <f>VLOOKUP(E135,Enviroments!$A$3:$D$59,1,FALSE)</f>
        <v>#N/A</v>
      </c>
      <c r="O135" s="3" t="e">
        <f>VLOOKUP(E135,Enviroments!$A$3:$D$59,2,FALSE)</f>
        <v>#N/A</v>
      </c>
      <c r="P135" s="3" t="e">
        <f>VLOOKUP(E135,Enviroments!$A$3:$D$59,3,FALSE)</f>
        <v>#N/A</v>
      </c>
      <c r="Q135" s="3" t="e">
        <f>VLOOKUP(E135,Enviroments!$A$3:$D$59,4,FALSE)</f>
        <v>#N/A</v>
      </c>
      <c r="R135" s="3" t="e">
        <f>VLOOKUP(H135,AzureRegions!$A$4:$B$1493,1,FALSE)</f>
        <v>#N/A</v>
      </c>
      <c r="S135" s="3" t="e">
        <f>VLOOKUP(H135,AzureRegions!$A$4:$B$1493,2,FALSE)</f>
        <v>#N/A</v>
      </c>
      <c r="T135" s="3" t="e">
        <f>VLOOKUP(H135,AzureRegions!$A$4:$C$1493,3,FALSE)</f>
        <v>#N/A</v>
      </c>
      <c r="U135" s="3" t="e">
        <f>VLOOKUP(I135,Resources!$A$2:$AA$1503,2,FALSE)</f>
        <v>#N/A</v>
      </c>
      <c r="V135" s="3" t="e">
        <f>VLOOKUP(I135,Resources!$A$2:$H$1503,6,FALSE)</f>
        <v>#N/A</v>
      </c>
      <c r="W135" s="3" t="str">
        <f>VLOOKUP($H$2,Casing!$A$4:$A$60,1,FALSE)</f>
        <v>Lower</v>
      </c>
      <c r="X135" s="14" t="str">
        <f t="shared" ref="X135:X189" si="5">A135</f>
        <v>001</v>
      </c>
      <c r="Y135" s="3" t="str">
        <f>IFERROR(VLOOKUP(F135,Func!$A$4:$G$1500,2,FALSE),"none")</f>
        <v>none</v>
      </c>
      <c r="Z135" s="3" t="e">
        <f>VLOOKUP(I135,Resources!$A$2:$AA$1503,18,FALSE)</f>
        <v>#N/A</v>
      </c>
      <c r="AA135" s="3" t="str">
        <f>IFERROR(VLOOKUP(B135,Orgs!$A$4:$G$1500,2,FALSE),"none")</f>
        <v>none</v>
      </c>
      <c r="AB135" s="3" t="str">
        <f>IFERROR(VLOOKUP(C135,UnitsDepts!$A$4:$G$1500,2,FALSE),"none")</f>
        <v>none</v>
      </c>
      <c r="AC135" s="3" t="str">
        <f>IFERROR(VLOOKUP(D135,ProjAppSvc!$A$4:$G$1500,2,FALSE),"none")</f>
        <v>none</v>
      </c>
    </row>
    <row r="136" spans="1:29" x14ac:dyDescent="0.45">
      <c r="A136" s="14" t="s">
        <v>23</v>
      </c>
      <c r="B136" s="14"/>
      <c r="C136" s="14"/>
      <c r="D136" s="14"/>
      <c r="H136" s="8"/>
      <c r="I136" s="3"/>
      <c r="J136" s="3" t="str">
        <f t="shared" si="4"/>
        <v/>
      </c>
      <c r="K136" s="3" t="str">
        <f>IF(ISNUMBER(SEARCH("-",V136)),IFERROR(IF($H$2="Lower", LOWER(ComputeResourceName(Z136,#REF!,#REF!,G136,N136,O136,P136,Q136,S136,T136,V136,A136)), UPPER(ComputeResourceName(Z136,#REF!,#REF!,G136,N136,O136,P136,Q136,S136,T136,V136,A136))),""),SUBSTITUTE(IFERROR(IF($H$2="Lower", LOWER(ComputeResourceName(#REF!,#REF!,#REF!,G136,N136,O136,P136,Q136,S136,T136,V136,A136)), UPPER(ComputeResourceName(#REF!,#REF!,#REF!,G136,N136,O136,P136,Q136,S136,T136,V136,A136))),""), "-",""))</f>
        <v/>
      </c>
      <c r="L136" s="3" t="str">
        <f xml:space="preserve"> IF(K136="","",  IFERROR(VLOOKUP(I136,Resources!$B$1:$H$1503,5,FALSE)-LEN(K136),0))</f>
        <v/>
      </c>
      <c r="M136" s="3" t="str">
        <f>IF(K136="","",IFERROR(matches(K136,VLOOKUP(I136,Resources!$A$2:$AA$1503,16,FALSE)),FALSE))</f>
        <v/>
      </c>
      <c r="N136" s="3" t="e">
        <f>VLOOKUP(E136,Enviroments!$A$3:$D$59,1,FALSE)</f>
        <v>#N/A</v>
      </c>
      <c r="O136" s="3" t="e">
        <f>VLOOKUP(E136,Enviroments!$A$3:$D$59,2,FALSE)</f>
        <v>#N/A</v>
      </c>
      <c r="P136" s="3" t="e">
        <f>VLOOKUP(E136,Enviroments!$A$3:$D$59,3,FALSE)</f>
        <v>#N/A</v>
      </c>
      <c r="Q136" s="3" t="e">
        <f>VLOOKUP(E136,Enviroments!$A$3:$D$59,4,FALSE)</f>
        <v>#N/A</v>
      </c>
      <c r="R136" s="3" t="e">
        <f>VLOOKUP(H136,AzureRegions!$A$4:$B$1493,1,FALSE)</f>
        <v>#N/A</v>
      </c>
      <c r="S136" s="3" t="e">
        <f>VLOOKUP(H136,AzureRegions!$A$4:$B$1493,2,FALSE)</f>
        <v>#N/A</v>
      </c>
      <c r="T136" s="3" t="e">
        <f>VLOOKUP(H136,AzureRegions!$A$4:$C$1493,3,FALSE)</f>
        <v>#N/A</v>
      </c>
      <c r="U136" s="3" t="e">
        <f>VLOOKUP(I136,Resources!$A$2:$AA$1503,2,FALSE)</f>
        <v>#N/A</v>
      </c>
      <c r="V136" s="3" t="e">
        <f>VLOOKUP(I136,Resources!$A$2:$H$1503,6,FALSE)</f>
        <v>#N/A</v>
      </c>
      <c r="W136" s="3" t="str">
        <f>VLOOKUP($H$2,Casing!$A$4:$A$60,1,FALSE)</f>
        <v>Lower</v>
      </c>
      <c r="X136" s="14" t="str">
        <f t="shared" si="5"/>
        <v>001</v>
      </c>
      <c r="Y136" s="3" t="str">
        <f>IFERROR(VLOOKUP(F136,Func!$A$4:$G$1500,2,FALSE),"none")</f>
        <v>none</v>
      </c>
      <c r="Z136" s="3" t="e">
        <f>VLOOKUP(I136,Resources!$A$2:$AA$1503,18,FALSE)</f>
        <v>#N/A</v>
      </c>
      <c r="AA136" s="3" t="str">
        <f>IFERROR(VLOOKUP(B136,Orgs!$A$4:$G$1500,2,FALSE),"none")</f>
        <v>none</v>
      </c>
      <c r="AB136" s="3" t="str">
        <f>IFERROR(VLOOKUP(C136,UnitsDepts!$A$4:$G$1500,2,FALSE),"none")</f>
        <v>none</v>
      </c>
      <c r="AC136" s="3" t="str">
        <f>IFERROR(VLOOKUP(D136,ProjAppSvc!$A$4:$G$1500,2,FALSE),"none")</f>
        <v>none</v>
      </c>
    </row>
    <row r="137" spans="1:29" x14ac:dyDescent="0.45">
      <c r="A137" s="14" t="s">
        <v>23</v>
      </c>
      <c r="B137" s="14"/>
      <c r="C137" s="14"/>
      <c r="D137" s="14"/>
      <c r="H137" s="8"/>
      <c r="I137" s="3"/>
      <c r="J137" s="3" t="str">
        <f t="shared" si="4"/>
        <v/>
      </c>
      <c r="K137" s="3" t="str">
        <f>IF(ISNUMBER(SEARCH("-",V137)),IFERROR(IF($H$2="Lower", LOWER(ComputeResourceName(Z137,#REF!,#REF!,G137,N137,O137,P137,Q137,S137,T137,V137,A137)), UPPER(ComputeResourceName(Z137,#REF!,#REF!,G137,N137,O137,P137,Q137,S137,T137,V137,A137))),""),SUBSTITUTE(IFERROR(IF($H$2="Lower", LOWER(ComputeResourceName(#REF!,#REF!,#REF!,G137,N137,O137,P137,Q137,S137,T137,V137,A137)), UPPER(ComputeResourceName(#REF!,#REF!,#REF!,G137,N137,O137,P137,Q137,S137,T137,V137,A137))),""), "-",""))</f>
        <v/>
      </c>
      <c r="L137" s="3" t="str">
        <f xml:space="preserve"> IF(K137="","",  IFERROR(VLOOKUP(I137,Resources!$B$1:$H$1503,5,FALSE)-LEN(K137),0))</f>
        <v/>
      </c>
      <c r="M137" s="3" t="str">
        <f>IF(K137="","",IFERROR(matches(K137,VLOOKUP(I137,Resources!$A$2:$AA$1503,16,FALSE)),FALSE))</f>
        <v/>
      </c>
      <c r="N137" s="3" t="e">
        <f>VLOOKUP(E137,Enviroments!$A$3:$D$59,1,FALSE)</f>
        <v>#N/A</v>
      </c>
      <c r="O137" s="3" t="e">
        <f>VLOOKUP(E137,Enviroments!$A$3:$D$59,2,FALSE)</f>
        <v>#N/A</v>
      </c>
      <c r="P137" s="3" t="e">
        <f>VLOOKUP(E137,Enviroments!$A$3:$D$59,3,FALSE)</f>
        <v>#N/A</v>
      </c>
      <c r="Q137" s="3" t="e">
        <f>VLOOKUP(E137,Enviroments!$A$3:$D$59,4,FALSE)</f>
        <v>#N/A</v>
      </c>
      <c r="R137" s="3" t="e">
        <f>VLOOKUP(H137,AzureRegions!$A$4:$B$1493,1,FALSE)</f>
        <v>#N/A</v>
      </c>
      <c r="S137" s="3" t="e">
        <f>VLOOKUP(H137,AzureRegions!$A$4:$B$1493,2,FALSE)</f>
        <v>#N/A</v>
      </c>
      <c r="T137" s="3" t="e">
        <f>VLOOKUP(H137,AzureRegions!$A$4:$C$1493,3,FALSE)</f>
        <v>#N/A</v>
      </c>
      <c r="U137" s="3" t="e">
        <f>VLOOKUP(I137,Resources!$A$2:$AA$1503,2,FALSE)</f>
        <v>#N/A</v>
      </c>
      <c r="V137" s="3" t="e">
        <f>VLOOKUP(I137,Resources!$A$2:$H$1503,6,FALSE)</f>
        <v>#N/A</v>
      </c>
      <c r="W137" s="3" t="str">
        <f>VLOOKUP($H$2,Casing!$A$4:$A$60,1,FALSE)</f>
        <v>Lower</v>
      </c>
      <c r="X137" s="14" t="str">
        <f t="shared" si="5"/>
        <v>001</v>
      </c>
      <c r="Y137" s="3" t="str">
        <f>IFERROR(VLOOKUP(F137,Func!$A$4:$G$1500,2,FALSE),"none")</f>
        <v>none</v>
      </c>
      <c r="Z137" s="3" t="e">
        <f>VLOOKUP(I137,Resources!$A$2:$AA$1503,18,FALSE)</f>
        <v>#N/A</v>
      </c>
      <c r="AA137" s="3" t="str">
        <f>IFERROR(VLOOKUP(B137,Orgs!$A$4:$G$1500,2,FALSE),"none")</f>
        <v>none</v>
      </c>
      <c r="AB137" s="3" t="str">
        <f>IFERROR(VLOOKUP(C137,UnitsDepts!$A$4:$G$1500,2,FALSE),"none")</f>
        <v>none</v>
      </c>
      <c r="AC137" s="3" t="str">
        <f>IFERROR(VLOOKUP(D137,ProjAppSvc!$A$4:$G$1500,2,FALSE),"none")</f>
        <v>none</v>
      </c>
    </row>
    <row r="138" spans="1:29" x14ac:dyDescent="0.45">
      <c r="A138" s="14" t="s">
        <v>23</v>
      </c>
      <c r="B138" s="14"/>
      <c r="C138" s="14"/>
      <c r="D138" s="14"/>
      <c r="H138" s="8"/>
      <c r="I138" s="3"/>
      <c r="J138" s="3" t="str">
        <f t="shared" si="4"/>
        <v/>
      </c>
      <c r="K138" s="3" t="str">
        <f>IF(ISNUMBER(SEARCH("-",V138)),IFERROR(IF($H$2="Lower", LOWER(ComputeResourceName(Z138,#REF!,#REF!,G138,N138,O138,P138,Q138,S138,T138,V138,A138)), UPPER(ComputeResourceName(Z138,#REF!,#REF!,G138,N138,O138,P138,Q138,S138,T138,V138,A138))),""),SUBSTITUTE(IFERROR(IF($H$2="Lower", LOWER(ComputeResourceName(#REF!,#REF!,#REF!,G138,N138,O138,P138,Q138,S138,T138,V138,A138)), UPPER(ComputeResourceName(#REF!,#REF!,#REF!,G138,N138,O138,P138,Q138,S138,T138,V138,A138))),""), "-",""))</f>
        <v/>
      </c>
      <c r="L138" s="3" t="str">
        <f xml:space="preserve"> IF(K138="","",  IFERROR(VLOOKUP(I138,Resources!$B$1:$H$1503,5,FALSE)-LEN(K138),0))</f>
        <v/>
      </c>
      <c r="M138" s="3" t="str">
        <f>IF(K138="","",IFERROR(matches(K138,VLOOKUP(I138,Resources!$A$2:$AA$1503,16,FALSE)),FALSE))</f>
        <v/>
      </c>
      <c r="N138" s="3" t="e">
        <f>VLOOKUP(E138,Enviroments!$A$3:$D$59,1,FALSE)</f>
        <v>#N/A</v>
      </c>
      <c r="O138" s="3" t="e">
        <f>VLOOKUP(E138,Enviroments!$A$3:$D$59,2,FALSE)</f>
        <v>#N/A</v>
      </c>
      <c r="P138" s="3" t="e">
        <f>VLOOKUP(E138,Enviroments!$A$3:$D$59,3,FALSE)</f>
        <v>#N/A</v>
      </c>
      <c r="Q138" s="3" t="e">
        <f>VLOOKUP(E138,Enviroments!$A$3:$D$59,4,FALSE)</f>
        <v>#N/A</v>
      </c>
      <c r="R138" s="3" t="e">
        <f>VLOOKUP(H138,AzureRegions!$A$4:$B$1493,1,FALSE)</f>
        <v>#N/A</v>
      </c>
      <c r="S138" s="3" t="e">
        <f>VLOOKUP(H138,AzureRegions!$A$4:$B$1493,2,FALSE)</f>
        <v>#N/A</v>
      </c>
      <c r="T138" s="3" t="e">
        <f>VLOOKUP(H138,AzureRegions!$A$4:$C$1493,3,FALSE)</f>
        <v>#N/A</v>
      </c>
      <c r="U138" s="3" t="e">
        <f>VLOOKUP(I138,Resources!$A$2:$AA$1503,2,FALSE)</f>
        <v>#N/A</v>
      </c>
      <c r="V138" s="3" t="e">
        <f>VLOOKUP(I138,Resources!$A$2:$H$1503,6,FALSE)</f>
        <v>#N/A</v>
      </c>
      <c r="W138" s="3" t="str">
        <f>VLOOKUP($H$2,Casing!$A$4:$A$60,1,FALSE)</f>
        <v>Lower</v>
      </c>
      <c r="X138" s="14" t="str">
        <f t="shared" si="5"/>
        <v>001</v>
      </c>
      <c r="Y138" s="3" t="str">
        <f>IFERROR(VLOOKUP(F138,Func!$A$4:$G$1500,2,FALSE),"none")</f>
        <v>none</v>
      </c>
      <c r="Z138" s="3" t="e">
        <f>VLOOKUP(I138,Resources!$A$2:$AA$1503,18,FALSE)</f>
        <v>#N/A</v>
      </c>
      <c r="AA138" s="3" t="str">
        <f>IFERROR(VLOOKUP(B138,Orgs!$A$4:$G$1500,2,FALSE),"none")</f>
        <v>none</v>
      </c>
      <c r="AB138" s="3" t="str">
        <f>IFERROR(VLOOKUP(C138,UnitsDepts!$A$4:$G$1500,2,FALSE),"none")</f>
        <v>none</v>
      </c>
      <c r="AC138" s="3" t="str">
        <f>IFERROR(VLOOKUP(D138,ProjAppSvc!$A$4:$G$1500,2,FALSE),"none")</f>
        <v>none</v>
      </c>
    </row>
    <row r="139" spans="1:29" x14ac:dyDescent="0.45">
      <c r="A139" s="14" t="s">
        <v>23</v>
      </c>
      <c r="B139" s="14"/>
      <c r="C139" s="14"/>
      <c r="D139" s="14"/>
      <c r="H139" s="8"/>
      <c r="I139" s="3"/>
      <c r="J139" s="3" t="str">
        <f t="shared" si="4"/>
        <v/>
      </c>
      <c r="K139" s="3" t="str">
        <f>IF(ISNUMBER(SEARCH("-",V139)),IFERROR(IF($H$2="Lower", LOWER(ComputeResourceName(Z139,#REF!,#REF!,G139,N139,O139,P139,Q139,S139,T139,V139,A139)), UPPER(ComputeResourceName(Z139,#REF!,#REF!,G139,N139,O139,P139,Q139,S139,T139,V139,A139))),""),SUBSTITUTE(IFERROR(IF($H$2="Lower", LOWER(ComputeResourceName(#REF!,#REF!,#REF!,G139,N139,O139,P139,Q139,S139,T139,V139,A139)), UPPER(ComputeResourceName(#REF!,#REF!,#REF!,G139,N139,O139,P139,Q139,S139,T139,V139,A139))),""), "-",""))</f>
        <v/>
      </c>
      <c r="L139" s="3" t="str">
        <f xml:space="preserve"> IF(K139="","",  IFERROR(VLOOKUP(I139,Resources!$B$1:$H$1503,5,FALSE)-LEN(K139),0))</f>
        <v/>
      </c>
      <c r="M139" s="3" t="str">
        <f>IF(K139="","",IFERROR(matches(K139,VLOOKUP(I139,Resources!$A$2:$AA$1503,16,FALSE)),FALSE))</f>
        <v/>
      </c>
      <c r="N139" s="3" t="e">
        <f>VLOOKUP(E139,Enviroments!$A$3:$D$59,1,FALSE)</f>
        <v>#N/A</v>
      </c>
      <c r="O139" s="3" t="e">
        <f>VLOOKUP(E139,Enviroments!$A$3:$D$59,2,FALSE)</f>
        <v>#N/A</v>
      </c>
      <c r="P139" s="3" t="e">
        <f>VLOOKUP(E139,Enviroments!$A$3:$D$59,3,FALSE)</f>
        <v>#N/A</v>
      </c>
      <c r="Q139" s="3" t="e">
        <f>VLOOKUP(E139,Enviroments!$A$3:$D$59,4,FALSE)</f>
        <v>#N/A</v>
      </c>
      <c r="R139" s="3" t="e">
        <f>VLOOKUP(H139,AzureRegions!$A$4:$B$1493,1,FALSE)</f>
        <v>#N/A</v>
      </c>
      <c r="S139" s="3" t="e">
        <f>VLOOKUP(H139,AzureRegions!$A$4:$B$1493,2,FALSE)</f>
        <v>#N/A</v>
      </c>
      <c r="T139" s="3" t="e">
        <f>VLOOKUP(H139,AzureRegions!$A$4:$C$1493,3,FALSE)</f>
        <v>#N/A</v>
      </c>
      <c r="U139" s="3" t="e">
        <f>VLOOKUP(I139,Resources!$A$2:$AA$1503,2,FALSE)</f>
        <v>#N/A</v>
      </c>
      <c r="V139" s="3" t="e">
        <f>VLOOKUP(I139,Resources!$A$2:$H$1503,6,FALSE)</f>
        <v>#N/A</v>
      </c>
      <c r="W139" s="3" t="str">
        <f>VLOOKUP($H$2,Casing!$A$4:$A$60,1,FALSE)</f>
        <v>Lower</v>
      </c>
      <c r="X139" s="14" t="str">
        <f t="shared" si="5"/>
        <v>001</v>
      </c>
      <c r="Y139" s="3" t="str">
        <f>IFERROR(VLOOKUP(F139,Func!$A$4:$G$1500,2,FALSE),"none")</f>
        <v>none</v>
      </c>
      <c r="Z139" s="3" t="e">
        <f>VLOOKUP(I139,Resources!$A$2:$AA$1503,18,FALSE)</f>
        <v>#N/A</v>
      </c>
      <c r="AA139" s="3" t="str">
        <f>IFERROR(VLOOKUP(B139,Orgs!$A$4:$G$1500,2,FALSE),"none")</f>
        <v>none</v>
      </c>
      <c r="AB139" s="3" t="str">
        <f>IFERROR(VLOOKUP(C139,UnitsDepts!$A$4:$G$1500,2,FALSE),"none")</f>
        <v>none</v>
      </c>
      <c r="AC139" s="3" t="str">
        <f>IFERROR(VLOOKUP(D139,ProjAppSvc!$A$4:$G$1500,2,FALSE),"none")</f>
        <v>none</v>
      </c>
    </row>
    <row r="140" spans="1:29" x14ac:dyDescent="0.45">
      <c r="A140" s="14" t="s">
        <v>23</v>
      </c>
      <c r="B140" s="14"/>
      <c r="C140" s="14"/>
      <c r="D140" s="14"/>
      <c r="H140" s="8"/>
      <c r="I140" s="3"/>
      <c r="J140" s="3" t="str">
        <f t="shared" si="4"/>
        <v/>
      </c>
      <c r="K140" s="3" t="str">
        <f>IF(ISNUMBER(SEARCH("-",V140)),IFERROR(IF($H$2="Lower", LOWER(ComputeResourceName(Z140,#REF!,#REF!,G140,N140,O140,P140,Q140,S140,T140,V140,A140)), UPPER(ComputeResourceName(Z140,#REF!,#REF!,G140,N140,O140,P140,Q140,S140,T140,V140,A140))),""),SUBSTITUTE(IFERROR(IF($H$2="Lower", LOWER(ComputeResourceName(#REF!,#REF!,#REF!,G140,N140,O140,P140,Q140,S140,T140,V140,A140)), UPPER(ComputeResourceName(#REF!,#REF!,#REF!,G140,N140,O140,P140,Q140,S140,T140,V140,A140))),""), "-",""))</f>
        <v/>
      </c>
      <c r="L140" s="3" t="str">
        <f xml:space="preserve"> IF(K140="","",  IFERROR(VLOOKUP(I140,Resources!$B$1:$H$1503,5,FALSE)-LEN(K140),0))</f>
        <v/>
      </c>
      <c r="M140" s="3" t="str">
        <f>IF(K140="","",IFERROR(matches(K140,VLOOKUP(I140,Resources!$A$2:$AA$1503,16,FALSE)),FALSE))</f>
        <v/>
      </c>
      <c r="N140" s="3" t="e">
        <f>VLOOKUP(E140,Enviroments!$A$3:$D$59,1,FALSE)</f>
        <v>#N/A</v>
      </c>
      <c r="O140" s="3" t="e">
        <f>VLOOKUP(E140,Enviroments!$A$3:$D$59,2,FALSE)</f>
        <v>#N/A</v>
      </c>
      <c r="P140" s="3" t="e">
        <f>VLOOKUP(E140,Enviroments!$A$3:$D$59,3,FALSE)</f>
        <v>#N/A</v>
      </c>
      <c r="Q140" s="3" t="e">
        <f>VLOOKUP(E140,Enviroments!$A$3:$D$59,4,FALSE)</f>
        <v>#N/A</v>
      </c>
      <c r="R140" s="3" t="e">
        <f>VLOOKUP(H140,AzureRegions!$A$4:$B$1493,1,FALSE)</f>
        <v>#N/A</v>
      </c>
      <c r="S140" s="3" t="e">
        <f>VLOOKUP(H140,AzureRegions!$A$4:$B$1493,2,FALSE)</f>
        <v>#N/A</v>
      </c>
      <c r="T140" s="3" t="e">
        <f>VLOOKUP(H140,AzureRegions!$A$4:$C$1493,3,FALSE)</f>
        <v>#N/A</v>
      </c>
      <c r="U140" s="3" t="e">
        <f>VLOOKUP(I140,Resources!$A$2:$AA$1503,2,FALSE)</f>
        <v>#N/A</v>
      </c>
      <c r="V140" s="3" t="e">
        <f>VLOOKUP(I140,Resources!$A$2:$H$1503,6,FALSE)</f>
        <v>#N/A</v>
      </c>
      <c r="W140" s="3" t="str">
        <f>VLOOKUP($H$2,Casing!$A$4:$A$60,1,FALSE)</f>
        <v>Lower</v>
      </c>
      <c r="X140" s="14" t="str">
        <f t="shared" si="5"/>
        <v>001</v>
      </c>
      <c r="Y140" s="3" t="str">
        <f>IFERROR(VLOOKUP(F140,Func!$A$4:$G$1500,2,FALSE),"none")</f>
        <v>none</v>
      </c>
      <c r="Z140" s="3" t="e">
        <f>VLOOKUP(I140,Resources!$A$2:$AA$1503,18,FALSE)</f>
        <v>#N/A</v>
      </c>
      <c r="AA140" s="3" t="str">
        <f>IFERROR(VLOOKUP(B140,Orgs!$A$4:$G$1500,2,FALSE),"none")</f>
        <v>none</v>
      </c>
      <c r="AB140" s="3" t="str">
        <f>IFERROR(VLOOKUP(C140,UnitsDepts!$A$4:$G$1500,2,FALSE),"none")</f>
        <v>none</v>
      </c>
      <c r="AC140" s="3" t="str">
        <f>IFERROR(VLOOKUP(D140,ProjAppSvc!$A$4:$G$1500,2,FALSE),"none")</f>
        <v>none</v>
      </c>
    </row>
    <row r="141" spans="1:29" x14ac:dyDescent="0.45">
      <c r="A141" s="14" t="s">
        <v>23</v>
      </c>
      <c r="B141" s="14"/>
      <c r="C141" s="14"/>
      <c r="D141" s="14"/>
      <c r="H141" s="8"/>
      <c r="I141" s="3"/>
      <c r="J141" s="3" t="str">
        <f t="shared" ref="J141:J189" si="6">IFERROR(Z141, "")</f>
        <v/>
      </c>
      <c r="K141" s="3" t="str">
        <f>IF(ISNUMBER(SEARCH("-",V141)),IFERROR(IF($H$2="Lower", LOWER(ComputeResourceName(Z141,#REF!,#REF!,G141,N141,O141,P141,Q141,S141,T141,V141,A141)), UPPER(ComputeResourceName(Z141,#REF!,#REF!,G141,N141,O141,P141,Q141,S141,T141,V141,A141))),""),SUBSTITUTE(IFERROR(IF($H$2="Lower", LOWER(ComputeResourceName(#REF!,#REF!,#REF!,G141,N141,O141,P141,Q141,S141,T141,V141,A141)), UPPER(ComputeResourceName(#REF!,#REF!,#REF!,G141,N141,O141,P141,Q141,S141,T141,V141,A141))),""), "-",""))</f>
        <v/>
      </c>
      <c r="L141" s="3" t="str">
        <f xml:space="preserve"> IF(K141="","",  IFERROR(VLOOKUP(I141,Resources!$B$1:$H$1503,5,FALSE)-LEN(K141),0))</f>
        <v/>
      </c>
      <c r="M141" s="3" t="str">
        <f>IF(K141="","",IFERROR(matches(K141,VLOOKUP(I141,Resources!$A$2:$AA$1503,16,FALSE)),FALSE))</f>
        <v/>
      </c>
      <c r="N141" s="3" t="e">
        <f>VLOOKUP(E141,Enviroments!$A$3:$D$59,1,FALSE)</f>
        <v>#N/A</v>
      </c>
      <c r="O141" s="3" t="e">
        <f>VLOOKUP(E141,Enviroments!$A$3:$D$59,2,FALSE)</f>
        <v>#N/A</v>
      </c>
      <c r="P141" s="3" t="e">
        <f>VLOOKUP(E141,Enviroments!$A$3:$D$59,3,FALSE)</f>
        <v>#N/A</v>
      </c>
      <c r="Q141" s="3" t="e">
        <f>VLOOKUP(E141,Enviroments!$A$3:$D$59,4,FALSE)</f>
        <v>#N/A</v>
      </c>
      <c r="R141" s="3" t="e">
        <f>VLOOKUP(H141,AzureRegions!$A$4:$B$1493,1,FALSE)</f>
        <v>#N/A</v>
      </c>
      <c r="S141" s="3" t="e">
        <f>VLOOKUP(H141,AzureRegions!$A$4:$B$1493,2,FALSE)</f>
        <v>#N/A</v>
      </c>
      <c r="T141" s="3" t="e">
        <f>VLOOKUP(H141,AzureRegions!$A$4:$C$1493,3,FALSE)</f>
        <v>#N/A</v>
      </c>
      <c r="U141" s="3" t="e">
        <f>VLOOKUP(I141,Resources!$A$2:$AA$1503,2,FALSE)</f>
        <v>#N/A</v>
      </c>
      <c r="V141" s="3" t="e">
        <f>VLOOKUP(I141,Resources!$A$2:$H$1503,6,FALSE)</f>
        <v>#N/A</v>
      </c>
      <c r="W141" s="3" t="str">
        <f>VLOOKUP($H$2,Casing!$A$4:$A$60,1,FALSE)</f>
        <v>Lower</v>
      </c>
      <c r="X141" s="14" t="str">
        <f t="shared" si="5"/>
        <v>001</v>
      </c>
      <c r="Y141" s="3" t="str">
        <f>IFERROR(VLOOKUP(F141,Func!$A$4:$G$1500,2,FALSE),"none")</f>
        <v>none</v>
      </c>
      <c r="Z141" s="3" t="e">
        <f>VLOOKUP(I141,Resources!$A$2:$AA$1503,18,FALSE)</f>
        <v>#N/A</v>
      </c>
      <c r="AA141" s="3" t="str">
        <f>IFERROR(VLOOKUP(B141,Orgs!$A$4:$G$1500,2,FALSE),"none")</f>
        <v>none</v>
      </c>
      <c r="AB141" s="3" t="str">
        <f>IFERROR(VLOOKUP(C141,UnitsDepts!$A$4:$G$1500,2,FALSE),"none")</f>
        <v>none</v>
      </c>
      <c r="AC141" s="3" t="str">
        <f>IFERROR(VLOOKUP(D141,ProjAppSvc!$A$4:$G$1500,2,FALSE),"none")</f>
        <v>none</v>
      </c>
    </row>
    <row r="142" spans="1:29" x14ac:dyDescent="0.45">
      <c r="A142" s="14" t="s">
        <v>23</v>
      </c>
      <c r="B142" s="14"/>
      <c r="C142" s="14"/>
      <c r="D142" s="14"/>
      <c r="H142" s="8"/>
      <c r="I142" s="3"/>
      <c r="J142" s="3" t="str">
        <f t="shared" si="6"/>
        <v/>
      </c>
      <c r="K142" s="3" t="str">
        <f>IF(ISNUMBER(SEARCH("-",V142)),IFERROR(IF($H$2="Lower", LOWER(ComputeResourceName(Z142,#REF!,#REF!,G142,N142,O142,P142,Q142,S142,T142,V142,A142)), UPPER(ComputeResourceName(Z142,#REF!,#REF!,G142,N142,O142,P142,Q142,S142,T142,V142,A142))),""),SUBSTITUTE(IFERROR(IF($H$2="Lower", LOWER(ComputeResourceName(#REF!,#REF!,#REF!,G142,N142,O142,P142,Q142,S142,T142,V142,A142)), UPPER(ComputeResourceName(#REF!,#REF!,#REF!,G142,N142,O142,P142,Q142,S142,T142,V142,A142))),""), "-",""))</f>
        <v/>
      </c>
      <c r="L142" s="3" t="str">
        <f xml:space="preserve"> IF(K142="","",  IFERROR(VLOOKUP(I142,Resources!$B$1:$H$1503,5,FALSE)-LEN(K142),0))</f>
        <v/>
      </c>
      <c r="M142" s="3" t="str">
        <f>IF(K142="","",IFERROR(matches(K142,VLOOKUP(I142,Resources!$A$2:$AA$1503,16,FALSE)),FALSE))</f>
        <v/>
      </c>
      <c r="N142" s="3" t="e">
        <f>VLOOKUP(E142,Enviroments!$A$3:$D$59,1,FALSE)</f>
        <v>#N/A</v>
      </c>
      <c r="O142" s="3" t="e">
        <f>VLOOKUP(E142,Enviroments!$A$3:$D$59,2,FALSE)</f>
        <v>#N/A</v>
      </c>
      <c r="P142" s="3" t="e">
        <f>VLOOKUP(E142,Enviroments!$A$3:$D$59,3,FALSE)</f>
        <v>#N/A</v>
      </c>
      <c r="Q142" s="3" t="e">
        <f>VLOOKUP(E142,Enviroments!$A$3:$D$59,4,FALSE)</f>
        <v>#N/A</v>
      </c>
      <c r="R142" s="3" t="e">
        <f>VLOOKUP(H142,AzureRegions!$A$4:$B$1493,1,FALSE)</f>
        <v>#N/A</v>
      </c>
      <c r="S142" s="3" t="e">
        <f>VLOOKUP(H142,AzureRegions!$A$4:$B$1493,2,FALSE)</f>
        <v>#N/A</v>
      </c>
      <c r="T142" s="3" t="e">
        <f>VLOOKUP(H142,AzureRegions!$A$4:$C$1493,3,FALSE)</f>
        <v>#N/A</v>
      </c>
      <c r="U142" s="3" t="e">
        <f>VLOOKUP(I142,Resources!$A$2:$AA$1503,2,FALSE)</f>
        <v>#N/A</v>
      </c>
      <c r="V142" s="3" t="e">
        <f>VLOOKUP(I142,Resources!$A$2:$H$1503,6,FALSE)</f>
        <v>#N/A</v>
      </c>
      <c r="W142" s="3" t="str">
        <f>VLOOKUP($H$2,Casing!$A$4:$A$60,1,FALSE)</f>
        <v>Lower</v>
      </c>
      <c r="X142" s="14" t="str">
        <f t="shared" si="5"/>
        <v>001</v>
      </c>
      <c r="Y142" s="3" t="str">
        <f>IFERROR(VLOOKUP(F142,Func!$A$4:$G$1500,2,FALSE),"none")</f>
        <v>none</v>
      </c>
      <c r="Z142" s="3" t="e">
        <f>VLOOKUP(I142,Resources!$A$2:$AA$1503,18,FALSE)</f>
        <v>#N/A</v>
      </c>
      <c r="AA142" s="3" t="str">
        <f>IFERROR(VLOOKUP(B142,Orgs!$A$4:$G$1500,2,FALSE),"none")</f>
        <v>none</v>
      </c>
      <c r="AB142" s="3" t="str">
        <f>IFERROR(VLOOKUP(C142,UnitsDepts!$A$4:$G$1500,2,FALSE),"none")</f>
        <v>none</v>
      </c>
      <c r="AC142" s="3" t="str">
        <f>IFERROR(VLOOKUP(D142,ProjAppSvc!$A$4:$G$1500,2,FALSE),"none")</f>
        <v>none</v>
      </c>
    </row>
    <row r="143" spans="1:29" x14ac:dyDescent="0.45">
      <c r="A143" s="14" t="s">
        <v>23</v>
      </c>
      <c r="B143" s="14"/>
      <c r="C143" s="14"/>
      <c r="D143" s="14"/>
      <c r="H143" s="8"/>
      <c r="I143" s="3"/>
      <c r="J143" s="3" t="str">
        <f t="shared" si="6"/>
        <v/>
      </c>
      <c r="K143" s="3" t="str">
        <f>IF(ISNUMBER(SEARCH("-",V143)),IFERROR(IF($H$2="Lower", LOWER(ComputeResourceName(Z143,#REF!,#REF!,G143,N143,O143,P143,Q143,S143,T143,V143,A143)), UPPER(ComputeResourceName(Z143,#REF!,#REF!,G143,N143,O143,P143,Q143,S143,T143,V143,A143))),""),SUBSTITUTE(IFERROR(IF($H$2="Lower", LOWER(ComputeResourceName(#REF!,#REF!,#REF!,G143,N143,O143,P143,Q143,S143,T143,V143,A143)), UPPER(ComputeResourceName(#REF!,#REF!,#REF!,G143,N143,O143,P143,Q143,S143,T143,V143,A143))),""), "-",""))</f>
        <v/>
      </c>
      <c r="L143" s="3" t="str">
        <f xml:space="preserve"> IF(K143="","",  IFERROR(VLOOKUP(I143,Resources!$B$1:$H$1503,5,FALSE)-LEN(K143),0))</f>
        <v/>
      </c>
      <c r="M143" s="3" t="str">
        <f>IF(K143="","",IFERROR(matches(K143,VLOOKUP(I143,Resources!$A$2:$AA$1503,16,FALSE)),FALSE))</f>
        <v/>
      </c>
      <c r="N143" s="3" t="e">
        <f>VLOOKUP(E143,Enviroments!$A$3:$D$59,1,FALSE)</f>
        <v>#N/A</v>
      </c>
      <c r="O143" s="3" t="e">
        <f>VLOOKUP(E143,Enviroments!$A$3:$D$59,2,FALSE)</f>
        <v>#N/A</v>
      </c>
      <c r="P143" s="3" t="e">
        <f>VLOOKUP(E143,Enviroments!$A$3:$D$59,3,FALSE)</f>
        <v>#N/A</v>
      </c>
      <c r="Q143" s="3" t="e">
        <f>VLOOKUP(E143,Enviroments!$A$3:$D$59,4,FALSE)</f>
        <v>#N/A</v>
      </c>
      <c r="R143" s="3" t="e">
        <f>VLOOKUP(H143,AzureRegions!$A$4:$B$1493,1,FALSE)</f>
        <v>#N/A</v>
      </c>
      <c r="S143" s="3" t="e">
        <f>VLOOKUP(H143,AzureRegions!$A$4:$B$1493,2,FALSE)</f>
        <v>#N/A</v>
      </c>
      <c r="T143" s="3" t="e">
        <f>VLOOKUP(H143,AzureRegions!$A$4:$C$1493,3,FALSE)</f>
        <v>#N/A</v>
      </c>
      <c r="U143" s="3" t="e">
        <f>VLOOKUP(I143,Resources!$A$2:$AA$1503,2,FALSE)</f>
        <v>#N/A</v>
      </c>
      <c r="V143" s="3" t="e">
        <f>VLOOKUP(I143,Resources!$A$2:$H$1503,6,FALSE)</f>
        <v>#N/A</v>
      </c>
      <c r="W143" s="3" t="str">
        <f>VLOOKUP($H$2,Casing!$A$4:$A$60,1,FALSE)</f>
        <v>Lower</v>
      </c>
      <c r="X143" s="14" t="str">
        <f t="shared" si="5"/>
        <v>001</v>
      </c>
      <c r="Y143" s="3" t="str">
        <f>IFERROR(VLOOKUP(F143,Func!$A$4:$G$1500,2,FALSE),"none")</f>
        <v>none</v>
      </c>
      <c r="Z143" s="3" t="e">
        <f>VLOOKUP(I143,Resources!$A$2:$AA$1503,18,FALSE)</f>
        <v>#N/A</v>
      </c>
      <c r="AA143" s="3" t="str">
        <f>IFERROR(VLOOKUP(B143,Orgs!$A$4:$G$1500,2,FALSE),"none")</f>
        <v>none</v>
      </c>
      <c r="AB143" s="3" t="str">
        <f>IFERROR(VLOOKUP(C143,UnitsDepts!$A$4:$G$1500,2,FALSE),"none")</f>
        <v>none</v>
      </c>
      <c r="AC143" s="3" t="str">
        <f>IFERROR(VLOOKUP(D143,ProjAppSvc!$A$4:$G$1500,2,FALSE),"none")</f>
        <v>none</v>
      </c>
    </row>
    <row r="144" spans="1:29" x14ac:dyDescent="0.45">
      <c r="A144" s="14" t="s">
        <v>23</v>
      </c>
      <c r="B144" s="14"/>
      <c r="C144" s="14"/>
      <c r="D144" s="14"/>
      <c r="H144" s="8"/>
      <c r="I144" s="3"/>
      <c r="J144" s="3" t="str">
        <f t="shared" si="6"/>
        <v/>
      </c>
      <c r="K144" s="3" t="str">
        <f>IF(ISNUMBER(SEARCH("-",V144)),IFERROR(IF($H$2="Lower", LOWER(ComputeResourceName(Z144,#REF!,#REF!,G144,N144,O144,P144,Q144,S144,T144,V144,A144)), UPPER(ComputeResourceName(Z144,#REF!,#REF!,G144,N144,O144,P144,Q144,S144,T144,V144,A144))),""),SUBSTITUTE(IFERROR(IF($H$2="Lower", LOWER(ComputeResourceName(#REF!,#REF!,#REF!,G144,N144,O144,P144,Q144,S144,T144,V144,A144)), UPPER(ComputeResourceName(#REF!,#REF!,#REF!,G144,N144,O144,P144,Q144,S144,T144,V144,A144))),""), "-",""))</f>
        <v/>
      </c>
      <c r="L144" s="3" t="str">
        <f xml:space="preserve"> IF(K144="","",  IFERROR(VLOOKUP(I144,Resources!$B$1:$H$1503,5,FALSE)-LEN(K144),0))</f>
        <v/>
      </c>
      <c r="M144" s="3" t="str">
        <f>IF(K144="","",IFERROR(matches(K144,VLOOKUP(I144,Resources!$A$2:$AA$1503,16,FALSE)),FALSE))</f>
        <v/>
      </c>
      <c r="N144" s="3" t="e">
        <f>VLOOKUP(E144,Enviroments!$A$3:$D$59,1,FALSE)</f>
        <v>#N/A</v>
      </c>
      <c r="O144" s="3" t="e">
        <f>VLOOKUP(E144,Enviroments!$A$3:$D$59,2,FALSE)</f>
        <v>#N/A</v>
      </c>
      <c r="P144" s="3" t="e">
        <f>VLOOKUP(E144,Enviroments!$A$3:$D$59,3,FALSE)</f>
        <v>#N/A</v>
      </c>
      <c r="Q144" s="3" t="e">
        <f>VLOOKUP(E144,Enviroments!$A$3:$D$59,4,FALSE)</f>
        <v>#N/A</v>
      </c>
      <c r="R144" s="3" t="e">
        <f>VLOOKUP(H144,AzureRegions!$A$4:$B$1493,1,FALSE)</f>
        <v>#N/A</v>
      </c>
      <c r="S144" s="3" t="e">
        <f>VLOOKUP(H144,AzureRegions!$A$4:$B$1493,2,FALSE)</f>
        <v>#N/A</v>
      </c>
      <c r="T144" s="3" t="e">
        <f>VLOOKUP(H144,AzureRegions!$A$4:$C$1493,3,FALSE)</f>
        <v>#N/A</v>
      </c>
      <c r="U144" s="3" t="e">
        <f>VLOOKUP(I144,Resources!$A$2:$AA$1503,2,FALSE)</f>
        <v>#N/A</v>
      </c>
      <c r="V144" s="3" t="e">
        <f>VLOOKUP(I144,Resources!$A$2:$H$1503,6,FALSE)</f>
        <v>#N/A</v>
      </c>
      <c r="W144" s="3" t="str">
        <f>VLOOKUP($H$2,Casing!$A$4:$A$60,1,FALSE)</f>
        <v>Lower</v>
      </c>
      <c r="X144" s="14" t="str">
        <f t="shared" si="5"/>
        <v>001</v>
      </c>
      <c r="Y144" s="3" t="str">
        <f>IFERROR(VLOOKUP(F144,Func!$A$4:$G$1500,2,FALSE),"none")</f>
        <v>none</v>
      </c>
      <c r="Z144" s="3" t="e">
        <f>VLOOKUP(I144,Resources!$A$2:$AA$1503,18,FALSE)</f>
        <v>#N/A</v>
      </c>
      <c r="AA144" s="3" t="str">
        <f>IFERROR(VLOOKUP(B144,Orgs!$A$4:$G$1500,2,FALSE),"none")</f>
        <v>none</v>
      </c>
      <c r="AB144" s="3" t="str">
        <f>IFERROR(VLOOKUP(C144,UnitsDepts!$A$4:$G$1500,2,FALSE),"none")</f>
        <v>none</v>
      </c>
      <c r="AC144" s="3" t="str">
        <f>IFERROR(VLOOKUP(D144,ProjAppSvc!$A$4:$G$1500,2,FALSE),"none")</f>
        <v>none</v>
      </c>
    </row>
    <row r="145" spans="1:29" x14ac:dyDescent="0.45">
      <c r="A145" s="14" t="s">
        <v>23</v>
      </c>
      <c r="B145" s="14"/>
      <c r="C145" s="14"/>
      <c r="D145" s="14"/>
      <c r="H145" s="8"/>
      <c r="I145" s="3"/>
      <c r="J145" s="3" t="str">
        <f t="shared" si="6"/>
        <v/>
      </c>
      <c r="K145" s="3" t="str">
        <f>IF(ISNUMBER(SEARCH("-",V145)),IFERROR(IF($H$2="Lower", LOWER(ComputeResourceName(Z145,#REF!,#REF!,G145,N145,O145,P145,Q145,S145,T145,V145,A145)), UPPER(ComputeResourceName(Z145,#REF!,#REF!,G145,N145,O145,P145,Q145,S145,T145,V145,A145))),""),SUBSTITUTE(IFERROR(IF($H$2="Lower", LOWER(ComputeResourceName(#REF!,#REF!,#REF!,G145,N145,O145,P145,Q145,S145,T145,V145,A145)), UPPER(ComputeResourceName(#REF!,#REF!,#REF!,G145,N145,O145,P145,Q145,S145,T145,V145,A145))),""), "-",""))</f>
        <v/>
      </c>
      <c r="L145" s="3" t="str">
        <f xml:space="preserve"> IF(K145="","",  IFERROR(VLOOKUP(I145,Resources!$B$1:$H$1503,5,FALSE)-LEN(K145),0))</f>
        <v/>
      </c>
      <c r="M145" s="3" t="str">
        <f>IF(K145="","",IFERROR(matches(K145,VLOOKUP(I145,Resources!$A$2:$AA$1503,16,FALSE)),FALSE))</f>
        <v/>
      </c>
      <c r="N145" s="3" t="e">
        <f>VLOOKUP(E145,Enviroments!$A$3:$D$59,1,FALSE)</f>
        <v>#N/A</v>
      </c>
      <c r="O145" s="3" t="e">
        <f>VLOOKUP(E145,Enviroments!$A$3:$D$59,2,FALSE)</f>
        <v>#N/A</v>
      </c>
      <c r="P145" s="3" t="e">
        <f>VLOOKUP(E145,Enviroments!$A$3:$D$59,3,FALSE)</f>
        <v>#N/A</v>
      </c>
      <c r="Q145" s="3" t="e">
        <f>VLOOKUP(E145,Enviroments!$A$3:$D$59,4,FALSE)</f>
        <v>#N/A</v>
      </c>
      <c r="R145" s="3" t="e">
        <f>VLOOKUP(H145,AzureRegions!$A$4:$B$1493,1,FALSE)</f>
        <v>#N/A</v>
      </c>
      <c r="S145" s="3" t="e">
        <f>VLOOKUP(H145,AzureRegions!$A$4:$B$1493,2,FALSE)</f>
        <v>#N/A</v>
      </c>
      <c r="T145" s="3" t="e">
        <f>VLOOKUP(H145,AzureRegions!$A$4:$C$1493,3,FALSE)</f>
        <v>#N/A</v>
      </c>
      <c r="U145" s="3" t="e">
        <f>VLOOKUP(I145,Resources!$A$2:$AA$1503,2,FALSE)</f>
        <v>#N/A</v>
      </c>
      <c r="V145" s="3" t="e">
        <f>VLOOKUP(I145,Resources!$A$2:$H$1503,6,FALSE)</f>
        <v>#N/A</v>
      </c>
      <c r="W145" s="3" t="str">
        <f>VLOOKUP($H$2,Casing!$A$4:$A$60,1,FALSE)</f>
        <v>Lower</v>
      </c>
      <c r="X145" s="14" t="str">
        <f t="shared" si="5"/>
        <v>001</v>
      </c>
      <c r="Y145" s="3" t="str">
        <f>IFERROR(VLOOKUP(F145,Func!$A$4:$G$1500,2,FALSE),"none")</f>
        <v>none</v>
      </c>
      <c r="Z145" s="3" t="e">
        <f>VLOOKUP(I145,Resources!$A$2:$AA$1503,18,FALSE)</f>
        <v>#N/A</v>
      </c>
      <c r="AA145" s="3" t="str">
        <f>IFERROR(VLOOKUP(B145,Orgs!$A$4:$G$1500,2,FALSE),"none")</f>
        <v>none</v>
      </c>
      <c r="AB145" s="3" t="str">
        <f>IFERROR(VLOOKUP(C145,UnitsDepts!$A$4:$G$1500,2,FALSE),"none")</f>
        <v>none</v>
      </c>
      <c r="AC145" s="3" t="str">
        <f>IFERROR(VLOOKUP(D145,ProjAppSvc!$A$4:$G$1500,2,FALSE),"none")</f>
        <v>none</v>
      </c>
    </row>
    <row r="146" spans="1:29" x14ac:dyDescent="0.45">
      <c r="A146" s="14" t="s">
        <v>23</v>
      </c>
      <c r="B146" s="14"/>
      <c r="C146" s="14"/>
      <c r="D146" s="14"/>
      <c r="H146" s="8"/>
      <c r="I146" s="3"/>
      <c r="J146" s="3" t="str">
        <f t="shared" si="6"/>
        <v/>
      </c>
      <c r="K146" s="3" t="str">
        <f>IF(ISNUMBER(SEARCH("-",V146)),IFERROR(IF($H$2="Lower", LOWER(ComputeResourceName(Z146,#REF!,#REF!,G146,N146,O146,P146,Q146,S146,T146,V146,A146)), UPPER(ComputeResourceName(Z146,#REF!,#REF!,G146,N146,O146,P146,Q146,S146,T146,V146,A146))),""),SUBSTITUTE(IFERROR(IF($H$2="Lower", LOWER(ComputeResourceName(#REF!,#REF!,#REF!,G146,N146,O146,P146,Q146,S146,T146,V146,A146)), UPPER(ComputeResourceName(#REF!,#REF!,#REF!,G146,N146,O146,P146,Q146,S146,T146,V146,A146))),""), "-",""))</f>
        <v/>
      </c>
      <c r="L146" s="3" t="str">
        <f xml:space="preserve"> IF(K146="","",  IFERROR(VLOOKUP(I146,Resources!$B$1:$H$1503,5,FALSE)-LEN(K146),0))</f>
        <v/>
      </c>
      <c r="M146" s="3" t="str">
        <f>IF(K146="","",IFERROR(matches(K146,VLOOKUP(I146,Resources!$A$2:$AA$1503,16,FALSE)),FALSE))</f>
        <v/>
      </c>
      <c r="N146" s="3" t="e">
        <f>VLOOKUP(E146,Enviroments!$A$3:$D$59,1,FALSE)</f>
        <v>#N/A</v>
      </c>
      <c r="O146" s="3" t="e">
        <f>VLOOKUP(E146,Enviroments!$A$3:$D$59,2,FALSE)</f>
        <v>#N/A</v>
      </c>
      <c r="P146" s="3" t="e">
        <f>VLOOKUP(E146,Enviroments!$A$3:$D$59,3,FALSE)</f>
        <v>#N/A</v>
      </c>
      <c r="Q146" s="3" t="e">
        <f>VLOOKUP(E146,Enviroments!$A$3:$D$59,4,FALSE)</f>
        <v>#N/A</v>
      </c>
      <c r="R146" s="3" t="e">
        <f>VLOOKUP(H146,AzureRegions!$A$4:$B$1493,1,FALSE)</f>
        <v>#N/A</v>
      </c>
      <c r="S146" s="3" t="e">
        <f>VLOOKUP(H146,AzureRegions!$A$4:$B$1493,2,FALSE)</f>
        <v>#N/A</v>
      </c>
      <c r="T146" s="3" t="e">
        <f>VLOOKUP(H146,AzureRegions!$A$4:$C$1493,3,FALSE)</f>
        <v>#N/A</v>
      </c>
      <c r="U146" s="3" t="e">
        <f>VLOOKUP(I146,Resources!$A$2:$AA$1503,2,FALSE)</f>
        <v>#N/A</v>
      </c>
      <c r="V146" s="3" t="e">
        <f>VLOOKUP(I146,Resources!$A$2:$H$1503,6,FALSE)</f>
        <v>#N/A</v>
      </c>
      <c r="W146" s="3" t="str">
        <f>VLOOKUP($H$2,Casing!$A$4:$A$60,1,FALSE)</f>
        <v>Lower</v>
      </c>
      <c r="X146" s="14" t="str">
        <f t="shared" si="5"/>
        <v>001</v>
      </c>
      <c r="Y146" s="3" t="str">
        <f>IFERROR(VLOOKUP(F146,Func!$A$4:$G$1500,2,FALSE),"none")</f>
        <v>none</v>
      </c>
      <c r="Z146" s="3" t="e">
        <f>VLOOKUP(I146,Resources!$A$2:$AA$1503,18,FALSE)</f>
        <v>#N/A</v>
      </c>
      <c r="AA146" s="3" t="str">
        <f>IFERROR(VLOOKUP(B146,Orgs!$A$4:$G$1500,2,FALSE),"none")</f>
        <v>none</v>
      </c>
      <c r="AB146" s="3" t="str">
        <f>IFERROR(VLOOKUP(C146,UnitsDepts!$A$4:$G$1500,2,FALSE),"none")</f>
        <v>none</v>
      </c>
      <c r="AC146" s="3" t="str">
        <f>IFERROR(VLOOKUP(D146,ProjAppSvc!$A$4:$G$1500,2,FALSE),"none")</f>
        <v>none</v>
      </c>
    </row>
    <row r="147" spans="1:29" x14ac:dyDescent="0.45">
      <c r="A147" s="14" t="s">
        <v>23</v>
      </c>
      <c r="B147" s="14"/>
      <c r="C147" s="14"/>
      <c r="D147" s="14"/>
      <c r="H147" s="8"/>
      <c r="I147" s="3"/>
      <c r="J147" s="3" t="str">
        <f t="shared" si="6"/>
        <v/>
      </c>
      <c r="K147" s="3" t="str">
        <f>IF(ISNUMBER(SEARCH("-",V147)),IFERROR(IF($H$2="Lower", LOWER(ComputeResourceName(Z147,#REF!,#REF!,G147,N147,O147,P147,Q147,S147,T147,V147,A147)), UPPER(ComputeResourceName(Z147,#REF!,#REF!,G147,N147,O147,P147,Q147,S147,T147,V147,A147))),""),SUBSTITUTE(IFERROR(IF($H$2="Lower", LOWER(ComputeResourceName(#REF!,#REF!,#REF!,G147,N147,O147,P147,Q147,S147,T147,V147,A147)), UPPER(ComputeResourceName(#REF!,#REF!,#REF!,G147,N147,O147,P147,Q147,S147,T147,V147,A147))),""), "-",""))</f>
        <v/>
      </c>
      <c r="L147" s="3" t="str">
        <f xml:space="preserve"> IF(K147="","",  IFERROR(VLOOKUP(I147,Resources!$B$1:$H$1503,5,FALSE)-LEN(K147),0))</f>
        <v/>
      </c>
      <c r="M147" s="3" t="str">
        <f>IF(K147="","",IFERROR(matches(K147,VLOOKUP(I147,Resources!$A$2:$AA$1503,16,FALSE)),FALSE))</f>
        <v/>
      </c>
      <c r="N147" s="3" t="e">
        <f>VLOOKUP(E147,Enviroments!$A$3:$D$59,1,FALSE)</f>
        <v>#N/A</v>
      </c>
      <c r="O147" s="3" t="e">
        <f>VLOOKUP(E147,Enviroments!$A$3:$D$59,2,FALSE)</f>
        <v>#N/A</v>
      </c>
      <c r="P147" s="3" t="e">
        <f>VLOOKUP(E147,Enviroments!$A$3:$D$59,3,FALSE)</f>
        <v>#N/A</v>
      </c>
      <c r="Q147" s="3" t="e">
        <f>VLOOKUP(E147,Enviroments!$A$3:$D$59,4,FALSE)</f>
        <v>#N/A</v>
      </c>
      <c r="R147" s="3" t="e">
        <f>VLOOKUP(H147,AzureRegions!$A$4:$B$1493,1,FALSE)</f>
        <v>#N/A</v>
      </c>
      <c r="S147" s="3" t="e">
        <f>VLOOKUP(H147,AzureRegions!$A$4:$B$1493,2,FALSE)</f>
        <v>#N/A</v>
      </c>
      <c r="T147" s="3" t="e">
        <f>VLOOKUP(H147,AzureRegions!$A$4:$C$1493,3,FALSE)</f>
        <v>#N/A</v>
      </c>
      <c r="U147" s="3" t="e">
        <f>VLOOKUP(I147,Resources!$A$2:$AA$1503,2,FALSE)</f>
        <v>#N/A</v>
      </c>
      <c r="V147" s="3" t="e">
        <f>VLOOKUP(I147,Resources!$A$2:$H$1503,6,FALSE)</f>
        <v>#N/A</v>
      </c>
      <c r="W147" s="3" t="str">
        <f>VLOOKUP($H$2,Casing!$A$4:$A$60,1,FALSE)</f>
        <v>Lower</v>
      </c>
      <c r="X147" s="14" t="str">
        <f t="shared" si="5"/>
        <v>001</v>
      </c>
      <c r="Y147" s="3" t="str">
        <f>IFERROR(VLOOKUP(F147,Func!$A$4:$G$1500,2,FALSE),"none")</f>
        <v>none</v>
      </c>
      <c r="Z147" s="3" t="e">
        <f>VLOOKUP(I147,Resources!$A$2:$AA$1503,18,FALSE)</f>
        <v>#N/A</v>
      </c>
      <c r="AA147" s="3" t="str">
        <f>IFERROR(VLOOKUP(B147,Orgs!$A$4:$G$1500,2,FALSE),"none")</f>
        <v>none</v>
      </c>
      <c r="AB147" s="3" t="str">
        <f>IFERROR(VLOOKUP(C147,UnitsDepts!$A$4:$G$1500,2,FALSE),"none")</f>
        <v>none</v>
      </c>
      <c r="AC147" s="3" t="str">
        <f>IFERROR(VLOOKUP(D147,ProjAppSvc!$A$4:$G$1500,2,FALSE),"none")</f>
        <v>none</v>
      </c>
    </row>
    <row r="148" spans="1:29" x14ac:dyDescent="0.45">
      <c r="A148" s="14" t="s">
        <v>23</v>
      </c>
      <c r="B148" s="14"/>
      <c r="C148" s="14"/>
      <c r="D148" s="14"/>
      <c r="H148" s="8"/>
      <c r="I148" s="3"/>
      <c r="J148" s="3" t="str">
        <f t="shared" si="6"/>
        <v/>
      </c>
      <c r="K148" s="3" t="str">
        <f>IF(ISNUMBER(SEARCH("-",V148)),IFERROR(IF($H$2="Lower", LOWER(ComputeResourceName(Z148,#REF!,#REF!,G148,N148,O148,P148,Q148,S148,T148,V148,A148)), UPPER(ComputeResourceName(Z148,#REF!,#REF!,G148,N148,O148,P148,Q148,S148,T148,V148,A148))),""),SUBSTITUTE(IFERROR(IF($H$2="Lower", LOWER(ComputeResourceName(#REF!,#REF!,#REF!,G148,N148,O148,P148,Q148,S148,T148,V148,A148)), UPPER(ComputeResourceName(#REF!,#REF!,#REF!,G148,N148,O148,P148,Q148,S148,T148,V148,A148))),""), "-",""))</f>
        <v/>
      </c>
      <c r="L148" s="3" t="str">
        <f xml:space="preserve"> IF(K148="","",  IFERROR(VLOOKUP(I148,Resources!$B$1:$H$1503,5,FALSE)-LEN(K148),0))</f>
        <v/>
      </c>
      <c r="M148" s="3" t="str">
        <f>IF(K148="","",IFERROR(matches(K148,VLOOKUP(I148,Resources!$A$2:$AA$1503,16,FALSE)),FALSE))</f>
        <v/>
      </c>
      <c r="N148" s="3" t="e">
        <f>VLOOKUP(E148,Enviroments!$A$3:$D$59,1,FALSE)</f>
        <v>#N/A</v>
      </c>
      <c r="O148" s="3" t="e">
        <f>VLOOKUP(E148,Enviroments!$A$3:$D$59,2,FALSE)</f>
        <v>#N/A</v>
      </c>
      <c r="P148" s="3" t="e">
        <f>VLOOKUP(E148,Enviroments!$A$3:$D$59,3,FALSE)</f>
        <v>#N/A</v>
      </c>
      <c r="Q148" s="3" t="e">
        <f>VLOOKUP(E148,Enviroments!$A$3:$D$59,4,FALSE)</f>
        <v>#N/A</v>
      </c>
      <c r="R148" s="3" t="e">
        <f>VLOOKUP(H148,AzureRegions!$A$4:$B$1493,1,FALSE)</f>
        <v>#N/A</v>
      </c>
      <c r="S148" s="3" t="e">
        <f>VLOOKUP(H148,AzureRegions!$A$4:$B$1493,2,FALSE)</f>
        <v>#N/A</v>
      </c>
      <c r="T148" s="3" t="e">
        <f>VLOOKUP(H148,AzureRegions!$A$4:$C$1493,3,FALSE)</f>
        <v>#N/A</v>
      </c>
      <c r="U148" s="3" t="e">
        <f>VLOOKUP(I148,Resources!$A$2:$AA$1503,2,FALSE)</f>
        <v>#N/A</v>
      </c>
      <c r="V148" s="3" t="e">
        <f>VLOOKUP(I148,Resources!$A$2:$H$1503,6,FALSE)</f>
        <v>#N/A</v>
      </c>
      <c r="W148" s="3" t="str">
        <f>VLOOKUP($H$2,Casing!$A$4:$A$60,1,FALSE)</f>
        <v>Lower</v>
      </c>
      <c r="X148" s="14" t="str">
        <f t="shared" si="5"/>
        <v>001</v>
      </c>
      <c r="Y148" s="3" t="str">
        <f>IFERROR(VLOOKUP(F148,Func!$A$4:$G$1500,2,FALSE),"none")</f>
        <v>none</v>
      </c>
      <c r="Z148" s="3" t="e">
        <f>VLOOKUP(I148,Resources!$A$2:$AA$1503,18,FALSE)</f>
        <v>#N/A</v>
      </c>
      <c r="AA148" s="3" t="str">
        <f>IFERROR(VLOOKUP(B148,Orgs!$A$4:$G$1500,2,FALSE),"none")</f>
        <v>none</v>
      </c>
      <c r="AB148" s="3" t="str">
        <f>IFERROR(VLOOKUP(C148,UnitsDepts!$A$4:$G$1500,2,FALSE),"none")</f>
        <v>none</v>
      </c>
      <c r="AC148" s="3" t="str">
        <f>IFERROR(VLOOKUP(D148,ProjAppSvc!$A$4:$G$1500,2,FALSE),"none")</f>
        <v>none</v>
      </c>
    </row>
    <row r="149" spans="1:29" x14ac:dyDescent="0.45">
      <c r="A149" s="14" t="s">
        <v>23</v>
      </c>
      <c r="B149" s="14"/>
      <c r="C149" s="14"/>
      <c r="D149" s="14"/>
      <c r="H149" s="8"/>
      <c r="I149" s="3"/>
      <c r="J149" s="3" t="str">
        <f t="shared" si="6"/>
        <v/>
      </c>
      <c r="K149" s="3" t="str">
        <f>IF(ISNUMBER(SEARCH("-",V149)),IFERROR(IF($H$2="Lower", LOWER(ComputeResourceName(Z149,#REF!,#REF!,G149,N149,O149,P149,Q149,S149,T149,V149,A149)), UPPER(ComputeResourceName(Z149,#REF!,#REF!,G149,N149,O149,P149,Q149,S149,T149,V149,A149))),""),SUBSTITUTE(IFERROR(IF($H$2="Lower", LOWER(ComputeResourceName(#REF!,#REF!,#REF!,G149,N149,O149,P149,Q149,S149,T149,V149,A149)), UPPER(ComputeResourceName(#REF!,#REF!,#REF!,G149,N149,O149,P149,Q149,S149,T149,V149,A149))),""), "-",""))</f>
        <v/>
      </c>
      <c r="L149" s="3" t="str">
        <f xml:space="preserve"> IF(K149="","",  IFERROR(VLOOKUP(I149,Resources!$B$1:$H$1503,5,FALSE)-LEN(K149),0))</f>
        <v/>
      </c>
      <c r="M149" s="3" t="str">
        <f>IF(K149="","",IFERROR(matches(K149,VLOOKUP(I149,Resources!$A$2:$AA$1503,16,FALSE)),FALSE))</f>
        <v/>
      </c>
      <c r="N149" s="3" t="e">
        <f>VLOOKUP(E149,Enviroments!$A$3:$D$59,1,FALSE)</f>
        <v>#N/A</v>
      </c>
      <c r="O149" s="3" t="e">
        <f>VLOOKUP(E149,Enviroments!$A$3:$D$59,2,FALSE)</f>
        <v>#N/A</v>
      </c>
      <c r="P149" s="3" t="e">
        <f>VLOOKUP(E149,Enviroments!$A$3:$D$59,3,FALSE)</f>
        <v>#N/A</v>
      </c>
      <c r="Q149" s="3" t="e">
        <f>VLOOKUP(E149,Enviroments!$A$3:$D$59,4,FALSE)</f>
        <v>#N/A</v>
      </c>
      <c r="R149" s="3" t="e">
        <f>VLOOKUP(H149,AzureRegions!$A$4:$B$1493,1,FALSE)</f>
        <v>#N/A</v>
      </c>
      <c r="S149" s="3" t="e">
        <f>VLOOKUP(H149,AzureRegions!$A$4:$B$1493,2,FALSE)</f>
        <v>#N/A</v>
      </c>
      <c r="T149" s="3" t="e">
        <f>VLOOKUP(H149,AzureRegions!$A$4:$C$1493,3,FALSE)</f>
        <v>#N/A</v>
      </c>
      <c r="U149" s="3" t="e">
        <f>VLOOKUP(I149,Resources!$A$2:$AA$1503,2,FALSE)</f>
        <v>#N/A</v>
      </c>
      <c r="V149" s="3" t="e">
        <f>VLOOKUP(I149,Resources!$A$2:$H$1503,6,FALSE)</f>
        <v>#N/A</v>
      </c>
      <c r="W149" s="3" t="str">
        <f>VLOOKUP($H$2,Casing!$A$4:$A$60,1,FALSE)</f>
        <v>Lower</v>
      </c>
      <c r="X149" s="14" t="str">
        <f t="shared" si="5"/>
        <v>001</v>
      </c>
      <c r="Y149" s="3" t="str">
        <f>IFERROR(VLOOKUP(F149,Func!$A$4:$G$1500,2,FALSE),"none")</f>
        <v>none</v>
      </c>
      <c r="Z149" s="3" t="e">
        <f>VLOOKUP(I149,Resources!$A$2:$AA$1503,18,FALSE)</f>
        <v>#N/A</v>
      </c>
      <c r="AA149" s="3" t="str">
        <f>IFERROR(VLOOKUP(B149,Orgs!$A$4:$G$1500,2,FALSE),"none")</f>
        <v>none</v>
      </c>
      <c r="AB149" s="3" t="str">
        <f>IFERROR(VLOOKUP(C149,UnitsDepts!$A$4:$G$1500,2,FALSE),"none")</f>
        <v>none</v>
      </c>
      <c r="AC149" s="3" t="str">
        <f>IFERROR(VLOOKUP(D149,ProjAppSvc!$A$4:$G$1500,2,FALSE),"none")</f>
        <v>none</v>
      </c>
    </row>
    <row r="150" spans="1:29" x14ac:dyDescent="0.45">
      <c r="A150" s="14" t="s">
        <v>23</v>
      </c>
      <c r="B150" s="14"/>
      <c r="C150" s="14"/>
      <c r="D150" s="14"/>
      <c r="H150" s="8"/>
      <c r="I150" s="3"/>
      <c r="J150" s="3" t="str">
        <f t="shared" si="6"/>
        <v/>
      </c>
      <c r="K150" s="3" t="str">
        <f>IF(ISNUMBER(SEARCH("-",V150)),IFERROR(IF($H$2="Lower", LOWER(ComputeResourceName(Z150,#REF!,#REF!,G150,N150,O150,P150,Q150,S150,T150,V150,A150)), UPPER(ComputeResourceName(Z150,#REF!,#REF!,G150,N150,O150,P150,Q150,S150,T150,V150,A150))),""),SUBSTITUTE(IFERROR(IF($H$2="Lower", LOWER(ComputeResourceName(#REF!,#REF!,#REF!,G150,N150,O150,P150,Q150,S150,T150,V150,A150)), UPPER(ComputeResourceName(#REF!,#REF!,#REF!,G150,N150,O150,P150,Q150,S150,T150,V150,A150))),""), "-",""))</f>
        <v/>
      </c>
      <c r="L150" s="3" t="str">
        <f xml:space="preserve"> IF(K150="","",  IFERROR(VLOOKUP(I150,Resources!$B$1:$H$1503,5,FALSE)-LEN(K150),0))</f>
        <v/>
      </c>
      <c r="M150" s="3" t="str">
        <f>IF(K150="","",IFERROR(matches(K150,VLOOKUP(I150,Resources!$A$2:$AA$1503,16,FALSE)),FALSE))</f>
        <v/>
      </c>
      <c r="N150" s="3" t="e">
        <f>VLOOKUP(E150,Enviroments!$A$3:$D$59,1,FALSE)</f>
        <v>#N/A</v>
      </c>
      <c r="O150" s="3" t="e">
        <f>VLOOKUP(E150,Enviroments!$A$3:$D$59,2,FALSE)</f>
        <v>#N/A</v>
      </c>
      <c r="P150" s="3" t="e">
        <f>VLOOKUP(E150,Enviroments!$A$3:$D$59,3,FALSE)</f>
        <v>#N/A</v>
      </c>
      <c r="Q150" s="3" t="e">
        <f>VLOOKUP(E150,Enviroments!$A$3:$D$59,4,FALSE)</f>
        <v>#N/A</v>
      </c>
      <c r="R150" s="3" t="e">
        <f>VLOOKUP(H150,AzureRegions!$A$4:$B$1493,1,FALSE)</f>
        <v>#N/A</v>
      </c>
      <c r="S150" s="3" t="e">
        <f>VLOOKUP(H150,AzureRegions!$A$4:$B$1493,2,FALSE)</f>
        <v>#N/A</v>
      </c>
      <c r="T150" s="3" t="e">
        <f>VLOOKUP(H150,AzureRegions!$A$4:$C$1493,3,FALSE)</f>
        <v>#N/A</v>
      </c>
      <c r="U150" s="3" t="e">
        <f>VLOOKUP(I150,Resources!$A$2:$AA$1503,2,FALSE)</f>
        <v>#N/A</v>
      </c>
      <c r="V150" s="3" t="e">
        <f>VLOOKUP(I150,Resources!$A$2:$H$1503,6,FALSE)</f>
        <v>#N/A</v>
      </c>
      <c r="W150" s="3" t="str">
        <f>VLOOKUP($H$2,Casing!$A$4:$A$60,1,FALSE)</f>
        <v>Lower</v>
      </c>
      <c r="X150" s="14" t="str">
        <f t="shared" si="5"/>
        <v>001</v>
      </c>
      <c r="Y150" s="3" t="str">
        <f>IFERROR(VLOOKUP(F150,Func!$A$4:$G$1500,2,FALSE),"none")</f>
        <v>none</v>
      </c>
      <c r="Z150" s="3" t="e">
        <f>VLOOKUP(I150,Resources!$A$2:$AA$1503,18,FALSE)</f>
        <v>#N/A</v>
      </c>
      <c r="AA150" s="3" t="str">
        <f>IFERROR(VLOOKUP(B150,Orgs!$A$4:$G$1500,2,FALSE),"none")</f>
        <v>none</v>
      </c>
      <c r="AB150" s="3" t="str">
        <f>IFERROR(VLOOKUP(C150,UnitsDepts!$A$4:$G$1500,2,FALSE),"none")</f>
        <v>none</v>
      </c>
      <c r="AC150" s="3" t="str">
        <f>IFERROR(VLOOKUP(D150,ProjAppSvc!$A$4:$G$1500,2,FALSE),"none")</f>
        <v>none</v>
      </c>
    </row>
    <row r="151" spans="1:29" x14ac:dyDescent="0.45">
      <c r="A151" s="14" t="s">
        <v>23</v>
      </c>
      <c r="B151" s="14"/>
      <c r="C151" s="14"/>
      <c r="D151" s="14"/>
      <c r="H151" s="8"/>
      <c r="I151" s="3"/>
      <c r="J151" s="3" t="str">
        <f t="shared" si="6"/>
        <v/>
      </c>
      <c r="K151" s="3" t="str">
        <f>IF(ISNUMBER(SEARCH("-",V151)),IFERROR(IF($H$2="Lower", LOWER(ComputeResourceName(Z151,#REF!,#REF!,G151,N151,O151,P151,Q151,S151,T151,V151,A151)), UPPER(ComputeResourceName(Z151,#REF!,#REF!,G151,N151,O151,P151,Q151,S151,T151,V151,A151))),""),SUBSTITUTE(IFERROR(IF($H$2="Lower", LOWER(ComputeResourceName(#REF!,#REF!,#REF!,G151,N151,O151,P151,Q151,S151,T151,V151,A151)), UPPER(ComputeResourceName(#REF!,#REF!,#REF!,G151,N151,O151,P151,Q151,S151,T151,V151,A151))),""), "-",""))</f>
        <v/>
      </c>
      <c r="L151" s="3" t="str">
        <f xml:space="preserve"> IF(K151="","",  IFERROR(VLOOKUP(I151,Resources!$B$1:$H$1503,5,FALSE)-LEN(K151),0))</f>
        <v/>
      </c>
      <c r="M151" s="3" t="str">
        <f>IF(K151="","",IFERROR(matches(K151,VLOOKUP(I151,Resources!$A$2:$AA$1503,16,FALSE)),FALSE))</f>
        <v/>
      </c>
      <c r="N151" s="3" t="e">
        <f>VLOOKUP(E151,Enviroments!$A$3:$D$59,1,FALSE)</f>
        <v>#N/A</v>
      </c>
      <c r="O151" s="3" t="e">
        <f>VLOOKUP(E151,Enviroments!$A$3:$D$59,2,FALSE)</f>
        <v>#N/A</v>
      </c>
      <c r="P151" s="3" t="e">
        <f>VLOOKUP(E151,Enviroments!$A$3:$D$59,3,FALSE)</f>
        <v>#N/A</v>
      </c>
      <c r="Q151" s="3" t="e">
        <f>VLOOKUP(E151,Enviroments!$A$3:$D$59,4,FALSE)</f>
        <v>#N/A</v>
      </c>
      <c r="R151" s="3" t="e">
        <f>VLOOKUP(H151,AzureRegions!$A$4:$B$1493,1,FALSE)</f>
        <v>#N/A</v>
      </c>
      <c r="S151" s="3" t="e">
        <f>VLOOKUP(H151,AzureRegions!$A$4:$B$1493,2,FALSE)</f>
        <v>#N/A</v>
      </c>
      <c r="T151" s="3" t="e">
        <f>VLOOKUP(H151,AzureRegions!$A$4:$C$1493,3,FALSE)</f>
        <v>#N/A</v>
      </c>
      <c r="U151" s="3" t="e">
        <f>VLOOKUP(I151,Resources!$A$2:$AA$1503,2,FALSE)</f>
        <v>#N/A</v>
      </c>
      <c r="V151" s="3" t="e">
        <f>VLOOKUP(I151,Resources!$A$2:$H$1503,6,FALSE)</f>
        <v>#N/A</v>
      </c>
      <c r="W151" s="3" t="str">
        <f>VLOOKUP($H$2,Casing!$A$4:$A$60,1,FALSE)</f>
        <v>Lower</v>
      </c>
      <c r="X151" s="14" t="str">
        <f t="shared" si="5"/>
        <v>001</v>
      </c>
      <c r="Y151" s="3" t="str">
        <f>IFERROR(VLOOKUP(F151,Func!$A$4:$G$1500,2,FALSE),"none")</f>
        <v>none</v>
      </c>
      <c r="Z151" s="3" t="e">
        <f>VLOOKUP(I151,Resources!$A$2:$AA$1503,18,FALSE)</f>
        <v>#N/A</v>
      </c>
      <c r="AA151" s="3" t="str">
        <f>IFERROR(VLOOKUP(B151,Orgs!$A$4:$G$1500,2,FALSE),"none")</f>
        <v>none</v>
      </c>
      <c r="AB151" s="3" t="str">
        <f>IFERROR(VLOOKUP(C151,UnitsDepts!$A$4:$G$1500,2,FALSE),"none")</f>
        <v>none</v>
      </c>
      <c r="AC151" s="3" t="str">
        <f>IFERROR(VLOOKUP(D151,ProjAppSvc!$A$4:$G$1500,2,FALSE),"none")</f>
        <v>none</v>
      </c>
    </row>
    <row r="152" spans="1:29" x14ac:dyDescent="0.45">
      <c r="A152" s="14" t="s">
        <v>23</v>
      </c>
      <c r="B152" s="14"/>
      <c r="C152" s="14"/>
      <c r="D152" s="14"/>
      <c r="H152" s="8"/>
      <c r="I152" s="3"/>
      <c r="J152" s="3" t="str">
        <f t="shared" si="6"/>
        <v/>
      </c>
      <c r="K152" s="3" t="str">
        <f>IF(ISNUMBER(SEARCH("-",V152)),IFERROR(IF($H$2="Lower", LOWER(ComputeResourceName(Z152,#REF!,#REF!,G152,N152,O152,P152,Q152,S152,T152,V152,A152)), UPPER(ComputeResourceName(Z152,#REF!,#REF!,G152,N152,O152,P152,Q152,S152,T152,V152,A152))),""),SUBSTITUTE(IFERROR(IF($H$2="Lower", LOWER(ComputeResourceName(#REF!,#REF!,#REF!,G152,N152,O152,P152,Q152,S152,T152,V152,A152)), UPPER(ComputeResourceName(#REF!,#REF!,#REF!,G152,N152,O152,P152,Q152,S152,T152,V152,A152))),""), "-",""))</f>
        <v/>
      </c>
      <c r="L152" s="3" t="str">
        <f xml:space="preserve"> IF(K152="","",  IFERROR(VLOOKUP(I152,Resources!$B$1:$H$1503,5,FALSE)-LEN(K152),0))</f>
        <v/>
      </c>
      <c r="M152" s="3" t="str">
        <f>IF(K152="","",IFERROR(matches(K152,VLOOKUP(I152,Resources!$A$2:$AA$1503,16,FALSE)),FALSE))</f>
        <v/>
      </c>
      <c r="N152" s="3" t="e">
        <f>VLOOKUP(E152,Enviroments!$A$3:$D$59,1,FALSE)</f>
        <v>#N/A</v>
      </c>
      <c r="O152" s="3" t="e">
        <f>VLOOKUP(E152,Enviroments!$A$3:$D$59,2,FALSE)</f>
        <v>#N/A</v>
      </c>
      <c r="P152" s="3" t="e">
        <f>VLOOKUP(E152,Enviroments!$A$3:$D$59,3,FALSE)</f>
        <v>#N/A</v>
      </c>
      <c r="Q152" s="3" t="e">
        <f>VLOOKUP(E152,Enviroments!$A$3:$D$59,4,FALSE)</f>
        <v>#N/A</v>
      </c>
      <c r="R152" s="3" t="e">
        <f>VLOOKUP(H152,AzureRegions!$A$4:$B$1493,1,FALSE)</f>
        <v>#N/A</v>
      </c>
      <c r="S152" s="3" t="e">
        <f>VLOOKUP(H152,AzureRegions!$A$4:$B$1493,2,FALSE)</f>
        <v>#N/A</v>
      </c>
      <c r="T152" s="3" t="e">
        <f>VLOOKUP(H152,AzureRegions!$A$4:$C$1493,3,FALSE)</f>
        <v>#N/A</v>
      </c>
      <c r="U152" s="3" t="e">
        <f>VLOOKUP(I152,Resources!$A$2:$AA$1503,2,FALSE)</f>
        <v>#N/A</v>
      </c>
      <c r="V152" s="3" t="e">
        <f>VLOOKUP(I152,Resources!$A$2:$H$1503,6,FALSE)</f>
        <v>#N/A</v>
      </c>
      <c r="W152" s="3" t="str">
        <f>VLOOKUP($H$2,Casing!$A$4:$A$60,1,FALSE)</f>
        <v>Lower</v>
      </c>
      <c r="X152" s="14" t="str">
        <f t="shared" si="5"/>
        <v>001</v>
      </c>
      <c r="Y152" s="3" t="str">
        <f>IFERROR(VLOOKUP(F152,Func!$A$4:$G$1500,2,FALSE),"none")</f>
        <v>none</v>
      </c>
      <c r="Z152" s="3" t="e">
        <f>VLOOKUP(I152,Resources!$A$2:$AA$1503,18,FALSE)</f>
        <v>#N/A</v>
      </c>
      <c r="AA152" s="3" t="str">
        <f>IFERROR(VLOOKUP(B152,Orgs!$A$4:$G$1500,2,FALSE),"none")</f>
        <v>none</v>
      </c>
      <c r="AB152" s="3" t="str">
        <f>IFERROR(VLOOKUP(C152,UnitsDepts!$A$4:$G$1500,2,FALSE),"none")</f>
        <v>none</v>
      </c>
      <c r="AC152" s="3" t="str">
        <f>IFERROR(VLOOKUP(D152,ProjAppSvc!$A$4:$G$1500,2,FALSE),"none")</f>
        <v>none</v>
      </c>
    </row>
    <row r="153" spans="1:29" x14ac:dyDescent="0.45">
      <c r="A153" s="14" t="s">
        <v>23</v>
      </c>
      <c r="B153" s="14"/>
      <c r="C153" s="14"/>
      <c r="D153" s="14"/>
      <c r="H153" s="8"/>
      <c r="I153" s="3"/>
      <c r="J153" s="3" t="str">
        <f t="shared" si="6"/>
        <v/>
      </c>
      <c r="K153" s="3" t="str">
        <f>IF(ISNUMBER(SEARCH("-",V153)),IFERROR(IF($H$2="Lower", LOWER(ComputeResourceName(Z153,#REF!,#REF!,G153,N153,O153,P153,Q153,S153,T153,V153,A153)), UPPER(ComputeResourceName(Z153,#REF!,#REF!,G153,N153,O153,P153,Q153,S153,T153,V153,A153))),""),SUBSTITUTE(IFERROR(IF($H$2="Lower", LOWER(ComputeResourceName(#REF!,#REF!,#REF!,G153,N153,O153,P153,Q153,S153,T153,V153,A153)), UPPER(ComputeResourceName(#REF!,#REF!,#REF!,G153,N153,O153,P153,Q153,S153,T153,V153,A153))),""), "-",""))</f>
        <v/>
      </c>
      <c r="L153" s="3" t="str">
        <f xml:space="preserve"> IF(K153="","",  IFERROR(VLOOKUP(I153,Resources!$B$1:$H$1503,5,FALSE)-LEN(K153),0))</f>
        <v/>
      </c>
      <c r="M153" s="3" t="str">
        <f>IF(K153="","",IFERROR(matches(K153,VLOOKUP(I153,Resources!$A$2:$AA$1503,16,FALSE)),FALSE))</f>
        <v/>
      </c>
      <c r="N153" s="3" t="e">
        <f>VLOOKUP(E153,Enviroments!$A$3:$D$59,1,FALSE)</f>
        <v>#N/A</v>
      </c>
      <c r="O153" s="3" t="e">
        <f>VLOOKUP(E153,Enviroments!$A$3:$D$59,2,FALSE)</f>
        <v>#N/A</v>
      </c>
      <c r="P153" s="3" t="e">
        <f>VLOOKUP(E153,Enviroments!$A$3:$D$59,3,FALSE)</f>
        <v>#N/A</v>
      </c>
      <c r="Q153" s="3" t="e">
        <f>VLOOKUP(E153,Enviroments!$A$3:$D$59,4,FALSE)</f>
        <v>#N/A</v>
      </c>
      <c r="R153" s="3" t="e">
        <f>VLOOKUP(H153,AzureRegions!$A$4:$B$1493,1,FALSE)</f>
        <v>#N/A</v>
      </c>
      <c r="S153" s="3" t="e">
        <f>VLOOKUP(H153,AzureRegions!$A$4:$B$1493,2,FALSE)</f>
        <v>#N/A</v>
      </c>
      <c r="T153" s="3" t="e">
        <f>VLOOKUP(H153,AzureRegions!$A$4:$C$1493,3,FALSE)</f>
        <v>#N/A</v>
      </c>
      <c r="U153" s="3" t="e">
        <f>VLOOKUP(I153,Resources!$A$2:$AA$1503,2,FALSE)</f>
        <v>#N/A</v>
      </c>
      <c r="V153" s="3" t="e">
        <f>VLOOKUP(I153,Resources!$A$2:$H$1503,6,FALSE)</f>
        <v>#N/A</v>
      </c>
      <c r="W153" s="3" t="str">
        <f>VLOOKUP($H$2,Casing!$A$4:$A$60,1,FALSE)</f>
        <v>Lower</v>
      </c>
      <c r="X153" s="14" t="str">
        <f t="shared" si="5"/>
        <v>001</v>
      </c>
      <c r="Y153" s="3" t="str">
        <f>IFERROR(VLOOKUP(F153,Func!$A$4:$G$1500,2,FALSE),"none")</f>
        <v>none</v>
      </c>
      <c r="Z153" s="3" t="e">
        <f>VLOOKUP(I153,Resources!$A$2:$AA$1503,18,FALSE)</f>
        <v>#N/A</v>
      </c>
      <c r="AA153" s="3" t="str">
        <f>IFERROR(VLOOKUP(B153,Orgs!$A$4:$G$1500,2,FALSE),"none")</f>
        <v>none</v>
      </c>
      <c r="AB153" s="3" t="str">
        <f>IFERROR(VLOOKUP(C153,UnitsDepts!$A$4:$G$1500,2,FALSE),"none")</f>
        <v>none</v>
      </c>
      <c r="AC153" s="3" t="str">
        <f>IFERROR(VLOOKUP(D153,ProjAppSvc!$A$4:$G$1500,2,FALSE),"none")</f>
        <v>none</v>
      </c>
    </row>
    <row r="154" spans="1:29" x14ac:dyDescent="0.45">
      <c r="A154" s="14" t="s">
        <v>23</v>
      </c>
      <c r="B154" s="14"/>
      <c r="C154" s="14"/>
      <c r="D154" s="14"/>
      <c r="H154" s="8"/>
      <c r="I154" s="3"/>
      <c r="J154" s="3" t="str">
        <f t="shared" si="6"/>
        <v/>
      </c>
      <c r="K154" s="3" t="str">
        <f>IF(ISNUMBER(SEARCH("-",V154)),IFERROR(IF($H$2="Lower", LOWER(ComputeResourceName(Z154,#REF!,#REF!,G154,N154,O154,P154,Q154,S154,T154,V154,A154)), UPPER(ComputeResourceName(Z154,#REF!,#REF!,G154,N154,O154,P154,Q154,S154,T154,V154,A154))),""),SUBSTITUTE(IFERROR(IF($H$2="Lower", LOWER(ComputeResourceName(#REF!,#REF!,#REF!,G154,N154,O154,P154,Q154,S154,T154,V154,A154)), UPPER(ComputeResourceName(#REF!,#REF!,#REF!,G154,N154,O154,P154,Q154,S154,T154,V154,A154))),""), "-",""))</f>
        <v/>
      </c>
      <c r="L154" s="3" t="str">
        <f xml:space="preserve"> IF(K154="","",  IFERROR(VLOOKUP(I154,Resources!$B$1:$H$1503,5,FALSE)-LEN(K154),0))</f>
        <v/>
      </c>
      <c r="M154" s="3" t="str">
        <f>IF(K154="","",IFERROR(matches(K154,VLOOKUP(I154,Resources!$A$2:$AA$1503,16,FALSE)),FALSE))</f>
        <v/>
      </c>
      <c r="N154" s="3" t="e">
        <f>VLOOKUP(E154,Enviroments!$A$3:$D$59,1,FALSE)</f>
        <v>#N/A</v>
      </c>
      <c r="O154" s="3" t="e">
        <f>VLOOKUP(E154,Enviroments!$A$3:$D$59,2,FALSE)</f>
        <v>#N/A</v>
      </c>
      <c r="P154" s="3" t="e">
        <f>VLOOKUP(E154,Enviroments!$A$3:$D$59,3,FALSE)</f>
        <v>#N/A</v>
      </c>
      <c r="Q154" s="3" t="e">
        <f>VLOOKUP(E154,Enviroments!$A$3:$D$59,4,FALSE)</f>
        <v>#N/A</v>
      </c>
      <c r="R154" s="3" t="e">
        <f>VLOOKUP(H154,AzureRegions!$A$4:$B$1493,1,FALSE)</f>
        <v>#N/A</v>
      </c>
      <c r="S154" s="3" t="e">
        <f>VLOOKUP(H154,AzureRegions!$A$4:$B$1493,2,FALSE)</f>
        <v>#N/A</v>
      </c>
      <c r="T154" s="3" t="e">
        <f>VLOOKUP(H154,AzureRegions!$A$4:$C$1493,3,FALSE)</f>
        <v>#N/A</v>
      </c>
      <c r="U154" s="3" t="e">
        <f>VLOOKUP(I154,Resources!$A$2:$AA$1503,2,FALSE)</f>
        <v>#N/A</v>
      </c>
      <c r="V154" s="3" t="e">
        <f>VLOOKUP(I154,Resources!$A$2:$H$1503,6,FALSE)</f>
        <v>#N/A</v>
      </c>
      <c r="W154" s="3" t="str">
        <f>VLOOKUP($H$2,Casing!$A$4:$A$60,1,FALSE)</f>
        <v>Lower</v>
      </c>
      <c r="X154" s="14" t="str">
        <f t="shared" si="5"/>
        <v>001</v>
      </c>
      <c r="Y154" s="3" t="str">
        <f>IFERROR(VLOOKUP(F154,Func!$A$4:$G$1500,2,FALSE),"none")</f>
        <v>none</v>
      </c>
      <c r="Z154" s="3" t="e">
        <f>VLOOKUP(I154,Resources!$A$2:$AA$1503,18,FALSE)</f>
        <v>#N/A</v>
      </c>
      <c r="AA154" s="3" t="str">
        <f>IFERROR(VLOOKUP(B154,Orgs!$A$4:$G$1500,2,FALSE),"none")</f>
        <v>none</v>
      </c>
      <c r="AB154" s="3" t="str">
        <f>IFERROR(VLOOKUP(C154,UnitsDepts!$A$4:$G$1500,2,FALSE),"none")</f>
        <v>none</v>
      </c>
      <c r="AC154" s="3" t="str">
        <f>IFERROR(VLOOKUP(D154,ProjAppSvc!$A$4:$G$1500,2,FALSE),"none")</f>
        <v>none</v>
      </c>
    </row>
    <row r="155" spans="1:29" x14ac:dyDescent="0.45">
      <c r="A155" s="14" t="s">
        <v>23</v>
      </c>
      <c r="B155" s="14"/>
      <c r="C155" s="14"/>
      <c r="D155" s="14"/>
      <c r="H155" s="8"/>
      <c r="I155" s="3"/>
      <c r="J155" s="3" t="str">
        <f t="shared" si="6"/>
        <v/>
      </c>
      <c r="K155" s="3" t="str">
        <f>IF(ISNUMBER(SEARCH("-",V155)),IFERROR(IF($H$2="Lower", LOWER(ComputeResourceName(Z155,#REF!,#REF!,G155,N155,O155,P155,Q155,S155,T155,V155,A155)), UPPER(ComputeResourceName(Z155,#REF!,#REF!,G155,N155,O155,P155,Q155,S155,T155,V155,A155))),""),SUBSTITUTE(IFERROR(IF($H$2="Lower", LOWER(ComputeResourceName(#REF!,#REF!,#REF!,G155,N155,O155,P155,Q155,S155,T155,V155,A155)), UPPER(ComputeResourceName(#REF!,#REF!,#REF!,G155,N155,O155,P155,Q155,S155,T155,V155,A155))),""), "-",""))</f>
        <v/>
      </c>
      <c r="L155" s="3" t="str">
        <f xml:space="preserve"> IF(K155="","",  IFERROR(VLOOKUP(I155,Resources!$B$1:$H$1503,5,FALSE)-LEN(K155),0))</f>
        <v/>
      </c>
      <c r="M155" s="3" t="str">
        <f>IF(K155="","",IFERROR(matches(K155,VLOOKUP(I155,Resources!$A$2:$AA$1503,16,FALSE)),FALSE))</f>
        <v/>
      </c>
      <c r="N155" s="3" t="e">
        <f>VLOOKUP(E155,Enviroments!$A$3:$D$59,1,FALSE)</f>
        <v>#N/A</v>
      </c>
      <c r="O155" s="3" t="e">
        <f>VLOOKUP(E155,Enviroments!$A$3:$D$59,2,FALSE)</f>
        <v>#N/A</v>
      </c>
      <c r="P155" s="3" t="e">
        <f>VLOOKUP(E155,Enviroments!$A$3:$D$59,3,FALSE)</f>
        <v>#N/A</v>
      </c>
      <c r="Q155" s="3" t="e">
        <f>VLOOKUP(E155,Enviroments!$A$3:$D$59,4,FALSE)</f>
        <v>#N/A</v>
      </c>
      <c r="R155" s="3" t="e">
        <f>VLOOKUP(H155,AzureRegions!$A$4:$B$1493,1,FALSE)</f>
        <v>#N/A</v>
      </c>
      <c r="S155" s="3" t="e">
        <f>VLOOKUP(H155,AzureRegions!$A$4:$B$1493,2,FALSE)</f>
        <v>#N/A</v>
      </c>
      <c r="T155" s="3" t="e">
        <f>VLOOKUP(H155,AzureRegions!$A$4:$C$1493,3,FALSE)</f>
        <v>#N/A</v>
      </c>
      <c r="U155" s="3" t="e">
        <f>VLOOKUP(I155,Resources!$A$2:$AA$1503,2,FALSE)</f>
        <v>#N/A</v>
      </c>
      <c r="V155" s="3" t="e">
        <f>VLOOKUP(I155,Resources!$A$2:$H$1503,6,FALSE)</f>
        <v>#N/A</v>
      </c>
      <c r="W155" s="3" t="str">
        <f>VLOOKUP($H$2,Casing!$A$4:$A$60,1,FALSE)</f>
        <v>Lower</v>
      </c>
      <c r="X155" s="14" t="str">
        <f t="shared" si="5"/>
        <v>001</v>
      </c>
      <c r="Y155" s="3" t="str">
        <f>IFERROR(VLOOKUP(F155,Func!$A$4:$G$1500,2,FALSE),"none")</f>
        <v>none</v>
      </c>
      <c r="Z155" s="3" t="e">
        <f>VLOOKUP(I155,Resources!$A$2:$AA$1503,18,FALSE)</f>
        <v>#N/A</v>
      </c>
      <c r="AA155" s="3" t="str">
        <f>IFERROR(VLOOKUP(B155,Orgs!$A$4:$G$1500,2,FALSE),"none")</f>
        <v>none</v>
      </c>
      <c r="AB155" s="3" t="str">
        <f>IFERROR(VLOOKUP(C155,UnitsDepts!$A$4:$G$1500,2,FALSE),"none")</f>
        <v>none</v>
      </c>
      <c r="AC155" s="3" t="str">
        <f>IFERROR(VLOOKUP(D155,ProjAppSvc!$A$4:$G$1500,2,FALSE),"none")</f>
        <v>none</v>
      </c>
    </row>
    <row r="156" spans="1:29" x14ac:dyDescent="0.45">
      <c r="A156" s="14" t="s">
        <v>23</v>
      </c>
      <c r="B156" s="14"/>
      <c r="C156" s="14"/>
      <c r="D156" s="14"/>
      <c r="H156" s="8"/>
      <c r="I156" s="3"/>
      <c r="J156" s="3" t="str">
        <f t="shared" si="6"/>
        <v/>
      </c>
      <c r="K156" s="3" t="str">
        <f>IF(ISNUMBER(SEARCH("-",V156)),IFERROR(IF($H$2="Lower", LOWER(ComputeResourceName(Z156,#REF!,#REF!,G156,N156,O156,P156,Q156,S156,T156,V156,A156)), UPPER(ComputeResourceName(Z156,#REF!,#REF!,G156,N156,O156,P156,Q156,S156,T156,V156,A156))),""),SUBSTITUTE(IFERROR(IF($H$2="Lower", LOWER(ComputeResourceName(#REF!,#REF!,#REF!,G156,N156,O156,P156,Q156,S156,T156,V156,A156)), UPPER(ComputeResourceName(#REF!,#REF!,#REF!,G156,N156,O156,P156,Q156,S156,T156,V156,A156))),""), "-",""))</f>
        <v/>
      </c>
      <c r="L156" s="3" t="str">
        <f xml:space="preserve"> IF(K156="","",  IFERROR(VLOOKUP(I156,Resources!$B$1:$H$1503,5,FALSE)-LEN(K156),0))</f>
        <v/>
      </c>
      <c r="M156" s="3" t="str">
        <f>IF(K156="","",IFERROR(matches(K156,VLOOKUP(I156,Resources!$A$2:$AA$1503,16,FALSE)),FALSE))</f>
        <v/>
      </c>
      <c r="N156" s="3" t="e">
        <f>VLOOKUP(E156,Enviroments!$A$3:$D$59,1,FALSE)</f>
        <v>#N/A</v>
      </c>
      <c r="O156" s="3" t="e">
        <f>VLOOKUP(E156,Enviroments!$A$3:$D$59,2,FALSE)</f>
        <v>#N/A</v>
      </c>
      <c r="P156" s="3" t="e">
        <f>VLOOKUP(E156,Enviroments!$A$3:$D$59,3,FALSE)</f>
        <v>#N/A</v>
      </c>
      <c r="Q156" s="3" t="e">
        <f>VLOOKUP(E156,Enviroments!$A$3:$D$59,4,FALSE)</f>
        <v>#N/A</v>
      </c>
      <c r="R156" s="3" t="e">
        <f>VLOOKUP(H156,AzureRegions!$A$4:$B$1493,1,FALSE)</f>
        <v>#N/A</v>
      </c>
      <c r="S156" s="3" t="e">
        <f>VLOOKUP(H156,AzureRegions!$A$4:$B$1493,2,FALSE)</f>
        <v>#N/A</v>
      </c>
      <c r="T156" s="3" t="e">
        <f>VLOOKUP(H156,AzureRegions!$A$4:$C$1493,3,FALSE)</f>
        <v>#N/A</v>
      </c>
      <c r="U156" s="3" t="e">
        <f>VLOOKUP(I156,Resources!$A$2:$AA$1503,2,FALSE)</f>
        <v>#N/A</v>
      </c>
      <c r="V156" s="3" t="e">
        <f>VLOOKUP(I156,Resources!$A$2:$H$1503,6,FALSE)</f>
        <v>#N/A</v>
      </c>
      <c r="W156" s="3" t="str">
        <f>VLOOKUP($H$2,Casing!$A$4:$A$60,1,FALSE)</f>
        <v>Lower</v>
      </c>
      <c r="X156" s="14" t="str">
        <f t="shared" si="5"/>
        <v>001</v>
      </c>
      <c r="Y156" s="3" t="str">
        <f>IFERROR(VLOOKUP(F156,Func!$A$4:$G$1500,2,FALSE),"none")</f>
        <v>none</v>
      </c>
      <c r="Z156" s="3" t="e">
        <f>VLOOKUP(I156,Resources!$A$2:$AA$1503,18,FALSE)</f>
        <v>#N/A</v>
      </c>
      <c r="AA156" s="3" t="str">
        <f>IFERROR(VLOOKUP(B156,Orgs!$A$4:$G$1500,2,FALSE),"none")</f>
        <v>none</v>
      </c>
      <c r="AB156" s="3" t="str">
        <f>IFERROR(VLOOKUP(C156,UnitsDepts!$A$4:$G$1500,2,FALSE),"none")</f>
        <v>none</v>
      </c>
      <c r="AC156" s="3" t="str">
        <f>IFERROR(VLOOKUP(D156,ProjAppSvc!$A$4:$G$1500,2,FALSE),"none")</f>
        <v>none</v>
      </c>
    </row>
    <row r="157" spans="1:29" x14ac:dyDescent="0.45">
      <c r="A157" s="14" t="s">
        <v>23</v>
      </c>
      <c r="B157" s="14"/>
      <c r="C157" s="14"/>
      <c r="D157" s="14"/>
      <c r="H157" s="8"/>
      <c r="I157" s="3"/>
      <c r="J157" s="3" t="str">
        <f t="shared" si="6"/>
        <v/>
      </c>
      <c r="K157" s="3" t="str">
        <f>IF(ISNUMBER(SEARCH("-",V157)),IFERROR(IF($H$2="Lower", LOWER(ComputeResourceName(Z157,#REF!,#REF!,G157,N157,O157,P157,Q157,S157,T157,V157,A157)), UPPER(ComputeResourceName(Z157,#REF!,#REF!,G157,N157,O157,P157,Q157,S157,T157,V157,A157))),""),SUBSTITUTE(IFERROR(IF($H$2="Lower", LOWER(ComputeResourceName(#REF!,#REF!,#REF!,G157,N157,O157,P157,Q157,S157,T157,V157,A157)), UPPER(ComputeResourceName(#REF!,#REF!,#REF!,G157,N157,O157,P157,Q157,S157,T157,V157,A157))),""), "-",""))</f>
        <v/>
      </c>
      <c r="L157" s="3" t="str">
        <f xml:space="preserve"> IF(K157="","",  IFERROR(VLOOKUP(I157,Resources!$B$1:$H$1503,5,FALSE)-LEN(K157),0))</f>
        <v/>
      </c>
      <c r="M157" s="3" t="str">
        <f>IF(K157="","",IFERROR(matches(K157,VLOOKUP(I157,Resources!$A$2:$AA$1503,16,FALSE)),FALSE))</f>
        <v/>
      </c>
      <c r="N157" s="3" t="e">
        <f>VLOOKUP(E157,Enviroments!$A$3:$D$59,1,FALSE)</f>
        <v>#N/A</v>
      </c>
      <c r="O157" s="3" t="e">
        <f>VLOOKUP(E157,Enviroments!$A$3:$D$59,2,FALSE)</f>
        <v>#N/A</v>
      </c>
      <c r="P157" s="3" t="e">
        <f>VLOOKUP(E157,Enviroments!$A$3:$D$59,3,FALSE)</f>
        <v>#N/A</v>
      </c>
      <c r="Q157" s="3" t="e">
        <f>VLOOKUP(E157,Enviroments!$A$3:$D$59,4,FALSE)</f>
        <v>#N/A</v>
      </c>
      <c r="R157" s="3" t="e">
        <f>VLOOKUP(H157,AzureRegions!$A$4:$B$1493,1,FALSE)</f>
        <v>#N/A</v>
      </c>
      <c r="S157" s="3" t="e">
        <f>VLOOKUP(H157,AzureRegions!$A$4:$B$1493,2,FALSE)</f>
        <v>#N/A</v>
      </c>
      <c r="T157" s="3" t="e">
        <f>VLOOKUP(H157,AzureRegions!$A$4:$C$1493,3,FALSE)</f>
        <v>#N/A</v>
      </c>
      <c r="U157" s="3" t="e">
        <f>VLOOKUP(I157,Resources!$A$2:$AA$1503,2,FALSE)</f>
        <v>#N/A</v>
      </c>
      <c r="V157" s="3" t="e">
        <f>VLOOKUP(I157,Resources!$A$2:$H$1503,6,FALSE)</f>
        <v>#N/A</v>
      </c>
      <c r="W157" s="3" t="str">
        <f>VLOOKUP($H$2,Casing!$A$4:$A$60,1,FALSE)</f>
        <v>Lower</v>
      </c>
      <c r="X157" s="14" t="str">
        <f t="shared" si="5"/>
        <v>001</v>
      </c>
      <c r="Y157" s="3" t="str">
        <f>IFERROR(VLOOKUP(F157,Func!$A$4:$G$1500,2,FALSE),"none")</f>
        <v>none</v>
      </c>
      <c r="Z157" s="3" t="e">
        <f>VLOOKUP(I157,Resources!$A$2:$AA$1503,18,FALSE)</f>
        <v>#N/A</v>
      </c>
      <c r="AA157" s="3" t="str">
        <f>IFERROR(VLOOKUP(B157,Orgs!$A$4:$G$1500,2,FALSE),"none")</f>
        <v>none</v>
      </c>
      <c r="AB157" s="3" t="str">
        <f>IFERROR(VLOOKUP(C157,UnitsDepts!$A$4:$G$1500,2,FALSE),"none")</f>
        <v>none</v>
      </c>
      <c r="AC157" s="3" t="str">
        <f>IFERROR(VLOOKUP(D157,ProjAppSvc!$A$4:$G$1500,2,FALSE),"none")</f>
        <v>none</v>
      </c>
    </row>
    <row r="158" spans="1:29" x14ac:dyDescent="0.45">
      <c r="A158" s="14" t="s">
        <v>23</v>
      </c>
      <c r="B158" s="14"/>
      <c r="C158" s="14"/>
      <c r="D158" s="14"/>
      <c r="H158" s="8"/>
      <c r="I158" s="3"/>
      <c r="J158" s="3" t="str">
        <f t="shared" si="6"/>
        <v/>
      </c>
      <c r="K158" s="3" t="str">
        <f>IF(ISNUMBER(SEARCH("-",V158)),IFERROR(IF($H$2="Lower", LOWER(ComputeResourceName(Z158,#REF!,#REF!,G158,N158,O158,P158,Q158,S158,T158,V158,A158)), UPPER(ComputeResourceName(Z158,#REF!,#REF!,G158,N158,O158,P158,Q158,S158,T158,V158,A158))),""),SUBSTITUTE(IFERROR(IF($H$2="Lower", LOWER(ComputeResourceName(#REF!,#REF!,#REF!,G158,N158,O158,P158,Q158,S158,T158,V158,A158)), UPPER(ComputeResourceName(#REF!,#REF!,#REF!,G158,N158,O158,P158,Q158,S158,T158,V158,A158))),""), "-",""))</f>
        <v/>
      </c>
      <c r="L158" s="3" t="str">
        <f xml:space="preserve"> IF(K158="","",  IFERROR(VLOOKUP(I158,Resources!$B$1:$H$1503,5,FALSE)-LEN(K158),0))</f>
        <v/>
      </c>
      <c r="M158" s="3" t="str">
        <f>IF(K158="","",IFERROR(matches(K158,VLOOKUP(I158,Resources!$A$2:$AA$1503,16,FALSE)),FALSE))</f>
        <v/>
      </c>
      <c r="N158" s="3" t="e">
        <f>VLOOKUP(E158,Enviroments!$A$3:$D$59,1,FALSE)</f>
        <v>#N/A</v>
      </c>
      <c r="O158" s="3" t="e">
        <f>VLOOKUP(E158,Enviroments!$A$3:$D$59,2,FALSE)</f>
        <v>#N/A</v>
      </c>
      <c r="P158" s="3" t="e">
        <f>VLOOKUP(E158,Enviroments!$A$3:$D$59,3,FALSE)</f>
        <v>#N/A</v>
      </c>
      <c r="Q158" s="3" t="e">
        <f>VLOOKUP(E158,Enviroments!$A$3:$D$59,4,FALSE)</f>
        <v>#N/A</v>
      </c>
      <c r="R158" s="3" t="e">
        <f>VLOOKUP(H158,AzureRegions!$A$4:$B$1493,1,FALSE)</f>
        <v>#N/A</v>
      </c>
      <c r="S158" s="3" t="e">
        <f>VLOOKUP(H158,AzureRegions!$A$4:$B$1493,2,FALSE)</f>
        <v>#N/A</v>
      </c>
      <c r="T158" s="3" t="e">
        <f>VLOOKUP(H158,AzureRegions!$A$4:$C$1493,3,FALSE)</f>
        <v>#N/A</v>
      </c>
      <c r="U158" s="3" t="e">
        <f>VLOOKUP(I158,Resources!$A$2:$AA$1503,2,FALSE)</f>
        <v>#N/A</v>
      </c>
      <c r="V158" s="3" t="e">
        <f>VLOOKUP(I158,Resources!$A$2:$H$1503,6,FALSE)</f>
        <v>#N/A</v>
      </c>
      <c r="W158" s="3" t="str">
        <f>VLOOKUP($H$2,Casing!$A$4:$A$60,1,FALSE)</f>
        <v>Lower</v>
      </c>
      <c r="X158" s="14" t="str">
        <f t="shared" si="5"/>
        <v>001</v>
      </c>
      <c r="Y158" s="3" t="str">
        <f>IFERROR(VLOOKUP(F158,Func!$A$4:$G$1500,2,FALSE),"none")</f>
        <v>none</v>
      </c>
      <c r="Z158" s="3" t="e">
        <f>VLOOKUP(I158,Resources!$A$2:$AA$1503,18,FALSE)</f>
        <v>#N/A</v>
      </c>
      <c r="AA158" s="3" t="str">
        <f>IFERROR(VLOOKUP(B158,Orgs!$A$4:$G$1500,2,FALSE),"none")</f>
        <v>none</v>
      </c>
      <c r="AB158" s="3" t="str">
        <f>IFERROR(VLOOKUP(C158,UnitsDepts!$A$4:$G$1500,2,FALSE),"none")</f>
        <v>none</v>
      </c>
      <c r="AC158" s="3" t="str">
        <f>IFERROR(VLOOKUP(D158,ProjAppSvc!$A$4:$G$1500,2,FALSE),"none")</f>
        <v>none</v>
      </c>
    </row>
    <row r="159" spans="1:29" x14ac:dyDescent="0.45">
      <c r="A159" s="14" t="s">
        <v>23</v>
      </c>
      <c r="B159" s="14"/>
      <c r="C159" s="14"/>
      <c r="D159" s="14"/>
      <c r="H159" s="8"/>
      <c r="I159" s="3"/>
      <c r="J159" s="3" t="str">
        <f t="shared" si="6"/>
        <v/>
      </c>
      <c r="K159" s="3" t="str">
        <f>IF(ISNUMBER(SEARCH("-",V159)),IFERROR(IF($H$2="Lower", LOWER(ComputeResourceName(Z159,#REF!,#REF!,G159,N159,O159,P159,Q159,S159,T159,V159,A159)), UPPER(ComputeResourceName(Z159,#REF!,#REF!,G159,N159,O159,P159,Q159,S159,T159,V159,A159))),""),SUBSTITUTE(IFERROR(IF($H$2="Lower", LOWER(ComputeResourceName(#REF!,#REF!,#REF!,G159,N159,O159,P159,Q159,S159,T159,V159,A159)), UPPER(ComputeResourceName(#REF!,#REF!,#REF!,G159,N159,O159,P159,Q159,S159,T159,V159,A159))),""), "-",""))</f>
        <v/>
      </c>
      <c r="L159" s="3" t="str">
        <f xml:space="preserve"> IF(K159="","",  IFERROR(VLOOKUP(I159,Resources!$B$1:$H$1503,5,FALSE)-LEN(K159),0))</f>
        <v/>
      </c>
      <c r="M159" s="3" t="str">
        <f>IF(K159="","",IFERROR(matches(K159,VLOOKUP(I159,Resources!$A$2:$AA$1503,16,FALSE)),FALSE))</f>
        <v/>
      </c>
      <c r="N159" s="3" t="e">
        <f>VLOOKUP(E159,Enviroments!$A$3:$D$59,1,FALSE)</f>
        <v>#N/A</v>
      </c>
      <c r="O159" s="3" t="e">
        <f>VLOOKUP(E159,Enviroments!$A$3:$D$59,2,FALSE)</f>
        <v>#N/A</v>
      </c>
      <c r="P159" s="3" t="e">
        <f>VLOOKUP(E159,Enviroments!$A$3:$D$59,3,FALSE)</f>
        <v>#N/A</v>
      </c>
      <c r="Q159" s="3" t="e">
        <f>VLOOKUP(E159,Enviroments!$A$3:$D$59,4,FALSE)</f>
        <v>#N/A</v>
      </c>
      <c r="R159" s="3" t="e">
        <f>VLOOKUP(H159,AzureRegions!$A$4:$B$1493,1,FALSE)</f>
        <v>#N/A</v>
      </c>
      <c r="S159" s="3" t="e">
        <f>VLOOKUP(H159,AzureRegions!$A$4:$B$1493,2,FALSE)</f>
        <v>#N/A</v>
      </c>
      <c r="T159" s="3" t="e">
        <f>VLOOKUP(H159,AzureRegions!$A$4:$C$1493,3,FALSE)</f>
        <v>#N/A</v>
      </c>
      <c r="U159" s="3" t="e">
        <f>VLOOKUP(I159,Resources!$A$2:$AA$1503,2,FALSE)</f>
        <v>#N/A</v>
      </c>
      <c r="V159" s="3" t="e">
        <f>VLOOKUP(I159,Resources!$A$2:$H$1503,6,FALSE)</f>
        <v>#N/A</v>
      </c>
      <c r="W159" s="3" t="str">
        <f>VLOOKUP($H$2,Casing!$A$4:$A$60,1,FALSE)</f>
        <v>Lower</v>
      </c>
      <c r="X159" s="14" t="str">
        <f t="shared" si="5"/>
        <v>001</v>
      </c>
      <c r="Y159" s="3" t="str">
        <f>IFERROR(VLOOKUP(F159,Func!$A$4:$G$1500,2,FALSE),"none")</f>
        <v>none</v>
      </c>
      <c r="Z159" s="3" t="e">
        <f>VLOOKUP(I159,Resources!$A$2:$AA$1503,18,FALSE)</f>
        <v>#N/A</v>
      </c>
      <c r="AA159" s="3" t="str">
        <f>IFERROR(VLOOKUP(B159,Orgs!$A$4:$G$1500,2,FALSE),"none")</f>
        <v>none</v>
      </c>
      <c r="AB159" s="3" t="str">
        <f>IFERROR(VLOOKUP(C159,UnitsDepts!$A$4:$G$1500,2,FALSE),"none")</f>
        <v>none</v>
      </c>
      <c r="AC159" s="3" t="str">
        <f>IFERROR(VLOOKUP(D159,ProjAppSvc!$A$4:$G$1500,2,FALSE),"none")</f>
        <v>none</v>
      </c>
    </row>
    <row r="160" spans="1:29" x14ac:dyDescent="0.45">
      <c r="A160" s="14" t="s">
        <v>23</v>
      </c>
      <c r="B160" s="14"/>
      <c r="C160" s="14"/>
      <c r="D160" s="14"/>
      <c r="H160" s="8"/>
      <c r="I160" s="3"/>
      <c r="J160" s="3" t="str">
        <f t="shared" si="6"/>
        <v/>
      </c>
      <c r="K160" s="3" t="str">
        <f>IF(ISNUMBER(SEARCH("-",V160)),IFERROR(IF($H$2="Lower", LOWER(ComputeResourceName(Z160,#REF!,#REF!,G160,N160,O160,P160,Q160,S160,T160,V160,A160)), UPPER(ComputeResourceName(Z160,#REF!,#REF!,G160,N160,O160,P160,Q160,S160,T160,V160,A160))),""),SUBSTITUTE(IFERROR(IF($H$2="Lower", LOWER(ComputeResourceName(#REF!,#REF!,#REF!,G160,N160,O160,P160,Q160,S160,T160,V160,A160)), UPPER(ComputeResourceName(#REF!,#REF!,#REF!,G160,N160,O160,P160,Q160,S160,T160,V160,A160))),""), "-",""))</f>
        <v/>
      </c>
      <c r="L160" s="3" t="str">
        <f xml:space="preserve"> IF(K160="","",  IFERROR(VLOOKUP(I160,Resources!$B$1:$H$1503,5,FALSE)-LEN(K160),0))</f>
        <v/>
      </c>
      <c r="M160" s="3" t="str">
        <f>IF(K160="","",IFERROR(matches(K160,VLOOKUP(I160,Resources!$A$2:$AA$1503,16,FALSE)),FALSE))</f>
        <v/>
      </c>
      <c r="N160" s="3" t="e">
        <f>VLOOKUP(E160,Enviroments!$A$3:$D$59,1,FALSE)</f>
        <v>#N/A</v>
      </c>
      <c r="O160" s="3" t="e">
        <f>VLOOKUP(E160,Enviroments!$A$3:$D$59,2,FALSE)</f>
        <v>#N/A</v>
      </c>
      <c r="P160" s="3" t="e">
        <f>VLOOKUP(E160,Enviroments!$A$3:$D$59,3,FALSE)</f>
        <v>#N/A</v>
      </c>
      <c r="Q160" s="3" t="e">
        <f>VLOOKUP(E160,Enviroments!$A$3:$D$59,4,FALSE)</f>
        <v>#N/A</v>
      </c>
      <c r="R160" s="3" t="e">
        <f>VLOOKUP(H160,AzureRegions!$A$4:$B$1493,1,FALSE)</f>
        <v>#N/A</v>
      </c>
      <c r="S160" s="3" t="e">
        <f>VLOOKUP(H160,AzureRegions!$A$4:$B$1493,2,FALSE)</f>
        <v>#N/A</v>
      </c>
      <c r="T160" s="3" t="e">
        <f>VLOOKUP(H160,AzureRegions!$A$4:$C$1493,3,FALSE)</f>
        <v>#N/A</v>
      </c>
      <c r="U160" s="3" t="e">
        <f>VLOOKUP(I160,Resources!$A$2:$AA$1503,2,FALSE)</f>
        <v>#N/A</v>
      </c>
      <c r="V160" s="3" t="e">
        <f>VLOOKUP(I160,Resources!$A$2:$H$1503,6,FALSE)</f>
        <v>#N/A</v>
      </c>
      <c r="W160" s="3" t="str">
        <f>VLOOKUP($H$2,Casing!$A$4:$A$60,1,FALSE)</f>
        <v>Lower</v>
      </c>
      <c r="X160" s="14" t="str">
        <f t="shared" si="5"/>
        <v>001</v>
      </c>
      <c r="Y160" s="3" t="str">
        <f>IFERROR(VLOOKUP(F160,Func!$A$4:$G$1500,2,FALSE),"none")</f>
        <v>none</v>
      </c>
      <c r="Z160" s="3" t="e">
        <f>VLOOKUP(I160,Resources!$A$2:$AA$1503,18,FALSE)</f>
        <v>#N/A</v>
      </c>
      <c r="AA160" s="3" t="str">
        <f>IFERROR(VLOOKUP(B160,Orgs!$A$4:$G$1500,2,FALSE),"none")</f>
        <v>none</v>
      </c>
      <c r="AB160" s="3" t="str">
        <f>IFERROR(VLOOKUP(C160,UnitsDepts!$A$4:$G$1500,2,FALSE),"none")</f>
        <v>none</v>
      </c>
      <c r="AC160" s="3" t="str">
        <f>IFERROR(VLOOKUP(D160,ProjAppSvc!$A$4:$G$1500,2,FALSE),"none")</f>
        <v>none</v>
      </c>
    </row>
    <row r="161" spans="1:29" x14ac:dyDescent="0.45">
      <c r="A161" s="14" t="s">
        <v>23</v>
      </c>
      <c r="B161" s="14"/>
      <c r="C161" s="14"/>
      <c r="D161" s="14"/>
      <c r="H161" s="8"/>
      <c r="I161" s="3"/>
      <c r="J161" s="3" t="str">
        <f t="shared" si="6"/>
        <v/>
      </c>
      <c r="K161" s="3" t="str">
        <f>IF(ISNUMBER(SEARCH("-",V161)),IFERROR(IF($H$2="Lower", LOWER(ComputeResourceName(Z161,#REF!,#REF!,G161,N161,O161,P161,Q161,S161,T161,V161,A161)), UPPER(ComputeResourceName(Z161,#REF!,#REF!,G161,N161,O161,P161,Q161,S161,T161,V161,A161))),""),SUBSTITUTE(IFERROR(IF($H$2="Lower", LOWER(ComputeResourceName(#REF!,#REF!,#REF!,G161,N161,O161,P161,Q161,S161,T161,V161,A161)), UPPER(ComputeResourceName(#REF!,#REF!,#REF!,G161,N161,O161,P161,Q161,S161,T161,V161,A161))),""), "-",""))</f>
        <v/>
      </c>
      <c r="L161" s="3" t="str">
        <f xml:space="preserve"> IF(K161="","",  IFERROR(VLOOKUP(I161,Resources!$B$1:$H$1503,5,FALSE)-LEN(K161),0))</f>
        <v/>
      </c>
      <c r="M161" s="3" t="str">
        <f>IF(K161="","",IFERROR(matches(K161,VLOOKUP(I161,Resources!$A$2:$AA$1503,16,FALSE)),FALSE))</f>
        <v/>
      </c>
      <c r="N161" s="3" t="e">
        <f>VLOOKUP(E161,Enviroments!$A$3:$D$59,1,FALSE)</f>
        <v>#N/A</v>
      </c>
      <c r="O161" s="3" t="e">
        <f>VLOOKUP(E161,Enviroments!$A$3:$D$59,2,FALSE)</f>
        <v>#N/A</v>
      </c>
      <c r="P161" s="3" t="e">
        <f>VLOOKUP(E161,Enviroments!$A$3:$D$59,3,FALSE)</f>
        <v>#N/A</v>
      </c>
      <c r="Q161" s="3" t="e">
        <f>VLOOKUP(E161,Enviroments!$A$3:$D$59,4,FALSE)</f>
        <v>#N/A</v>
      </c>
      <c r="R161" s="3" t="e">
        <f>VLOOKUP(H161,AzureRegions!$A$4:$B$1493,1,FALSE)</f>
        <v>#N/A</v>
      </c>
      <c r="S161" s="3" t="e">
        <f>VLOOKUP(H161,AzureRegions!$A$4:$B$1493,2,FALSE)</f>
        <v>#N/A</v>
      </c>
      <c r="T161" s="3" t="e">
        <f>VLOOKUP(H161,AzureRegions!$A$4:$C$1493,3,FALSE)</f>
        <v>#N/A</v>
      </c>
      <c r="U161" s="3" t="e">
        <f>VLOOKUP(I161,Resources!$A$2:$AA$1503,2,FALSE)</f>
        <v>#N/A</v>
      </c>
      <c r="V161" s="3" t="e">
        <f>VLOOKUP(I161,Resources!$A$2:$H$1503,6,FALSE)</f>
        <v>#N/A</v>
      </c>
      <c r="W161" s="3" t="str">
        <f>VLOOKUP($H$2,Casing!$A$4:$A$60,1,FALSE)</f>
        <v>Lower</v>
      </c>
      <c r="X161" s="14" t="str">
        <f t="shared" si="5"/>
        <v>001</v>
      </c>
      <c r="Y161" s="3" t="str">
        <f>IFERROR(VLOOKUP(F161,Func!$A$4:$G$1500,2,FALSE),"none")</f>
        <v>none</v>
      </c>
      <c r="Z161" s="3" t="e">
        <f>VLOOKUP(I161,Resources!$A$2:$AA$1503,18,FALSE)</f>
        <v>#N/A</v>
      </c>
      <c r="AA161" s="3" t="str">
        <f>IFERROR(VLOOKUP(B161,Orgs!$A$4:$G$1500,2,FALSE),"none")</f>
        <v>none</v>
      </c>
      <c r="AB161" s="3" t="str">
        <f>IFERROR(VLOOKUP(C161,UnitsDepts!$A$4:$G$1500,2,FALSE),"none")</f>
        <v>none</v>
      </c>
      <c r="AC161" s="3" t="str">
        <f>IFERROR(VLOOKUP(D161,ProjAppSvc!$A$4:$G$1500,2,FALSE),"none")</f>
        <v>none</v>
      </c>
    </row>
    <row r="162" spans="1:29" x14ac:dyDescent="0.45">
      <c r="A162" s="14" t="s">
        <v>23</v>
      </c>
      <c r="B162" s="14"/>
      <c r="C162" s="14"/>
      <c r="D162" s="14"/>
      <c r="H162" s="8"/>
      <c r="I162" s="3"/>
      <c r="J162" s="3" t="str">
        <f t="shared" si="6"/>
        <v/>
      </c>
      <c r="K162" s="3" t="str">
        <f>IF(ISNUMBER(SEARCH("-",V162)),IFERROR(IF($H$2="Lower", LOWER(ComputeResourceName(Z162,#REF!,#REF!,G162,N162,O162,P162,Q162,S162,T162,V162,A162)), UPPER(ComputeResourceName(Z162,#REF!,#REF!,G162,N162,O162,P162,Q162,S162,T162,V162,A162))),""),SUBSTITUTE(IFERROR(IF($H$2="Lower", LOWER(ComputeResourceName(#REF!,#REF!,#REF!,G162,N162,O162,P162,Q162,S162,T162,V162,A162)), UPPER(ComputeResourceName(#REF!,#REF!,#REF!,G162,N162,O162,P162,Q162,S162,T162,V162,A162))),""), "-",""))</f>
        <v/>
      </c>
      <c r="L162" s="3" t="str">
        <f xml:space="preserve"> IF(K162="","",  IFERROR(VLOOKUP(I162,Resources!$B$1:$H$1503,5,FALSE)-LEN(K162),0))</f>
        <v/>
      </c>
      <c r="M162" s="3" t="str">
        <f>IF(K162="","",IFERROR(matches(K162,VLOOKUP(I162,Resources!$A$2:$AA$1503,16,FALSE)),FALSE))</f>
        <v/>
      </c>
      <c r="N162" s="3" t="e">
        <f>VLOOKUP(E162,Enviroments!$A$3:$D$59,1,FALSE)</f>
        <v>#N/A</v>
      </c>
      <c r="O162" s="3" t="e">
        <f>VLOOKUP(E162,Enviroments!$A$3:$D$59,2,FALSE)</f>
        <v>#N/A</v>
      </c>
      <c r="P162" s="3" t="e">
        <f>VLOOKUP(E162,Enviroments!$A$3:$D$59,3,FALSE)</f>
        <v>#N/A</v>
      </c>
      <c r="Q162" s="3" t="e">
        <f>VLOOKUP(E162,Enviroments!$A$3:$D$59,4,FALSE)</f>
        <v>#N/A</v>
      </c>
      <c r="R162" s="3" t="e">
        <f>VLOOKUP(H162,AzureRegions!$A$4:$B$1493,1,FALSE)</f>
        <v>#N/A</v>
      </c>
      <c r="S162" s="3" t="e">
        <f>VLOOKUP(H162,AzureRegions!$A$4:$B$1493,2,FALSE)</f>
        <v>#N/A</v>
      </c>
      <c r="T162" s="3" t="e">
        <f>VLOOKUP(H162,AzureRegions!$A$4:$C$1493,3,FALSE)</f>
        <v>#N/A</v>
      </c>
      <c r="U162" s="3" t="e">
        <f>VLOOKUP(I162,Resources!$A$2:$AA$1503,2,FALSE)</f>
        <v>#N/A</v>
      </c>
      <c r="V162" s="3" t="e">
        <f>VLOOKUP(I162,Resources!$A$2:$H$1503,6,FALSE)</f>
        <v>#N/A</v>
      </c>
      <c r="W162" s="3" t="str">
        <f>VLOOKUP($H$2,Casing!$A$4:$A$60,1,FALSE)</f>
        <v>Lower</v>
      </c>
      <c r="X162" s="14" t="str">
        <f t="shared" si="5"/>
        <v>001</v>
      </c>
      <c r="Y162" s="3" t="str">
        <f>IFERROR(VLOOKUP(F162,Func!$A$4:$G$1500,2,FALSE),"none")</f>
        <v>none</v>
      </c>
      <c r="Z162" s="3" t="e">
        <f>VLOOKUP(I162,Resources!$A$2:$AA$1503,18,FALSE)</f>
        <v>#N/A</v>
      </c>
      <c r="AA162" s="3" t="str">
        <f>IFERROR(VLOOKUP(B162,Orgs!$A$4:$G$1500,2,FALSE),"none")</f>
        <v>none</v>
      </c>
      <c r="AB162" s="3" t="str">
        <f>IFERROR(VLOOKUP(C162,UnitsDepts!$A$4:$G$1500,2,FALSE),"none")</f>
        <v>none</v>
      </c>
      <c r="AC162" s="3" t="str">
        <f>IFERROR(VLOOKUP(D162,ProjAppSvc!$A$4:$G$1500,2,FALSE),"none")</f>
        <v>none</v>
      </c>
    </row>
    <row r="163" spans="1:29" x14ac:dyDescent="0.45">
      <c r="A163" s="14" t="s">
        <v>23</v>
      </c>
      <c r="B163" s="14"/>
      <c r="C163" s="14"/>
      <c r="D163" s="14"/>
      <c r="H163" s="8"/>
      <c r="I163" s="3"/>
      <c r="J163" s="3" t="str">
        <f t="shared" si="6"/>
        <v/>
      </c>
      <c r="K163" s="3" t="str">
        <f>IF(ISNUMBER(SEARCH("-",V163)),IFERROR(IF($H$2="Lower", LOWER(ComputeResourceName(Z163,#REF!,#REF!,G163,N163,O163,P163,Q163,S163,T163,V163,A163)), UPPER(ComputeResourceName(Z163,#REF!,#REF!,G163,N163,O163,P163,Q163,S163,T163,V163,A163))),""),SUBSTITUTE(IFERROR(IF($H$2="Lower", LOWER(ComputeResourceName(#REF!,#REF!,#REF!,G163,N163,O163,P163,Q163,S163,T163,V163,A163)), UPPER(ComputeResourceName(#REF!,#REF!,#REF!,G163,N163,O163,P163,Q163,S163,T163,V163,A163))),""), "-",""))</f>
        <v/>
      </c>
      <c r="L163" s="3" t="str">
        <f xml:space="preserve"> IF(K163="","",  IFERROR(VLOOKUP(I163,Resources!$B$1:$H$1503,5,FALSE)-LEN(K163),0))</f>
        <v/>
      </c>
      <c r="M163" s="3" t="str">
        <f>IF(K163="","",IFERROR(matches(K163,VLOOKUP(I163,Resources!$A$2:$AA$1503,16,FALSE)),FALSE))</f>
        <v/>
      </c>
      <c r="N163" s="3" t="e">
        <f>VLOOKUP(E163,Enviroments!$A$3:$D$59,1,FALSE)</f>
        <v>#N/A</v>
      </c>
      <c r="O163" s="3" t="e">
        <f>VLOOKUP(E163,Enviroments!$A$3:$D$59,2,FALSE)</f>
        <v>#N/A</v>
      </c>
      <c r="P163" s="3" t="e">
        <f>VLOOKUP(E163,Enviroments!$A$3:$D$59,3,FALSE)</f>
        <v>#N/A</v>
      </c>
      <c r="Q163" s="3" t="e">
        <f>VLOOKUP(E163,Enviroments!$A$3:$D$59,4,FALSE)</f>
        <v>#N/A</v>
      </c>
      <c r="R163" s="3" t="e">
        <f>VLOOKUP(H163,AzureRegions!$A$4:$B$1493,1,FALSE)</f>
        <v>#N/A</v>
      </c>
      <c r="S163" s="3" t="e">
        <f>VLOOKUP(H163,AzureRegions!$A$4:$B$1493,2,FALSE)</f>
        <v>#N/A</v>
      </c>
      <c r="T163" s="3" t="e">
        <f>VLOOKUP(H163,AzureRegions!$A$4:$C$1493,3,FALSE)</f>
        <v>#N/A</v>
      </c>
      <c r="U163" s="3" t="e">
        <f>VLOOKUP(I163,Resources!$A$2:$AA$1503,2,FALSE)</f>
        <v>#N/A</v>
      </c>
      <c r="V163" s="3" t="e">
        <f>VLOOKUP(I163,Resources!$A$2:$H$1503,6,FALSE)</f>
        <v>#N/A</v>
      </c>
      <c r="W163" s="3" t="str">
        <f>VLOOKUP($H$2,Casing!$A$4:$A$60,1,FALSE)</f>
        <v>Lower</v>
      </c>
      <c r="X163" s="14" t="str">
        <f t="shared" si="5"/>
        <v>001</v>
      </c>
      <c r="Y163" s="3" t="str">
        <f>IFERROR(VLOOKUP(F163,Func!$A$4:$G$1500,2,FALSE),"none")</f>
        <v>none</v>
      </c>
      <c r="Z163" s="3" t="e">
        <f>VLOOKUP(I163,Resources!$A$2:$AA$1503,18,FALSE)</f>
        <v>#N/A</v>
      </c>
      <c r="AA163" s="3" t="str">
        <f>IFERROR(VLOOKUP(B163,Orgs!$A$4:$G$1500,2,FALSE),"none")</f>
        <v>none</v>
      </c>
      <c r="AB163" s="3" t="str">
        <f>IFERROR(VLOOKUP(C163,UnitsDepts!$A$4:$G$1500,2,FALSE),"none")</f>
        <v>none</v>
      </c>
      <c r="AC163" s="3" t="str">
        <f>IFERROR(VLOOKUP(D163,ProjAppSvc!$A$4:$G$1500,2,FALSE),"none")</f>
        <v>none</v>
      </c>
    </row>
    <row r="164" spans="1:29" x14ac:dyDescent="0.45">
      <c r="A164" s="14" t="s">
        <v>23</v>
      </c>
      <c r="B164" s="14"/>
      <c r="C164" s="14"/>
      <c r="D164" s="14"/>
      <c r="H164" s="8"/>
      <c r="I164" s="3"/>
      <c r="J164" s="3" t="str">
        <f t="shared" si="6"/>
        <v/>
      </c>
      <c r="K164" s="3" t="str">
        <f>IF(ISNUMBER(SEARCH("-",V164)),IFERROR(IF($H$2="Lower", LOWER(ComputeResourceName(Z164,#REF!,#REF!,G164,N164,O164,P164,Q164,S164,T164,V164,A164)), UPPER(ComputeResourceName(Z164,#REF!,#REF!,G164,N164,O164,P164,Q164,S164,T164,V164,A164))),""),SUBSTITUTE(IFERROR(IF($H$2="Lower", LOWER(ComputeResourceName(#REF!,#REF!,#REF!,G164,N164,O164,P164,Q164,S164,T164,V164,A164)), UPPER(ComputeResourceName(#REF!,#REF!,#REF!,G164,N164,O164,P164,Q164,S164,T164,V164,A164))),""), "-",""))</f>
        <v/>
      </c>
      <c r="L164" s="3" t="str">
        <f xml:space="preserve"> IF(K164="","",  IFERROR(VLOOKUP(I164,Resources!$B$1:$H$1503,5,FALSE)-LEN(K164),0))</f>
        <v/>
      </c>
      <c r="M164" s="3" t="str">
        <f>IF(K164="","",IFERROR(matches(K164,VLOOKUP(I164,Resources!$A$2:$AA$1503,16,FALSE)),FALSE))</f>
        <v/>
      </c>
      <c r="N164" s="3" t="e">
        <f>VLOOKUP(E164,Enviroments!$A$3:$D$59,1,FALSE)</f>
        <v>#N/A</v>
      </c>
      <c r="O164" s="3" t="e">
        <f>VLOOKUP(E164,Enviroments!$A$3:$D$59,2,FALSE)</f>
        <v>#N/A</v>
      </c>
      <c r="P164" s="3" t="e">
        <f>VLOOKUP(E164,Enviroments!$A$3:$D$59,3,FALSE)</f>
        <v>#N/A</v>
      </c>
      <c r="Q164" s="3" t="e">
        <f>VLOOKUP(E164,Enviroments!$A$3:$D$59,4,FALSE)</f>
        <v>#N/A</v>
      </c>
      <c r="R164" s="3" t="e">
        <f>VLOOKUP(H164,AzureRegions!$A$4:$B$1493,1,FALSE)</f>
        <v>#N/A</v>
      </c>
      <c r="S164" s="3" t="e">
        <f>VLOOKUP(H164,AzureRegions!$A$4:$B$1493,2,FALSE)</f>
        <v>#N/A</v>
      </c>
      <c r="T164" s="3" t="e">
        <f>VLOOKUP(H164,AzureRegions!$A$4:$C$1493,3,FALSE)</f>
        <v>#N/A</v>
      </c>
      <c r="U164" s="3" t="e">
        <f>VLOOKUP(I164,Resources!$A$2:$AA$1503,2,FALSE)</f>
        <v>#N/A</v>
      </c>
      <c r="V164" s="3" t="e">
        <f>VLOOKUP(I164,Resources!$A$2:$H$1503,6,FALSE)</f>
        <v>#N/A</v>
      </c>
      <c r="W164" s="3" t="str">
        <f>VLOOKUP($H$2,Casing!$A$4:$A$60,1,FALSE)</f>
        <v>Lower</v>
      </c>
      <c r="X164" s="14" t="str">
        <f t="shared" si="5"/>
        <v>001</v>
      </c>
      <c r="Y164" s="3" t="str">
        <f>IFERROR(VLOOKUP(F164,Func!$A$4:$G$1500,2,FALSE),"none")</f>
        <v>none</v>
      </c>
      <c r="Z164" s="3" t="e">
        <f>VLOOKUP(I164,Resources!$A$2:$AA$1503,18,FALSE)</f>
        <v>#N/A</v>
      </c>
      <c r="AA164" s="3" t="str">
        <f>IFERROR(VLOOKUP(B164,Orgs!$A$4:$G$1500,2,FALSE),"none")</f>
        <v>none</v>
      </c>
      <c r="AB164" s="3" t="str">
        <f>IFERROR(VLOOKUP(C164,UnitsDepts!$A$4:$G$1500,2,FALSE),"none")</f>
        <v>none</v>
      </c>
      <c r="AC164" s="3" t="str">
        <f>IFERROR(VLOOKUP(D164,ProjAppSvc!$A$4:$G$1500,2,FALSE),"none")</f>
        <v>none</v>
      </c>
    </row>
    <row r="165" spans="1:29" x14ac:dyDescent="0.45">
      <c r="A165" s="14" t="s">
        <v>23</v>
      </c>
      <c r="B165" s="14"/>
      <c r="C165" s="14"/>
      <c r="D165" s="14"/>
      <c r="H165" s="8"/>
      <c r="I165" s="3"/>
      <c r="J165" s="3" t="str">
        <f t="shared" si="6"/>
        <v/>
      </c>
      <c r="K165" s="3" t="str">
        <f>IF(ISNUMBER(SEARCH("-",V165)),IFERROR(IF($H$2="Lower", LOWER(ComputeResourceName(Z165,#REF!,#REF!,G165,N165,O165,P165,Q165,S165,T165,V165,A165)), UPPER(ComputeResourceName(Z165,#REF!,#REF!,G165,N165,O165,P165,Q165,S165,T165,V165,A165))),""),SUBSTITUTE(IFERROR(IF($H$2="Lower", LOWER(ComputeResourceName(#REF!,#REF!,#REF!,G165,N165,O165,P165,Q165,S165,T165,V165,A165)), UPPER(ComputeResourceName(#REF!,#REF!,#REF!,G165,N165,O165,P165,Q165,S165,T165,V165,A165))),""), "-",""))</f>
        <v/>
      </c>
      <c r="L165" s="3" t="str">
        <f xml:space="preserve"> IF(K165="","",  IFERROR(VLOOKUP(I165,Resources!$B$1:$H$1503,5,FALSE)-LEN(K165),0))</f>
        <v/>
      </c>
      <c r="M165" s="3" t="str">
        <f>IF(K165="","",IFERROR(matches(K165,VLOOKUP(I165,Resources!$A$2:$AA$1503,16,FALSE)),FALSE))</f>
        <v/>
      </c>
      <c r="N165" s="3" t="e">
        <f>VLOOKUP(E165,Enviroments!$A$3:$D$59,1,FALSE)</f>
        <v>#N/A</v>
      </c>
      <c r="O165" s="3" t="e">
        <f>VLOOKUP(E165,Enviroments!$A$3:$D$59,2,FALSE)</f>
        <v>#N/A</v>
      </c>
      <c r="P165" s="3" t="e">
        <f>VLOOKUP(E165,Enviroments!$A$3:$D$59,3,FALSE)</f>
        <v>#N/A</v>
      </c>
      <c r="Q165" s="3" t="e">
        <f>VLOOKUP(E165,Enviroments!$A$3:$D$59,4,FALSE)</f>
        <v>#N/A</v>
      </c>
      <c r="R165" s="3" t="e">
        <f>VLOOKUP(H165,AzureRegions!$A$4:$B$1493,1,FALSE)</f>
        <v>#N/A</v>
      </c>
      <c r="S165" s="3" t="e">
        <f>VLOOKUP(H165,AzureRegions!$A$4:$B$1493,2,FALSE)</f>
        <v>#N/A</v>
      </c>
      <c r="T165" s="3" t="e">
        <f>VLOOKUP(H165,AzureRegions!$A$4:$C$1493,3,FALSE)</f>
        <v>#N/A</v>
      </c>
      <c r="U165" s="3" t="e">
        <f>VLOOKUP(I165,Resources!$A$2:$AA$1503,2,FALSE)</f>
        <v>#N/A</v>
      </c>
      <c r="V165" s="3" t="e">
        <f>VLOOKUP(I165,Resources!$A$2:$H$1503,6,FALSE)</f>
        <v>#N/A</v>
      </c>
      <c r="W165" s="3" t="str">
        <f>VLOOKUP($H$2,Casing!$A$4:$A$60,1,FALSE)</f>
        <v>Lower</v>
      </c>
      <c r="X165" s="14" t="str">
        <f t="shared" si="5"/>
        <v>001</v>
      </c>
      <c r="Y165" s="3" t="str">
        <f>IFERROR(VLOOKUP(F165,Func!$A$4:$G$1500,2,FALSE),"none")</f>
        <v>none</v>
      </c>
      <c r="Z165" s="3" t="e">
        <f>VLOOKUP(I165,Resources!$A$2:$AA$1503,18,FALSE)</f>
        <v>#N/A</v>
      </c>
      <c r="AA165" s="3" t="str">
        <f>IFERROR(VLOOKUP(B165,Orgs!$A$4:$G$1500,2,FALSE),"none")</f>
        <v>none</v>
      </c>
      <c r="AB165" s="3" t="str">
        <f>IFERROR(VLOOKUP(C165,UnitsDepts!$A$4:$G$1500,2,FALSE),"none")</f>
        <v>none</v>
      </c>
      <c r="AC165" s="3" t="str">
        <f>IFERROR(VLOOKUP(D165,ProjAppSvc!$A$4:$G$1500,2,FALSE),"none")</f>
        <v>none</v>
      </c>
    </row>
    <row r="166" spans="1:29" x14ac:dyDescent="0.45">
      <c r="A166" s="14" t="s">
        <v>23</v>
      </c>
      <c r="B166" s="14"/>
      <c r="C166" s="14"/>
      <c r="D166" s="14"/>
      <c r="H166" s="8"/>
      <c r="I166" s="3"/>
      <c r="J166" s="3" t="str">
        <f t="shared" si="6"/>
        <v/>
      </c>
      <c r="K166" s="3" t="str">
        <f>IF(ISNUMBER(SEARCH("-",V166)),IFERROR(IF($H$2="Lower", LOWER(ComputeResourceName(Z166,#REF!,#REF!,G166,N166,O166,P166,Q166,S166,T166,V166,A166)), UPPER(ComputeResourceName(Z166,#REF!,#REF!,G166,N166,O166,P166,Q166,S166,T166,V166,A166))),""),SUBSTITUTE(IFERROR(IF($H$2="Lower", LOWER(ComputeResourceName(#REF!,#REF!,#REF!,G166,N166,O166,P166,Q166,S166,T166,V166,A166)), UPPER(ComputeResourceName(#REF!,#REF!,#REF!,G166,N166,O166,P166,Q166,S166,T166,V166,A166))),""), "-",""))</f>
        <v/>
      </c>
      <c r="L166" s="3" t="str">
        <f xml:space="preserve"> IF(K166="","",  IFERROR(VLOOKUP(I166,Resources!$B$1:$H$1503,5,FALSE)-LEN(K166),0))</f>
        <v/>
      </c>
      <c r="M166" s="3" t="str">
        <f>IF(K166="","",IFERROR(matches(K166,VLOOKUP(I166,Resources!$A$2:$AA$1503,16,FALSE)),FALSE))</f>
        <v/>
      </c>
      <c r="N166" s="3" t="e">
        <f>VLOOKUP(E166,Enviroments!$A$3:$D$59,1,FALSE)</f>
        <v>#N/A</v>
      </c>
      <c r="O166" s="3" t="e">
        <f>VLOOKUP(E166,Enviroments!$A$3:$D$59,2,FALSE)</f>
        <v>#N/A</v>
      </c>
      <c r="P166" s="3" t="e">
        <f>VLOOKUP(E166,Enviroments!$A$3:$D$59,3,FALSE)</f>
        <v>#N/A</v>
      </c>
      <c r="Q166" s="3" t="e">
        <f>VLOOKUP(E166,Enviroments!$A$3:$D$59,4,FALSE)</f>
        <v>#N/A</v>
      </c>
      <c r="R166" s="3" t="e">
        <f>VLOOKUP(H166,AzureRegions!$A$4:$B$1493,1,FALSE)</f>
        <v>#N/A</v>
      </c>
      <c r="S166" s="3" t="e">
        <f>VLOOKUP(H166,AzureRegions!$A$4:$B$1493,2,FALSE)</f>
        <v>#N/A</v>
      </c>
      <c r="T166" s="3" t="e">
        <f>VLOOKUP(H166,AzureRegions!$A$4:$C$1493,3,FALSE)</f>
        <v>#N/A</v>
      </c>
      <c r="U166" s="3" t="e">
        <f>VLOOKUP(I166,Resources!$A$2:$AA$1503,2,FALSE)</f>
        <v>#N/A</v>
      </c>
      <c r="V166" s="3" t="e">
        <f>VLOOKUP(I166,Resources!$A$2:$H$1503,6,FALSE)</f>
        <v>#N/A</v>
      </c>
      <c r="W166" s="3" t="str">
        <f>VLOOKUP($H$2,Casing!$A$4:$A$60,1,FALSE)</f>
        <v>Lower</v>
      </c>
      <c r="X166" s="14" t="str">
        <f t="shared" si="5"/>
        <v>001</v>
      </c>
      <c r="Y166" s="3" t="str">
        <f>IFERROR(VLOOKUP(F166,Func!$A$4:$G$1500,2,FALSE),"none")</f>
        <v>none</v>
      </c>
      <c r="Z166" s="3" t="e">
        <f>VLOOKUP(I166,Resources!$A$2:$AA$1503,18,FALSE)</f>
        <v>#N/A</v>
      </c>
      <c r="AA166" s="3" t="str">
        <f>IFERROR(VLOOKUP(B166,Orgs!$A$4:$G$1500,2,FALSE),"none")</f>
        <v>none</v>
      </c>
      <c r="AB166" s="3" t="str">
        <f>IFERROR(VLOOKUP(C166,UnitsDepts!$A$4:$G$1500,2,FALSE),"none")</f>
        <v>none</v>
      </c>
      <c r="AC166" s="3" t="str">
        <f>IFERROR(VLOOKUP(D166,ProjAppSvc!$A$4:$G$1500,2,FALSE),"none")</f>
        <v>none</v>
      </c>
    </row>
    <row r="167" spans="1:29" x14ac:dyDescent="0.45">
      <c r="A167" s="14" t="s">
        <v>23</v>
      </c>
      <c r="B167" s="14"/>
      <c r="C167" s="14"/>
      <c r="D167" s="14"/>
      <c r="H167" s="8"/>
      <c r="I167" s="3"/>
      <c r="J167" s="3" t="str">
        <f t="shared" si="6"/>
        <v/>
      </c>
      <c r="K167" s="3" t="str">
        <f>IF(ISNUMBER(SEARCH("-",V167)),IFERROR(IF($H$2="Lower", LOWER(ComputeResourceName(Z167,#REF!,#REF!,G167,N167,O167,P167,Q167,S167,T167,V167,A167)), UPPER(ComputeResourceName(Z167,#REF!,#REF!,G167,N167,O167,P167,Q167,S167,T167,V167,A167))),""),SUBSTITUTE(IFERROR(IF($H$2="Lower", LOWER(ComputeResourceName(#REF!,#REF!,#REF!,G167,N167,O167,P167,Q167,S167,T167,V167,A167)), UPPER(ComputeResourceName(#REF!,#REF!,#REF!,G167,N167,O167,P167,Q167,S167,T167,V167,A167))),""), "-",""))</f>
        <v/>
      </c>
      <c r="L167" s="3" t="str">
        <f xml:space="preserve"> IF(K167="","",  IFERROR(VLOOKUP(I167,Resources!$B$1:$H$1503,5,FALSE)-LEN(K167),0))</f>
        <v/>
      </c>
      <c r="M167" s="3" t="str">
        <f>IF(K167="","",IFERROR(matches(K167,VLOOKUP(I167,Resources!$A$2:$AA$1503,16,FALSE)),FALSE))</f>
        <v/>
      </c>
      <c r="N167" s="3" t="e">
        <f>VLOOKUP(E167,Enviroments!$A$3:$D$59,1,FALSE)</f>
        <v>#N/A</v>
      </c>
      <c r="O167" s="3" t="e">
        <f>VLOOKUP(E167,Enviroments!$A$3:$D$59,2,FALSE)</f>
        <v>#N/A</v>
      </c>
      <c r="P167" s="3" t="e">
        <f>VLOOKUP(E167,Enviroments!$A$3:$D$59,3,FALSE)</f>
        <v>#N/A</v>
      </c>
      <c r="Q167" s="3" t="e">
        <f>VLOOKUP(E167,Enviroments!$A$3:$D$59,4,FALSE)</f>
        <v>#N/A</v>
      </c>
      <c r="R167" s="3" t="e">
        <f>VLOOKUP(H167,AzureRegions!$A$4:$B$1493,1,FALSE)</f>
        <v>#N/A</v>
      </c>
      <c r="S167" s="3" t="e">
        <f>VLOOKUP(H167,AzureRegions!$A$4:$B$1493,2,FALSE)</f>
        <v>#N/A</v>
      </c>
      <c r="T167" s="3" t="e">
        <f>VLOOKUP(H167,AzureRegions!$A$4:$C$1493,3,FALSE)</f>
        <v>#N/A</v>
      </c>
      <c r="U167" s="3" t="e">
        <f>VLOOKUP(I167,Resources!$A$2:$AA$1503,2,FALSE)</f>
        <v>#N/A</v>
      </c>
      <c r="V167" s="3" t="e">
        <f>VLOOKUP(I167,Resources!$A$2:$H$1503,6,FALSE)</f>
        <v>#N/A</v>
      </c>
      <c r="W167" s="3" t="str">
        <f>VLOOKUP($H$2,Casing!$A$4:$A$60,1,FALSE)</f>
        <v>Lower</v>
      </c>
      <c r="X167" s="14" t="str">
        <f t="shared" si="5"/>
        <v>001</v>
      </c>
      <c r="Y167" s="3" t="str">
        <f>IFERROR(VLOOKUP(F167,Func!$A$4:$G$1500,2,FALSE),"none")</f>
        <v>none</v>
      </c>
      <c r="Z167" s="3" t="e">
        <f>VLOOKUP(I167,Resources!$A$2:$AA$1503,18,FALSE)</f>
        <v>#N/A</v>
      </c>
      <c r="AA167" s="3" t="str">
        <f>IFERROR(VLOOKUP(B167,Orgs!$A$4:$G$1500,2,FALSE),"none")</f>
        <v>none</v>
      </c>
      <c r="AB167" s="3" t="str">
        <f>IFERROR(VLOOKUP(C167,UnitsDepts!$A$4:$G$1500,2,FALSE),"none")</f>
        <v>none</v>
      </c>
      <c r="AC167" s="3" t="str">
        <f>IFERROR(VLOOKUP(D167,ProjAppSvc!$A$4:$G$1500,2,FALSE),"none")</f>
        <v>none</v>
      </c>
    </row>
    <row r="168" spans="1:29" x14ac:dyDescent="0.45">
      <c r="A168" s="14" t="s">
        <v>23</v>
      </c>
      <c r="B168" s="14"/>
      <c r="C168" s="14"/>
      <c r="D168" s="14"/>
      <c r="H168" s="8"/>
      <c r="I168" s="3"/>
      <c r="J168" s="3" t="str">
        <f t="shared" si="6"/>
        <v/>
      </c>
      <c r="K168" s="3" t="str">
        <f>IF(ISNUMBER(SEARCH("-",V168)),IFERROR(IF($H$2="Lower", LOWER(ComputeResourceName(Z168,#REF!,#REF!,G168,N168,O168,P168,Q168,S168,T168,V168,A168)), UPPER(ComputeResourceName(Z168,#REF!,#REF!,G168,N168,O168,P168,Q168,S168,T168,V168,A168))),""),SUBSTITUTE(IFERROR(IF($H$2="Lower", LOWER(ComputeResourceName(#REF!,#REF!,#REF!,G168,N168,O168,P168,Q168,S168,T168,V168,A168)), UPPER(ComputeResourceName(#REF!,#REF!,#REF!,G168,N168,O168,P168,Q168,S168,T168,V168,A168))),""), "-",""))</f>
        <v/>
      </c>
      <c r="L168" s="3" t="str">
        <f xml:space="preserve"> IF(K168="","",  IFERROR(VLOOKUP(I168,Resources!$B$1:$H$1503,5,FALSE)-LEN(K168),0))</f>
        <v/>
      </c>
      <c r="M168" s="3" t="str">
        <f>IF(K168="","",IFERROR(matches(K168,VLOOKUP(I168,Resources!$A$2:$AA$1503,16,FALSE)),FALSE))</f>
        <v/>
      </c>
      <c r="N168" s="3" t="e">
        <f>VLOOKUP(E168,Enviroments!$A$3:$D$59,1,FALSE)</f>
        <v>#N/A</v>
      </c>
      <c r="O168" s="3" t="e">
        <f>VLOOKUP(E168,Enviroments!$A$3:$D$59,2,FALSE)</f>
        <v>#N/A</v>
      </c>
      <c r="P168" s="3" t="e">
        <f>VLOOKUP(E168,Enviroments!$A$3:$D$59,3,FALSE)</f>
        <v>#N/A</v>
      </c>
      <c r="Q168" s="3" t="e">
        <f>VLOOKUP(E168,Enviroments!$A$3:$D$59,4,FALSE)</f>
        <v>#N/A</v>
      </c>
      <c r="R168" s="3" t="e">
        <f>VLOOKUP(H168,AzureRegions!$A$4:$B$1493,1,FALSE)</f>
        <v>#N/A</v>
      </c>
      <c r="S168" s="3" t="e">
        <f>VLOOKUP(H168,AzureRegions!$A$4:$B$1493,2,FALSE)</f>
        <v>#N/A</v>
      </c>
      <c r="T168" s="3" t="e">
        <f>VLOOKUP(H168,AzureRegions!$A$4:$C$1493,3,FALSE)</f>
        <v>#N/A</v>
      </c>
      <c r="U168" s="3" t="e">
        <f>VLOOKUP(I168,Resources!$A$2:$AA$1503,2,FALSE)</f>
        <v>#N/A</v>
      </c>
      <c r="V168" s="3" t="e">
        <f>VLOOKUP(I168,Resources!$A$2:$H$1503,6,FALSE)</f>
        <v>#N/A</v>
      </c>
      <c r="W168" s="3" t="str">
        <f>VLOOKUP($H$2,Casing!$A$4:$A$60,1,FALSE)</f>
        <v>Lower</v>
      </c>
      <c r="X168" s="14" t="str">
        <f t="shared" si="5"/>
        <v>001</v>
      </c>
      <c r="Y168" s="3" t="str">
        <f>IFERROR(VLOOKUP(F168,Func!$A$4:$G$1500,2,FALSE),"none")</f>
        <v>none</v>
      </c>
      <c r="Z168" s="3" t="e">
        <f>VLOOKUP(I168,Resources!$A$2:$AA$1503,18,FALSE)</f>
        <v>#N/A</v>
      </c>
      <c r="AA168" s="3" t="str">
        <f>IFERROR(VLOOKUP(B168,Orgs!$A$4:$G$1500,2,FALSE),"none")</f>
        <v>none</v>
      </c>
      <c r="AB168" s="3" t="str">
        <f>IFERROR(VLOOKUP(C168,UnitsDepts!$A$4:$G$1500,2,FALSE),"none")</f>
        <v>none</v>
      </c>
      <c r="AC168" s="3" t="str">
        <f>IFERROR(VLOOKUP(D168,ProjAppSvc!$A$4:$G$1500,2,FALSE),"none")</f>
        <v>none</v>
      </c>
    </row>
    <row r="169" spans="1:29" x14ac:dyDescent="0.45">
      <c r="A169" s="14" t="s">
        <v>23</v>
      </c>
      <c r="B169" s="14"/>
      <c r="C169" s="14"/>
      <c r="D169" s="14"/>
      <c r="H169" s="8"/>
      <c r="I169" s="3"/>
      <c r="J169" s="3" t="str">
        <f t="shared" si="6"/>
        <v/>
      </c>
      <c r="K169" s="3" t="str">
        <f>IF(ISNUMBER(SEARCH("-",V169)),IFERROR(IF($H$2="Lower", LOWER(ComputeResourceName(Z169,#REF!,#REF!,G169,N169,O169,P169,Q169,S169,T169,V169,A169)), UPPER(ComputeResourceName(Z169,#REF!,#REF!,G169,N169,O169,P169,Q169,S169,T169,V169,A169))),""),SUBSTITUTE(IFERROR(IF($H$2="Lower", LOWER(ComputeResourceName(#REF!,#REF!,#REF!,G169,N169,O169,P169,Q169,S169,T169,V169,A169)), UPPER(ComputeResourceName(#REF!,#REF!,#REF!,G169,N169,O169,P169,Q169,S169,T169,V169,A169))),""), "-",""))</f>
        <v/>
      </c>
      <c r="L169" s="3" t="str">
        <f xml:space="preserve"> IF(K169="","",  IFERROR(VLOOKUP(I169,Resources!$B$1:$H$1503,5,FALSE)-LEN(K169),0))</f>
        <v/>
      </c>
      <c r="M169" s="3" t="str">
        <f>IF(K169="","",IFERROR(matches(K169,VLOOKUP(I169,Resources!$A$2:$AA$1503,16,FALSE)),FALSE))</f>
        <v/>
      </c>
      <c r="N169" s="3" t="e">
        <f>VLOOKUP(E169,Enviroments!$A$3:$D$59,1,FALSE)</f>
        <v>#N/A</v>
      </c>
      <c r="O169" s="3" t="e">
        <f>VLOOKUP(E169,Enviroments!$A$3:$D$59,2,FALSE)</f>
        <v>#N/A</v>
      </c>
      <c r="P169" s="3" t="e">
        <f>VLOOKUP(E169,Enviroments!$A$3:$D$59,3,FALSE)</f>
        <v>#N/A</v>
      </c>
      <c r="Q169" s="3" t="e">
        <f>VLOOKUP(E169,Enviroments!$A$3:$D$59,4,FALSE)</f>
        <v>#N/A</v>
      </c>
      <c r="R169" s="3" t="e">
        <f>VLOOKUP(H169,AzureRegions!$A$4:$B$1493,1,FALSE)</f>
        <v>#N/A</v>
      </c>
      <c r="S169" s="3" t="e">
        <f>VLOOKUP(H169,AzureRegions!$A$4:$B$1493,2,FALSE)</f>
        <v>#N/A</v>
      </c>
      <c r="T169" s="3" t="e">
        <f>VLOOKUP(H169,AzureRegions!$A$4:$C$1493,3,FALSE)</f>
        <v>#N/A</v>
      </c>
      <c r="U169" s="3" t="e">
        <f>VLOOKUP(I169,Resources!$A$2:$AA$1503,2,FALSE)</f>
        <v>#N/A</v>
      </c>
      <c r="V169" s="3" t="e">
        <f>VLOOKUP(I169,Resources!$A$2:$H$1503,6,FALSE)</f>
        <v>#N/A</v>
      </c>
      <c r="W169" s="3" t="str">
        <f>VLOOKUP($H$2,Casing!$A$4:$A$60,1,FALSE)</f>
        <v>Lower</v>
      </c>
      <c r="X169" s="14" t="str">
        <f t="shared" si="5"/>
        <v>001</v>
      </c>
      <c r="Y169" s="3" t="str">
        <f>IFERROR(VLOOKUP(F169,Func!$A$4:$G$1500,2,FALSE),"none")</f>
        <v>none</v>
      </c>
      <c r="Z169" s="3" t="e">
        <f>VLOOKUP(I169,Resources!$A$2:$AA$1503,18,FALSE)</f>
        <v>#N/A</v>
      </c>
      <c r="AA169" s="3" t="str">
        <f>IFERROR(VLOOKUP(B169,Orgs!$A$4:$G$1500,2,FALSE),"none")</f>
        <v>none</v>
      </c>
      <c r="AB169" s="3" t="str">
        <f>IFERROR(VLOOKUP(C169,UnitsDepts!$A$4:$G$1500,2,FALSE),"none")</f>
        <v>none</v>
      </c>
      <c r="AC169" s="3" t="str">
        <f>IFERROR(VLOOKUP(D169,ProjAppSvc!$A$4:$G$1500,2,FALSE),"none")</f>
        <v>none</v>
      </c>
    </row>
    <row r="170" spans="1:29" x14ac:dyDescent="0.45">
      <c r="A170" s="14" t="s">
        <v>23</v>
      </c>
      <c r="B170" s="14"/>
      <c r="C170" s="14"/>
      <c r="D170" s="14"/>
      <c r="H170" s="8"/>
      <c r="I170" s="3"/>
      <c r="J170" s="3" t="str">
        <f t="shared" si="6"/>
        <v/>
      </c>
      <c r="K170" s="3" t="str">
        <f>IF(ISNUMBER(SEARCH("-",V170)),IFERROR(IF($H$2="Lower", LOWER(ComputeResourceName(Z170,#REF!,#REF!,G170,N170,O170,P170,Q170,S170,T170,V170,A170)), UPPER(ComputeResourceName(Z170,#REF!,#REF!,G170,N170,O170,P170,Q170,S170,T170,V170,A170))),""),SUBSTITUTE(IFERROR(IF($H$2="Lower", LOWER(ComputeResourceName(#REF!,#REF!,#REF!,G170,N170,O170,P170,Q170,S170,T170,V170,A170)), UPPER(ComputeResourceName(#REF!,#REF!,#REF!,G170,N170,O170,P170,Q170,S170,T170,V170,A170))),""), "-",""))</f>
        <v/>
      </c>
      <c r="L170" s="3" t="str">
        <f xml:space="preserve"> IF(K170="","",  IFERROR(VLOOKUP(I170,Resources!$B$1:$H$1503,5,FALSE)-LEN(K170),0))</f>
        <v/>
      </c>
      <c r="M170" s="3" t="str">
        <f>IF(K170="","",IFERROR(matches(K170,VLOOKUP(I170,Resources!$A$2:$AA$1503,16,FALSE)),FALSE))</f>
        <v/>
      </c>
      <c r="N170" s="3" t="e">
        <f>VLOOKUP(E170,Enviroments!$A$3:$D$59,1,FALSE)</f>
        <v>#N/A</v>
      </c>
      <c r="O170" s="3" t="e">
        <f>VLOOKUP(E170,Enviroments!$A$3:$D$59,2,FALSE)</f>
        <v>#N/A</v>
      </c>
      <c r="P170" s="3" t="e">
        <f>VLOOKUP(E170,Enviroments!$A$3:$D$59,3,FALSE)</f>
        <v>#N/A</v>
      </c>
      <c r="Q170" s="3" t="e">
        <f>VLOOKUP(E170,Enviroments!$A$3:$D$59,4,FALSE)</f>
        <v>#N/A</v>
      </c>
      <c r="R170" s="3" t="e">
        <f>VLOOKUP(H170,AzureRegions!$A$4:$B$1493,1,FALSE)</f>
        <v>#N/A</v>
      </c>
      <c r="S170" s="3" t="e">
        <f>VLOOKUP(H170,AzureRegions!$A$4:$B$1493,2,FALSE)</f>
        <v>#N/A</v>
      </c>
      <c r="T170" s="3" t="e">
        <f>VLOOKUP(H170,AzureRegions!$A$4:$C$1493,3,FALSE)</f>
        <v>#N/A</v>
      </c>
      <c r="U170" s="3" t="e">
        <f>VLOOKUP(I170,Resources!$A$2:$AA$1503,2,FALSE)</f>
        <v>#N/A</v>
      </c>
      <c r="V170" s="3" t="e">
        <f>VLOOKUP(I170,Resources!$A$2:$H$1503,6,FALSE)</f>
        <v>#N/A</v>
      </c>
      <c r="W170" s="3" t="str">
        <f>VLOOKUP($H$2,Casing!$A$4:$A$60,1,FALSE)</f>
        <v>Lower</v>
      </c>
      <c r="X170" s="14" t="str">
        <f t="shared" si="5"/>
        <v>001</v>
      </c>
      <c r="Y170" s="3" t="str">
        <f>IFERROR(VLOOKUP(F170,Func!$A$4:$G$1500,2,FALSE),"none")</f>
        <v>none</v>
      </c>
      <c r="Z170" s="3" t="e">
        <f>VLOOKUP(I170,Resources!$A$2:$AA$1503,18,FALSE)</f>
        <v>#N/A</v>
      </c>
      <c r="AA170" s="3" t="str">
        <f>IFERROR(VLOOKUP(B170,Orgs!$A$4:$G$1500,2,FALSE),"none")</f>
        <v>none</v>
      </c>
      <c r="AB170" s="3" t="str">
        <f>IFERROR(VLOOKUP(C170,UnitsDepts!$A$4:$G$1500,2,FALSE),"none")</f>
        <v>none</v>
      </c>
      <c r="AC170" s="3" t="str">
        <f>IFERROR(VLOOKUP(D170,ProjAppSvc!$A$4:$G$1500,2,FALSE),"none")</f>
        <v>none</v>
      </c>
    </row>
    <row r="171" spans="1:29" x14ac:dyDescent="0.45">
      <c r="A171" s="14" t="s">
        <v>23</v>
      </c>
      <c r="B171" s="14"/>
      <c r="C171" s="14"/>
      <c r="D171" s="14"/>
      <c r="H171" s="8"/>
      <c r="I171" s="3"/>
      <c r="J171" s="3" t="str">
        <f t="shared" si="6"/>
        <v/>
      </c>
      <c r="K171" s="3" t="str">
        <f>IF(ISNUMBER(SEARCH("-",V171)),IFERROR(IF($H$2="Lower", LOWER(ComputeResourceName(Z171,#REF!,#REF!,G171,N171,O171,P171,Q171,S171,T171,V171,A171)), UPPER(ComputeResourceName(Z171,#REF!,#REF!,G171,N171,O171,P171,Q171,S171,T171,V171,A171))),""),SUBSTITUTE(IFERROR(IF($H$2="Lower", LOWER(ComputeResourceName(#REF!,#REF!,#REF!,G171,N171,O171,P171,Q171,S171,T171,V171,A171)), UPPER(ComputeResourceName(#REF!,#REF!,#REF!,G171,N171,O171,P171,Q171,S171,T171,V171,A171))),""), "-",""))</f>
        <v/>
      </c>
      <c r="L171" s="3" t="str">
        <f xml:space="preserve"> IF(K171="","",  IFERROR(VLOOKUP(I171,Resources!$B$1:$H$1503,5,FALSE)-LEN(K171),0))</f>
        <v/>
      </c>
      <c r="M171" s="3" t="str">
        <f>IF(K171="","",IFERROR(matches(K171,VLOOKUP(I171,Resources!$A$2:$AA$1503,16,FALSE)),FALSE))</f>
        <v/>
      </c>
      <c r="N171" s="3" t="e">
        <f>VLOOKUP(E171,Enviroments!$A$3:$D$59,1,FALSE)</f>
        <v>#N/A</v>
      </c>
      <c r="O171" s="3" t="e">
        <f>VLOOKUP(E171,Enviroments!$A$3:$D$59,2,FALSE)</f>
        <v>#N/A</v>
      </c>
      <c r="P171" s="3" t="e">
        <f>VLOOKUP(E171,Enviroments!$A$3:$D$59,3,FALSE)</f>
        <v>#N/A</v>
      </c>
      <c r="Q171" s="3" t="e">
        <f>VLOOKUP(E171,Enviroments!$A$3:$D$59,4,FALSE)</f>
        <v>#N/A</v>
      </c>
      <c r="R171" s="3" t="e">
        <f>VLOOKUP(H171,AzureRegions!$A$4:$B$1493,1,FALSE)</f>
        <v>#N/A</v>
      </c>
      <c r="S171" s="3" t="e">
        <f>VLOOKUP(H171,AzureRegions!$A$4:$B$1493,2,FALSE)</f>
        <v>#N/A</v>
      </c>
      <c r="T171" s="3" t="e">
        <f>VLOOKUP(H171,AzureRegions!$A$4:$C$1493,3,FALSE)</f>
        <v>#N/A</v>
      </c>
      <c r="U171" s="3" t="e">
        <f>VLOOKUP(I171,Resources!$A$2:$AA$1503,2,FALSE)</f>
        <v>#N/A</v>
      </c>
      <c r="V171" s="3" t="e">
        <f>VLOOKUP(I171,Resources!$A$2:$H$1503,6,FALSE)</f>
        <v>#N/A</v>
      </c>
      <c r="W171" s="3" t="str">
        <f>VLOOKUP($H$2,Casing!$A$4:$A$60,1,FALSE)</f>
        <v>Lower</v>
      </c>
      <c r="X171" s="14" t="str">
        <f t="shared" si="5"/>
        <v>001</v>
      </c>
      <c r="Y171" s="3" t="str">
        <f>IFERROR(VLOOKUP(F171,Func!$A$4:$G$1500,2,FALSE),"none")</f>
        <v>none</v>
      </c>
      <c r="Z171" s="3" t="e">
        <f>VLOOKUP(I171,Resources!$A$2:$AA$1503,18,FALSE)</f>
        <v>#N/A</v>
      </c>
      <c r="AA171" s="3" t="str">
        <f>IFERROR(VLOOKUP(B171,Orgs!$A$4:$G$1500,2,FALSE),"none")</f>
        <v>none</v>
      </c>
      <c r="AB171" s="3" t="str">
        <f>IFERROR(VLOOKUP(C171,UnitsDepts!$A$4:$G$1500,2,FALSE),"none")</f>
        <v>none</v>
      </c>
      <c r="AC171" s="3" t="str">
        <f>IFERROR(VLOOKUP(D171,ProjAppSvc!$A$4:$G$1500,2,FALSE),"none")</f>
        <v>none</v>
      </c>
    </row>
    <row r="172" spans="1:29" x14ac:dyDescent="0.45">
      <c r="A172" s="14" t="s">
        <v>23</v>
      </c>
      <c r="B172" s="14"/>
      <c r="C172" s="14"/>
      <c r="D172" s="14"/>
      <c r="H172" s="8"/>
      <c r="I172" s="3"/>
      <c r="J172" s="3" t="str">
        <f t="shared" si="6"/>
        <v/>
      </c>
      <c r="K172" s="3" t="str">
        <f>IF(ISNUMBER(SEARCH("-",V172)),IFERROR(IF($H$2="Lower", LOWER(ComputeResourceName(Z172,#REF!,#REF!,G172,N172,O172,P172,Q172,S172,T172,V172,A172)), UPPER(ComputeResourceName(Z172,#REF!,#REF!,G172,N172,O172,P172,Q172,S172,T172,V172,A172))),""),SUBSTITUTE(IFERROR(IF($H$2="Lower", LOWER(ComputeResourceName(#REF!,#REF!,#REF!,G172,N172,O172,P172,Q172,S172,T172,V172,A172)), UPPER(ComputeResourceName(#REF!,#REF!,#REF!,G172,N172,O172,P172,Q172,S172,T172,V172,A172))),""), "-",""))</f>
        <v/>
      </c>
      <c r="L172" s="3" t="str">
        <f xml:space="preserve"> IF(K172="","",  IFERROR(VLOOKUP(I172,Resources!$B$1:$H$1503,5,FALSE)-LEN(K172),0))</f>
        <v/>
      </c>
      <c r="M172" s="3" t="str">
        <f>IF(K172="","",IFERROR(matches(K172,VLOOKUP(I172,Resources!$A$2:$AA$1503,16,FALSE)),FALSE))</f>
        <v/>
      </c>
      <c r="N172" s="3" t="e">
        <f>VLOOKUP(E172,Enviroments!$A$3:$D$59,1,FALSE)</f>
        <v>#N/A</v>
      </c>
      <c r="O172" s="3" t="e">
        <f>VLOOKUP(E172,Enviroments!$A$3:$D$59,2,FALSE)</f>
        <v>#N/A</v>
      </c>
      <c r="P172" s="3" t="e">
        <f>VLOOKUP(E172,Enviroments!$A$3:$D$59,3,FALSE)</f>
        <v>#N/A</v>
      </c>
      <c r="Q172" s="3" t="e">
        <f>VLOOKUP(E172,Enviroments!$A$3:$D$59,4,FALSE)</f>
        <v>#N/A</v>
      </c>
      <c r="R172" s="3" t="e">
        <f>VLOOKUP(H172,AzureRegions!$A$4:$B$1493,1,FALSE)</f>
        <v>#N/A</v>
      </c>
      <c r="S172" s="3" t="e">
        <f>VLOOKUP(H172,AzureRegions!$A$4:$B$1493,2,FALSE)</f>
        <v>#N/A</v>
      </c>
      <c r="T172" s="3" t="e">
        <f>VLOOKUP(H172,AzureRegions!$A$4:$C$1493,3,FALSE)</f>
        <v>#N/A</v>
      </c>
      <c r="U172" s="3" t="e">
        <f>VLOOKUP(I172,Resources!$A$2:$AA$1503,2,FALSE)</f>
        <v>#N/A</v>
      </c>
      <c r="V172" s="3" t="e">
        <f>VLOOKUP(I172,Resources!$A$2:$H$1503,6,FALSE)</f>
        <v>#N/A</v>
      </c>
      <c r="W172" s="3" t="str">
        <f>VLOOKUP($H$2,Casing!$A$4:$A$60,1,FALSE)</f>
        <v>Lower</v>
      </c>
      <c r="X172" s="14" t="str">
        <f t="shared" si="5"/>
        <v>001</v>
      </c>
      <c r="Y172" s="3" t="str">
        <f>IFERROR(VLOOKUP(F172,Func!$A$4:$G$1500,2,FALSE),"none")</f>
        <v>none</v>
      </c>
      <c r="Z172" s="3" t="e">
        <f>VLOOKUP(I172,Resources!$A$2:$AA$1503,18,FALSE)</f>
        <v>#N/A</v>
      </c>
      <c r="AA172" s="3" t="str">
        <f>IFERROR(VLOOKUP(B172,Orgs!$A$4:$G$1500,2,FALSE),"none")</f>
        <v>none</v>
      </c>
      <c r="AB172" s="3" t="str">
        <f>IFERROR(VLOOKUP(C172,UnitsDepts!$A$4:$G$1500,2,FALSE),"none")</f>
        <v>none</v>
      </c>
      <c r="AC172" s="3" t="str">
        <f>IFERROR(VLOOKUP(D172,ProjAppSvc!$A$4:$G$1500,2,FALSE),"none")</f>
        <v>none</v>
      </c>
    </row>
    <row r="173" spans="1:29" x14ac:dyDescent="0.45">
      <c r="A173" s="14" t="s">
        <v>23</v>
      </c>
      <c r="B173" s="14"/>
      <c r="C173" s="14"/>
      <c r="D173" s="14"/>
      <c r="H173" s="8"/>
      <c r="I173" s="3"/>
      <c r="J173" s="3" t="str">
        <f t="shared" si="6"/>
        <v/>
      </c>
      <c r="K173" s="3" t="str">
        <f>IF(ISNUMBER(SEARCH("-",V173)),IFERROR(IF($H$2="Lower", LOWER(ComputeResourceName(Z173,#REF!,#REF!,G173,N173,O173,P173,Q173,S173,T173,V173,A173)), UPPER(ComputeResourceName(Z173,#REF!,#REF!,G173,N173,O173,P173,Q173,S173,T173,V173,A173))),""),SUBSTITUTE(IFERROR(IF($H$2="Lower", LOWER(ComputeResourceName(#REF!,#REF!,#REF!,G173,N173,O173,P173,Q173,S173,T173,V173,A173)), UPPER(ComputeResourceName(#REF!,#REF!,#REF!,G173,N173,O173,P173,Q173,S173,T173,V173,A173))),""), "-",""))</f>
        <v/>
      </c>
      <c r="L173" s="3" t="str">
        <f xml:space="preserve"> IF(K173="","",  IFERROR(VLOOKUP(I173,Resources!$B$1:$H$1503,5,FALSE)-LEN(K173),0))</f>
        <v/>
      </c>
      <c r="M173" s="3" t="str">
        <f>IF(K173="","",IFERROR(matches(K173,VLOOKUP(I173,Resources!$A$2:$AA$1503,16,FALSE)),FALSE))</f>
        <v/>
      </c>
      <c r="N173" s="3" t="e">
        <f>VLOOKUP(E173,Enviroments!$A$3:$D$59,1,FALSE)</f>
        <v>#N/A</v>
      </c>
      <c r="O173" s="3" t="e">
        <f>VLOOKUP(E173,Enviroments!$A$3:$D$59,2,FALSE)</f>
        <v>#N/A</v>
      </c>
      <c r="P173" s="3" t="e">
        <f>VLOOKUP(E173,Enviroments!$A$3:$D$59,3,FALSE)</f>
        <v>#N/A</v>
      </c>
      <c r="Q173" s="3" t="e">
        <f>VLOOKUP(E173,Enviroments!$A$3:$D$59,4,FALSE)</f>
        <v>#N/A</v>
      </c>
      <c r="R173" s="3" t="e">
        <f>VLOOKUP(H173,AzureRegions!$A$4:$B$1493,1,FALSE)</f>
        <v>#N/A</v>
      </c>
      <c r="S173" s="3" t="e">
        <f>VLOOKUP(H173,AzureRegions!$A$4:$B$1493,2,FALSE)</f>
        <v>#N/A</v>
      </c>
      <c r="T173" s="3" t="e">
        <f>VLOOKUP(H173,AzureRegions!$A$4:$C$1493,3,FALSE)</f>
        <v>#N/A</v>
      </c>
      <c r="U173" s="3" t="e">
        <f>VLOOKUP(I173,Resources!$A$2:$AA$1503,2,FALSE)</f>
        <v>#N/A</v>
      </c>
      <c r="V173" s="3" t="e">
        <f>VLOOKUP(I173,Resources!$A$2:$H$1503,6,FALSE)</f>
        <v>#N/A</v>
      </c>
      <c r="W173" s="3" t="str">
        <f>VLOOKUP($H$2,Casing!$A$4:$A$60,1,FALSE)</f>
        <v>Lower</v>
      </c>
      <c r="X173" s="14" t="str">
        <f t="shared" si="5"/>
        <v>001</v>
      </c>
      <c r="Y173" s="3" t="str">
        <f>IFERROR(VLOOKUP(F173,Func!$A$4:$G$1500,2,FALSE),"none")</f>
        <v>none</v>
      </c>
      <c r="Z173" s="3" t="e">
        <f>VLOOKUP(I173,Resources!$A$2:$AA$1503,18,FALSE)</f>
        <v>#N/A</v>
      </c>
      <c r="AA173" s="3" t="str">
        <f>IFERROR(VLOOKUP(B173,Orgs!$A$4:$G$1500,2,FALSE),"none")</f>
        <v>none</v>
      </c>
      <c r="AB173" s="3" t="str">
        <f>IFERROR(VLOOKUP(C173,UnitsDepts!$A$4:$G$1500,2,FALSE),"none")</f>
        <v>none</v>
      </c>
      <c r="AC173" s="3" t="str">
        <f>IFERROR(VLOOKUP(D173,ProjAppSvc!$A$4:$G$1500,2,FALSE),"none")</f>
        <v>none</v>
      </c>
    </row>
    <row r="174" spans="1:29" x14ac:dyDescent="0.45">
      <c r="A174" s="14" t="s">
        <v>23</v>
      </c>
      <c r="B174" s="14"/>
      <c r="C174" s="14"/>
      <c r="D174" s="14"/>
      <c r="H174" s="8"/>
      <c r="I174" s="3"/>
      <c r="J174" s="3" t="str">
        <f t="shared" si="6"/>
        <v/>
      </c>
      <c r="K174" s="3" t="str">
        <f>IF(ISNUMBER(SEARCH("-",V174)),IFERROR(IF($H$2="Lower", LOWER(ComputeResourceName(Z174,#REF!,#REF!,G174,N174,O174,P174,Q174,S174,T174,V174,A174)), UPPER(ComputeResourceName(Z174,#REF!,#REF!,G174,N174,O174,P174,Q174,S174,T174,V174,A174))),""),SUBSTITUTE(IFERROR(IF($H$2="Lower", LOWER(ComputeResourceName(#REF!,#REF!,#REF!,G174,N174,O174,P174,Q174,S174,T174,V174,A174)), UPPER(ComputeResourceName(#REF!,#REF!,#REF!,G174,N174,O174,P174,Q174,S174,T174,V174,A174))),""), "-",""))</f>
        <v/>
      </c>
      <c r="L174" s="3" t="str">
        <f xml:space="preserve"> IF(K174="","",  IFERROR(VLOOKUP(I174,Resources!$B$1:$H$1503,5,FALSE)-LEN(K174),0))</f>
        <v/>
      </c>
      <c r="M174" s="3" t="str">
        <f>IF(K174="","",IFERROR(matches(K174,VLOOKUP(I174,Resources!$A$2:$AA$1503,16,FALSE)),FALSE))</f>
        <v/>
      </c>
      <c r="N174" s="3" t="e">
        <f>VLOOKUP(E174,Enviroments!$A$3:$D$59,1,FALSE)</f>
        <v>#N/A</v>
      </c>
      <c r="O174" s="3" t="e">
        <f>VLOOKUP(E174,Enviroments!$A$3:$D$59,2,FALSE)</f>
        <v>#N/A</v>
      </c>
      <c r="P174" s="3" t="e">
        <f>VLOOKUP(E174,Enviroments!$A$3:$D$59,3,FALSE)</f>
        <v>#N/A</v>
      </c>
      <c r="Q174" s="3" t="e">
        <f>VLOOKUP(E174,Enviroments!$A$3:$D$59,4,FALSE)</f>
        <v>#N/A</v>
      </c>
      <c r="R174" s="3" t="e">
        <f>VLOOKUP(H174,AzureRegions!$A$4:$B$1493,1,FALSE)</f>
        <v>#N/A</v>
      </c>
      <c r="S174" s="3" t="e">
        <f>VLOOKUP(H174,AzureRegions!$A$4:$B$1493,2,FALSE)</f>
        <v>#N/A</v>
      </c>
      <c r="T174" s="3" t="e">
        <f>VLOOKUP(H174,AzureRegions!$A$4:$C$1493,3,FALSE)</f>
        <v>#N/A</v>
      </c>
      <c r="U174" s="3" t="e">
        <f>VLOOKUP(I174,Resources!$A$2:$AA$1503,2,FALSE)</f>
        <v>#N/A</v>
      </c>
      <c r="V174" s="3" t="e">
        <f>VLOOKUP(I174,Resources!$A$2:$H$1503,6,FALSE)</f>
        <v>#N/A</v>
      </c>
      <c r="W174" s="3" t="str">
        <f>VLOOKUP($H$2,Casing!$A$4:$A$60,1,FALSE)</f>
        <v>Lower</v>
      </c>
      <c r="X174" s="14" t="str">
        <f t="shared" si="5"/>
        <v>001</v>
      </c>
      <c r="Y174" s="3" t="str">
        <f>IFERROR(VLOOKUP(F174,Func!$A$4:$G$1500,2,FALSE),"none")</f>
        <v>none</v>
      </c>
      <c r="Z174" s="3" t="e">
        <f>VLOOKUP(I174,Resources!$A$2:$AA$1503,18,FALSE)</f>
        <v>#N/A</v>
      </c>
      <c r="AA174" s="3" t="str">
        <f>IFERROR(VLOOKUP(B174,Orgs!$A$4:$G$1500,2,FALSE),"none")</f>
        <v>none</v>
      </c>
      <c r="AB174" s="3" t="str">
        <f>IFERROR(VLOOKUP(C174,UnitsDepts!$A$4:$G$1500,2,FALSE),"none")</f>
        <v>none</v>
      </c>
      <c r="AC174" s="3" t="str">
        <f>IFERROR(VLOOKUP(D174,ProjAppSvc!$A$4:$G$1500,2,FALSE),"none")</f>
        <v>none</v>
      </c>
    </row>
    <row r="175" spans="1:29" x14ac:dyDescent="0.45">
      <c r="A175" s="14" t="s">
        <v>23</v>
      </c>
      <c r="B175" s="14"/>
      <c r="C175" s="14"/>
      <c r="D175" s="14"/>
      <c r="H175" s="8"/>
      <c r="I175" s="3"/>
      <c r="J175" s="3" t="str">
        <f t="shared" si="6"/>
        <v/>
      </c>
      <c r="K175" s="3" t="str">
        <f>IF(ISNUMBER(SEARCH("-",V175)),IFERROR(IF($H$2="Lower", LOWER(ComputeResourceName(Z175,#REF!,#REF!,G175,N175,O175,P175,Q175,S175,T175,V175,A175)), UPPER(ComputeResourceName(Z175,#REF!,#REF!,G175,N175,O175,P175,Q175,S175,T175,V175,A175))),""),SUBSTITUTE(IFERROR(IF($H$2="Lower", LOWER(ComputeResourceName(#REF!,#REF!,#REF!,G175,N175,O175,P175,Q175,S175,T175,V175,A175)), UPPER(ComputeResourceName(#REF!,#REF!,#REF!,G175,N175,O175,P175,Q175,S175,T175,V175,A175))),""), "-",""))</f>
        <v/>
      </c>
      <c r="L175" s="3" t="str">
        <f xml:space="preserve"> IF(K175="","",  IFERROR(VLOOKUP(I175,Resources!$B$1:$H$1503,5,FALSE)-LEN(K175),0))</f>
        <v/>
      </c>
      <c r="M175" s="3" t="str">
        <f>IF(K175="","",IFERROR(matches(K175,VLOOKUP(I175,Resources!$A$2:$AA$1503,16,FALSE)),FALSE))</f>
        <v/>
      </c>
      <c r="N175" s="3" t="e">
        <f>VLOOKUP(E175,Enviroments!$A$3:$D$59,1,FALSE)</f>
        <v>#N/A</v>
      </c>
      <c r="O175" s="3" t="e">
        <f>VLOOKUP(E175,Enviroments!$A$3:$D$59,2,FALSE)</f>
        <v>#N/A</v>
      </c>
      <c r="P175" s="3" t="e">
        <f>VLOOKUP(E175,Enviroments!$A$3:$D$59,3,FALSE)</f>
        <v>#N/A</v>
      </c>
      <c r="Q175" s="3" t="e">
        <f>VLOOKUP(E175,Enviroments!$A$3:$D$59,4,FALSE)</f>
        <v>#N/A</v>
      </c>
      <c r="R175" s="3" t="e">
        <f>VLOOKUP(H175,AzureRegions!$A$4:$B$1493,1,FALSE)</f>
        <v>#N/A</v>
      </c>
      <c r="S175" s="3" t="e">
        <f>VLOOKUP(H175,AzureRegions!$A$4:$B$1493,2,FALSE)</f>
        <v>#N/A</v>
      </c>
      <c r="T175" s="3" t="e">
        <f>VLOOKUP(H175,AzureRegions!$A$4:$C$1493,3,FALSE)</f>
        <v>#N/A</v>
      </c>
      <c r="U175" s="3" t="e">
        <f>VLOOKUP(I175,Resources!$A$2:$AA$1503,2,FALSE)</f>
        <v>#N/A</v>
      </c>
      <c r="V175" s="3" t="e">
        <f>VLOOKUP(I175,Resources!$A$2:$H$1503,6,FALSE)</f>
        <v>#N/A</v>
      </c>
      <c r="W175" s="3" t="str">
        <f>VLOOKUP($H$2,Casing!$A$4:$A$60,1,FALSE)</f>
        <v>Lower</v>
      </c>
      <c r="X175" s="14" t="str">
        <f t="shared" si="5"/>
        <v>001</v>
      </c>
      <c r="Y175" s="3" t="str">
        <f>IFERROR(VLOOKUP(F175,Func!$A$4:$G$1500,2,FALSE),"none")</f>
        <v>none</v>
      </c>
      <c r="Z175" s="3" t="e">
        <f>VLOOKUP(I175,Resources!$A$2:$AA$1503,18,FALSE)</f>
        <v>#N/A</v>
      </c>
      <c r="AA175" s="3" t="str">
        <f>IFERROR(VLOOKUP(B175,Orgs!$A$4:$G$1500,2,FALSE),"none")</f>
        <v>none</v>
      </c>
      <c r="AB175" s="3" t="str">
        <f>IFERROR(VLOOKUP(C175,UnitsDepts!$A$4:$G$1500,2,FALSE),"none")</f>
        <v>none</v>
      </c>
      <c r="AC175" s="3" t="str">
        <f>IFERROR(VLOOKUP(D175,ProjAppSvc!$A$4:$G$1500,2,FALSE),"none")</f>
        <v>none</v>
      </c>
    </row>
    <row r="176" spans="1:29" x14ac:dyDescent="0.45">
      <c r="A176" s="14" t="s">
        <v>23</v>
      </c>
      <c r="B176" s="14"/>
      <c r="C176" s="14"/>
      <c r="D176" s="14"/>
      <c r="H176" s="8"/>
      <c r="I176" s="3"/>
      <c r="J176" s="3" t="str">
        <f t="shared" si="6"/>
        <v/>
      </c>
      <c r="K176" s="3" t="str">
        <f>IF(ISNUMBER(SEARCH("-",V176)),IFERROR(IF($H$2="Lower", LOWER(ComputeResourceName(Z176,#REF!,#REF!,G176,N176,O176,P176,Q176,S176,T176,V176,A176)), UPPER(ComputeResourceName(Z176,#REF!,#REF!,G176,N176,O176,P176,Q176,S176,T176,V176,A176))),""),SUBSTITUTE(IFERROR(IF($H$2="Lower", LOWER(ComputeResourceName(#REF!,#REF!,#REF!,G176,N176,O176,P176,Q176,S176,T176,V176,A176)), UPPER(ComputeResourceName(#REF!,#REF!,#REF!,G176,N176,O176,P176,Q176,S176,T176,V176,A176))),""), "-",""))</f>
        <v/>
      </c>
      <c r="L176" s="3" t="str">
        <f xml:space="preserve"> IF(K176="","",  IFERROR(VLOOKUP(I176,Resources!$B$1:$H$1503,5,FALSE)-LEN(K176),0))</f>
        <v/>
      </c>
      <c r="M176" s="3" t="str">
        <f>IF(K176="","",IFERROR(matches(K176,VLOOKUP(I176,Resources!$A$2:$AA$1503,16,FALSE)),FALSE))</f>
        <v/>
      </c>
      <c r="N176" s="3" t="e">
        <f>VLOOKUP(E176,Enviroments!$A$3:$D$59,1,FALSE)</f>
        <v>#N/A</v>
      </c>
      <c r="O176" s="3" t="e">
        <f>VLOOKUP(E176,Enviroments!$A$3:$D$59,2,FALSE)</f>
        <v>#N/A</v>
      </c>
      <c r="P176" s="3" t="e">
        <f>VLOOKUP(E176,Enviroments!$A$3:$D$59,3,FALSE)</f>
        <v>#N/A</v>
      </c>
      <c r="Q176" s="3" t="e">
        <f>VLOOKUP(E176,Enviroments!$A$3:$D$59,4,FALSE)</f>
        <v>#N/A</v>
      </c>
      <c r="R176" s="3" t="e">
        <f>VLOOKUP(H176,AzureRegions!$A$4:$B$1493,1,FALSE)</f>
        <v>#N/A</v>
      </c>
      <c r="S176" s="3" t="e">
        <f>VLOOKUP(H176,AzureRegions!$A$4:$B$1493,2,FALSE)</f>
        <v>#N/A</v>
      </c>
      <c r="T176" s="3" t="e">
        <f>VLOOKUP(H176,AzureRegions!$A$4:$C$1493,3,FALSE)</f>
        <v>#N/A</v>
      </c>
      <c r="U176" s="3" t="e">
        <f>VLOOKUP(I176,Resources!$A$2:$AA$1503,2,FALSE)</f>
        <v>#N/A</v>
      </c>
      <c r="V176" s="3" t="e">
        <f>VLOOKUP(I176,Resources!$A$2:$H$1503,6,FALSE)</f>
        <v>#N/A</v>
      </c>
      <c r="W176" s="3" t="str">
        <f>VLOOKUP($H$2,Casing!$A$4:$A$60,1,FALSE)</f>
        <v>Lower</v>
      </c>
      <c r="X176" s="14" t="str">
        <f t="shared" si="5"/>
        <v>001</v>
      </c>
      <c r="Y176" s="3" t="str">
        <f>IFERROR(VLOOKUP(F176,Func!$A$4:$G$1500,2,FALSE),"none")</f>
        <v>none</v>
      </c>
      <c r="Z176" s="3" t="e">
        <f>VLOOKUP(I176,Resources!$A$2:$AA$1503,18,FALSE)</f>
        <v>#N/A</v>
      </c>
      <c r="AA176" s="3" t="str">
        <f>IFERROR(VLOOKUP(B176,Orgs!$A$4:$G$1500,2,FALSE),"none")</f>
        <v>none</v>
      </c>
      <c r="AB176" s="3" t="str">
        <f>IFERROR(VLOOKUP(C176,UnitsDepts!$A$4:$G$1500,2,FALSE),"none")</f>
        <v>none</v>
      </c>
      <c r="AC176" s="3" t="str">
        <f>IFERROR(VLOOKUP(D176,ProjAppSvc!$A$4:$G$1500,2,FALSE),"none")</f>
        <v>none</v>
      </c>
    </row>
    <row r="177" spans="1:29" x14ac:dyDescent="0.45">
      <c r="A177" s="14" t="s">
        <v>23</v>
      </c>
      <c r="B177" s="14"/>
      <c r="C177" s="14"/>
      <c r="D177" s="14"/>
      <c r="H177" s="8"/>
      <c r="I177" s="3"/>
      <c r="J177" s="3" t="str">
        <f t="shared" si="6"/>
        <v/>
      </c>
      <c r="K177" s="3" t="str">
        <f>IF(ISNUMBER(SEARCH("-",V177)),IFERROR(IF($H$2="Lower", LOWER(ComputeResourceName(Z177,#REF!,#REF!,G177,N177,O177,P177,Q177,S177,T177,V177,A177)), UPPER(ComputeResourceName(Z177,#REF!,#REF!,G177,N177,O177,P177,Q177,S177,T177,V177,A177))),""),SUBSTITUTE(IFERROR(IF($H$2="Lower", LOWER(ComputeResourceName(#REF!,#REF!,#REF!,G177,N177,O177,P177,Q177,S177,T177,V177,A177)), UPPER(ComputeResourceName(#REF!,#REF!,#REF!,G177,N177,O177,P177,Q177,S177,T177,V177,A177))),""), "-",""))</f>
        <v/>
      </c>
      <c r="L177" s="3" t="str">
        <f xml:space="preserve"> IF(K177="","",  IFERROR(VLOOKUP(I177,Resources!$B$1:$H$1503,5,FALSE)-LEN(K177),0))</f>
        <v/>
      </c>
      <c r="M177" s="3" t="str">
        <f>IF(K177="","",IFERROR(matches(K177,VLOOKUP(I177,Resources!$A$2:$AA$1503,16,FALSE)),FALSE))</f>
        <v/>
      </c>
      <c r="N177" s="3" t="e">
        <f>VLOOKUP(E177,Enviroments!$A$3:$D$59,1,FALSE)</f>
        <v>#N/A</v>
      </c>
      <c r="O177" s="3" t="e">
        <f>VLOOKUP(E177,Enviroments!$A$3:$D$59,2,FALSE)</f>
        <v>#N/A</v>
      </c>
      <c r="P177" s="3" t="e">
        <f>VLOOKUP(E177,Enviroments!$A$3:$D$59,3,FALSE)</f>
        <v>#N/A</v>
      </c>
      <c r="Q177" s="3" t="e">
        <f>VLOOKUP(E177,Enviroments!$A$3:$D$59,4,FALSE)</f>
        <v>#N/A</v>
      </c>
      <c r="R177" s="3" t="e">
        <f>VLOOKUP(H177,AzureRegions!$A$4:$B$1493,1,FALSE)</f>
        <v>#N/A</v>
      </c>
      <c r="S177" s="3" t="e">
        <f>VLOOKUP(H177,AzureRegions!$A$4:$B$1493,2,FALSE)</f>
        <v>#N/A</v>
      </c>
      <c r="T177" s="3" t="e">
        <f>VLOOKUP(H177,AzureRegions!$A$4:$C$1493,3,FALSE)</f>
        <v>#N/A</v>
      </c>
      <c r="U177" s="3" t="e">
        <f>VLOOKUP(I177,Resources!$A$2:$AA$1503,2,FALSE)</f>
        <v>#N/A</v>
      </c>
      <c r="V177" s="3" t="e">
        <f>VLOOKUP(I177,Resources!$A$2:$H$1503,6,FALSE)</f>
        <v>#N/A</v>
      </c>
      <c r="W177" s="3" t="str">
        <f>VLOOKUP($H$2,Casing!$A$4:$A$60,1,FALSE)</f>
        <v>Lower</v>
      </c>
      <c r="X177" s="14" t="str">
        <f t="shared" si="5"/>
        <v>001</v>
      </c>
      <c r="Y177" s="3" t="str">
        <f>IFERROR(VLOOKUP(F177,Func!$A$4:$G$1500,2,FALSE),"none")</f>
        <v>none</v>
      </c>
      <c r="Z177" s="3" t="e">
        <f>VLOOKUP(I177,Resources!$A$2:$AA$1503,18,FALSE)</f>
        <v>#N/A</v>
      </c>
      <c r="AA177" s="3" t="str">
        <f>IFERROR(VLOOKUP(B177,Orgs!$A$4:$G$1500,2,FALSE),"none")</f>
        <v>none</v>
      </c>
      <c r="AB177" s="3" t="str">
        <f>IFERROR(VLOOKUP(C177,UnitsDepts!$A$4:$G$1500,2,FALSE),"none")</f>
        <v>none</v>
      </c>
      <c r="AC177" s="3" t="str">
        <f>IFERROR(VLOOKUP(D177,ProjAppSvc!$A$4:$G$1500,2,FALSE),"none")</f>
        <v>none</v>
      </c>
    </row>
    <row r="178" spans="1:29" x14ac:dyDescent="0.45">
      <c r="A178" s="14" t="s">
        <v>23</v>
      </c>
      <c r="B178" s="14"/>
      <c r="C178" s="14"/>
      <c r="D178" s="14"/>
      <c r="H178" s="8"/>
      <c r="I178" s="3"/>
      <c r="J178" s="3" t="str">
        <f t="shared" si="6"/>
        <v/>
      </c>
      <c r="K178" s="3" t="str">
        <f>IF(ISNUMBER(SEARCH("-",V178)),IFERROR(IF($H$2="Lower", LOWER(ComputeResourceName(Z178,#REF!,#REF!,G178,N178,O178,P178,Q178,S178,T178,V178,A178)), UPPER(ComputeResourceName(Z178,#REF!,#REF!,G178,N178,O178,P178,Q178,S178,T178,V178,A178))),""),SUBSTITUTE(IFERROR(IF($H$2="Lower", LOWER(ComputeResourceName(#REF!,#REF!,#REF!,G178,N178,O178,P178,Q178,S178,T178,V178,A178)), UPPER(ComputeResourceName(#REF!,#REF!,#REF!,G178,N178,O178,P178,Q178,S178,T178,V178,A178))),""), "-",""))</f>
        <v/>
      </c>
      <c r="L178" s="3" t="str">
        <f xml:space="preserve"> IF(K178="","",  IFERROR(VLOOKUP(I178,Resources!$B$1:$H$1503,5,FALSE)-LEN(K178),0))</f>
        <v/>
      </c>
      <c r="M178" s="3" t="str">
        <f>IF(K178="","",IFERROR(matches(K178,VLOOKUP(I178,Resources!$A$2:$AA$1503,16,FALSE)),FALSE))</f>
        <v/>
      </c>
      <c r="N178" s="3" t="e">
        <f>VLOOKUP(E178,Enviroments!$A$3:$D$59,1,FALSE)</f>
        <v>#N/A</v>
      </c>
      <c r="O178" s="3" t="e">
        <f>VLOOKUP(E178,Enviroments!$A$3:$D$59,2,FALSE)</f>
        <v>#N/A</v>
      </c>
      <c r="P178" s="3" t="e">
        <f>VLOOKUP(E178,Enviroments!$A$3:$D$59,3,FALSE)</f>
        <v>#N/A</v>
      </c>
      <c r="Q178" s="3" t="e">
        <f>VLOOKUP(E178,Enviroments!$A$3:$D$59,4,FALSE)</f>
        <v>#N/A</v>
      </c>
      <c r="R178" s="3" t="e">
        <f>VLOOKUP(H178,AzureRegions!$A$4:$B$1493,1,FALSE)</f>
        <v>#N/A</v>
      </c>
      <c r="S178" s="3" t="e">
        <f>VLOOKUP(H178,AzureRegions!$A$4:$B$1493,2,FALSE)</f>
        <v>#N/A</v>
      </c>
      <c r="T178" s="3" t="e">
        <f>VLOOKUP(H178,AzureRegions!$A$4:$C$1493,3,FALSE)</f>
        <v>#N/A</v>
      </c>
      <c r="U178" s="3" t="e">
        <f>VLOOKUP(I178,Resources!$A$2:$AA$1503,2,FALSE)</f>
        <v>#N/A</v>
      </c>
      <c r="V178" s="3" t="e">
        <f>VLOOKUP(I178,Resources!$A$2:$H$1503,6,FALSE)</f>
        <v>#N/A</v>
      </c>
      <c r="W178" s="3" t="str">
        <f>VLOOKUP($H$2,Casing!$A$4:$A$60,1,FALSE)</f>
        <v>Lower</v>
      </c>
      <c r="X178" s="14" t="str">
        <f t="shared" si="5"/>
        <v>001</v>
      </c>
      <c r="Y178" s="3" t="str">
        <f>IFERROR(VLOOKUP(F178,Func!$A$4:$G$1500,2,FALSE),"none")</f>
        <v>none</v>
      </c>
      <c r="Z178" s="3" t="e">
        <f>VLOOKUP(I178,Resources!$A$2:$AA$1503,18,FALSE)</f>
        <v>#N/A</v>
      </c>
      <c r="AA178" s="3" t="str">
        <f>IFERROR(VLOOKUP(B178,Orgs!$A$4:$G$1500,2,FALSE),"none")</f>
        <v>none</v>
      </c>
      <c r="AB178" s="3" t="str">
        <f>IFERROR(VLOOKUP(C178,UnitsDepts!$A$4:$G$1500,2,FALSE),"none")</f>
        <v>none</v>
      </c>
      <c r="AC178" s="3" t="str">
        <f>IFERROR(VLOOKUP(D178,ProjAppSvc!$A$4:$G$1500,2,FALSE),"none")</f>
        <v>none</v>
      </c>
    </row>
    <row r="179" spans="1:29" x14ac:dyDescent="0.45">
      <c r="A179" s="14" t="s">
        <v>23</v>
      </c>
      <c r="B179" s="14"/>
      <c r="C179" s="14"/>
      <c r="D179" s="14"/>
      <c r="H179" s="8"/>
      <c r="I179" s="3"/>
      <c r="J179" s="3" t="str">
        <f t="shared" si="6"/>
        <v/>
      </c>
      <c r="K179" s="3" t="str">
        <f>IF(ISNUMBER(SEARCH("-",V179)),IFERROR(IF($H$2="Lower", LOWER(ComputeResourceName(Z179,#REF!,#REF!,G179,N179,O179,P179,Q179,S179,T179,V179,A179)), UPPER(ComputeResourceName(Z179,#REF!,#REF!,G179,N179,O179,P179,Q179,S179,T179,V179,A179))),""),SUBSTITUTE(IFERROR(IF($H$2="Lower", LOWER(ComputeResourceName(#REF!,#REF!,#REF!,G179,N179,O179,P179,Q179,S179,T179,V179,A179)), UPPER(ComputeResourceName(#REF!,#REF!,#REF!,G179,N179,O179,P179,Q179,S179,T179,V179,A179))),""), "-",""))</f>
        <v/>
      </c>
      <c r="L179" s="3" t="str">
        <f xml:space="preserve"> IF(K179="","",  IFERROR(VLOOKUP(I179,Resources!$B$1:$H$1503,5,FALSE)-LEN(K179),0))</f>
        <v/>
      </c>
      <c r="M179" s="3" t="str">
        <f>IF(K179="","",IFERROR(matches(K179,VLOOKUP(I179,Resources!$A$2:$AA$1503,16,FALSE)),FALSE))</f>
        <v/>
      </c>
      <c r="N179" s="3" t="e">
        <f>VLOOKUP(E179,Enviroments!$A$3:$D$59,1,FALSE)</f>
        <v>#N/A</v>
      </c>
      <c r="O179" s="3" t="e">
        <f>VLOOKUP(E179,Enviroments!$A$3:$D$59,2,FALSE)</f>
        <v>#N/A</v>
      </c>
      <c r="P179" s="3" t="e">
        <f>VLOOKUP(E179,Enviroments!$A$3:$D$59,3,FALSE)</f>
        <v>#N/A</v>
      </c>
      <c r="Q179" s="3" t="e">
        <f>VLOOKUP(E179,Enviroments!$A$3:$D$59,4,FALSE)</f>
        <v>#N/A</v>
      </c>
      <c r="R179" s="3" t="e">
        <f>VLOOKUP(H179,AzureRegions!$A$4:$B$1493,1,FALSE)</f>
        <v>#N/A</v>
      </c>
      <c r="S179" s="3" t="e">
        <f>VLOOKUP(H179,AzureRegions!$A$4:$B$1493,2,FALSE)</f>
        <v>#N/A</v>
      </c>
      <c r="T179" s="3" t="e">
        <f>VLOOKUP(H179,AzureRegions!$A$4:$C$1493,3,FALSE)</f>
        <v>#N/A</v>
      </c>
      <c r="U179" s="3" t="e">
        <f>VLOOKUP(I179,Resources!$A$2:$AA$1503,2,FALSE)</f>
        <v>#N/A</v>
      </c>
      <c r="V179" s="3" t="e">
        <f>VLOOKUP(I179,Resources!$A$2:$H$1503,6,FALSE)</f>
        <v>#N/A</v>
      </c>
      <c r="W179" s="3" t="str">
        <f>VLOOKUP($H$2,Casing!$A$4:$A$60,1,FALSE)</f>
        <v>Lower</v>
      </c>
      <c r="X179" s="14" t="str">
        <f t="shared" si="5"/>
        <v>001</v>
      </c>
      <c r="Y179" s="3" t="str">
        <f>IFERROR(VLOOKUP(F179,Func!$A$4:$G$1500,2,FALSE),"none")</f>
        <v>none</v>
      </c>
      <c r="Z179" s="3" t="e">
        <f>VLOOKUP(I179,Resources!$A$2:$AA$1503,18,FALSE)</f>
        <v>#N/A</v>
      </c>
      <c r="AA179" s="3" t="str">
        <f>IFERROR(VLOOKUP(B179,Orgs!$A$4:$G$1500,2,FALSE),"none")</f>
        <v>none</v>
      </c>
      <c r="AB179" s="3" t="str">
        <f>IFERROR(VLOOKUP(C179,UnitsDepts!$A$4:$G$1500,2,FALSE),"none")</f>
        <v>none</v>
      </c>
      <c r="AC179" s="3" t="str">
        <f>IFERROR(VLOOKUP(D179,ProjAppSvc!$A$4:$G$1500,2,FALSE),"none")</f>
        <v>none</v>
      </c>
    </row>
    <row r="180" spans="1:29" x14ac:dyDescent="0.45">
      <c r="A180" s="14" t="s">
        <v>23</v>
      </c>
      <c r="B180" s="14"/>
      <c r="C180" s="14"/>
      <c r="D180" s="14"/>
      <c r="H180" s="8"/>
      <c r="I180" s="3"/>
      <c r="J180" s="3" t="str">
        <f t="shared" si="6"/>
        <v/>
      </c>
      <c r="K180" s="3" t="str">
        <f>IF(ISNUMBER(SEARCH("-",V180)),IFERROR(IF($H$2="Lower", LOWER(ComputeResourceName(Z180,#REF!,#REF!,G180,N180,O180,P180,Q180,S180,T180,V180,A180)), UPPER(ComputeResourceName(Z180,#REF!,#REF!,G180,N180,O180,P180,Q180,S180,T180,V180,A180))),""),SUBSTITUTE(IFERROR(IF($H$2="Lower", LOWER(ComputeResourceName(#REF!,#REF!,#REF!,G180,N180,O180,P180,Q180,S180,T180,V180,A180)), UPPER(ComputeResourceName(#REF!,#REF!,#REF!,G180,N180,O180,P180,Q180,S180,T180,V180,A180))),""), "-",""))</f>
        <v/>
      </c>
      <c r="L180" s="3" t="str">
        <f xml:space="preserve"> IF(K180="","",  IFERROR(VLOOKUP(I180,Resources!$B$1:$H$1503,5,FALSE)-LEN(K180),0))</f>
        <v/>
      </c>
      <c r="M180" s="3" t="str">
        <f>IF(K180="","",IFERROR(matches(K180,VLOOKUP(I180,Resources!$A$2:$AA$1503,16,FALSE)),FALSE))</f>
        <v/>
      </c>
      <c r="N180" s="3" t="e">
        <f>VLOOKUP(E180,Enviroments!$A$3:$D$59,1,FALSE)</f>
        <v>#N/A</v>
      </c>
      <c r="O180" s="3" t="e">
        <f>VLOOKUP(E180,Enviroments!$A$3:$D$59,2,FALSE)</f>
        <v>#N/A</v>
      </c>
      <c r="P180" s="3" t="e">
        <f>VLOOKUP(E180,Enviroments!$A$3:$D$59,3,FALSE)</f>
        <v>#N/A</v>
      </c>
      <c r="Q180" s="3" t="e">
        <f>VLOOKUP(E180,Enviroments!$A$3:$D$59,4,FALSE)</f>
        <v>#N/A</v>
      </c>
      <c r="R180" s="3" t="e">
        <f>VLOOKUP(H180,AzureRegions!$A$4:$B$1493,1,FALSE)</f>
        <v>#N/A</v>
      </c>
      <c r="S180" s="3" t="e">
        <f>VLOOKUP(H180,AzureRegions!$A$4:$B$1493,2,FALSE)</f>
        <v>#N/A</v>
      </c>
      <c r="T180" s="3" t="e">
        <f>VLOOKUP(H180,AzureRegions!$A$4:$C$1493,3,FALSE)</f>
        <v>#N/A</v>
      </c>
      <c r="U180" s="3" t="e">
        <f>VLOOKUP(I180,Resources!$A$2:$AA$1503,2,FALSE)</f>
        <v>#N/A</v>
      </c>
      <c r="V180" s="3" t="e">
        <f>VLOOKUP(I180,Resources!$A$2:$H$1503,6,FALSE)</f>
        <v>#N/A</v>
      </c>
      <c r="W180" s="3" t="str">
        <f>VLOOKUP($H$2,Casing!$A$4:$A$60,1,FALSE)</f>
        <v>Lower</v>
      </c>
      <c r="X180" s="14" t="str">
        <f t="shared" si="5"/>
        <v>001</v>
      </c>
      <c r="Y180" s="3" t="str">
        <f>IFERROR(VLOOKUP(F180,Func!$A$4:$G$1500,2,FALSE),"none")</f>
        <v>none</v>
      </c>
      <c r="Z180" s="3" t="e">
        <f>VLOOKUP(I180,Resources!$A$2:$AA$1503,18,FALSE)</f>
        <v>#N/A</v>
      </c>
      <c r="AA180" s="3" t="str">
        <f>IFERROR(VLOOKUP(B180,Orgs!$A$4:$G$1500,2,FALSE),"none")</f>
        <v>none</v>
      </c>
      <c r="AB180" s="3" t="str">
        <f>IFERROR(VLOOKUP(C180,UnitsDepts!$A$4:$G$1500,2,FALSE),"none")</f>
        <v>none</v>
      </c>
      <c r="AC180" s="3" t="str">
        <f>IFERROR(VLOOKUP(D180,ProjAppSvc!$A$4:$G$1500,2,FALSE),"none")</f>
        <v>none</v>
      </c>
    </row>
    <row r="181" spans="1:29" x14ac:dyDescent="0.45">
      <c r="A181" s="14" t="s">
        <v>23</v>
      </c>
      <c r="B181" s="14"/>
      <c r="C181" s="14"/>
      <c r="D181" s="14"/>
      <c r="H181" s="8"/>
      <c r="I181" s="3"/>
      <c r="J181" s="3" t="str">
        <f t="shared" si="6"/>
        <v/>
      </c>
      <c r="K181" s="3" t="str">
        <f>IF(ISNUMBER(SEARCH("-",V181)),IFERROR(IF($H$2="Lower", LOWER(ComputeResourceName(Z181,#REF!,#REF!,G181,N181,O181,P181,Q181,S181,T181,V181,A181)), UPPER(ComputeResourceName(Z181,#REF!,#REF!,G181,N181,O181,P181,Q181,S181,T181,V181,A181))),""),SUBSTITUTE(IFERROR(IF($H$2="Lower", LOWER(ComputeResourceName(#REF!,#REF!,#REF!,G181,N181,O181,P181,Q181,S181,T181,V181,A181)), UPPER(ComputeResourceName(#REF!,#REF!,#REF!,G181,N181,O181,P181,Q181,S181,T181,V181,A181))),""), "-",""))</f>
        <v/>
      </c>
      <c r="L181" s="3" t="str">
        <f xml:space="preserve"> IF(K181="","",  IFERROR(VLOOKUP(I181,Resources!$B$1:$H$1503,5,FALSE)-LEN(K181),0))</f>
        <v/>
      </c>
      <c r="M181" s="3" t="str">
        <f>IF(K181="","",IFERROR(matches(K181,VLOOKUP(I181,Resources!$A$2:$AA$1503,16,FALSE)),FALSE))</f>
        <v/>
      </c>
      <c r="N181" s="3" t="e">
        <f>VLOOKUP(E181,Enviroments!$A$3:$D$59,1,FALSE)</f>
        <v>#N/A</v>
      </c>
      <c r="O181" s="3" t="e">
        <f>VLOOKUP(E181,Enviroments!$A$3:$D$59,2,FALSE)</f>
        <v>#N/A</v>
      </c>
      <c r="P181" s="3" t="e">
        <f>VLOOKUP(E181,Enviroments!$A$3:$D$59,3,FALSE)</f>
        <v>#N/A</v>
      </c>
      <c r="Q181" s="3" t="e">
        <f>VLOOKUP(E181,Enviroments!$A$3:$D$59,4,FALSE)</f>
        <v>#N/A</v>
      </c>
      <c r="R181" s="3" t="e">
        <f>VLOOKUP(H181,AzureRegions!$A$4:$B$1493,1,FALSE)</f>
        <v>#N/A</v>
      </c>
      <c r="S181" s="3" t="e">
        <f>VLOOKUP(H181,AzureRegions!$A$4:$B$1493,2,FALSE)</f>
        <v>#N/A</v>
      </c>
      <c r="T181" s="3" t="e">
        <f>VLOOKUP(H181,AzureRegions!$A$4:$C$1493,3,FALSE)</f>
        <v>#N/A</v>
      </c>
      <c r="U181" s="3" t="e">
        <f>VLOOKUP(I181,Resources!$A$2:$AA$1503,2,FALSE)</f>
        <v>#N/A</v>
      </c>
      <c r="V181" s="3" t="e">
        <f>VLOOKUP(I181,Resources!$A$2:$H$1503,6,FALSE)</f>
        <v>#N/A</v>
      </c>
      <c r="W181" s="3" t="str">
        <f>VLOOKUP($H$2,Casing!$A$4:$A$60,1,FALSE)</f>
        <v>Lower</v>
      </c>
      <c r="X181" s="14" t="str">
        <f t="shared" si="5"/>
        <v>001</v>
      </c>
      <c r="Y181" s="3" t="str">
        <f>IFERROR(VLOOKUP(F181,Func!$A$4:$G$1500,2,FALSE),"none")</f>
        <v>none</v>
      </c>
      <c r="Z181" s="3" t="e">
        <f>VLOOKUP(I181,Resources!$A$2:$AA$1503,18,FALSE)</f>
        <v>#N/A</v>
      </c>
      <c r="AA181" s="3" t="str">
        <f>IFERROR(VLOOKUP(B181,Orgs!$A$4:$G$1500,2,FALSE),"none")</f>
        <v>none</v>
      </c>
      <c r="AB181" s="3" t="str">
        <f>IFERROR(VLOOKUP(C181,UnitsDepts!$A$4:$G$1500,2,FALSE),"none")</f>
        <v>none</v>
      </c>
      <c r="AC181" s="3" t="str">
        <f>IFERROR(VLOOKUP(D181,ProjAppSvc!$A$4:$G$1500,2,FALSE),"none")</f>
        <v>none</v>
      </c>
    </row>
    <row r="182" spans="1:29" x14ac:dyDescent="0.45">
      <c r="A182" s="14" t="s">
        <v>23</v>
      </c>
      <c r="B182" s="14"/>
      <c r="C182" s="14"/>
      <c r="D182" s="14"/>
      <c r="H182" s="8"/>
      <c r="I182" s="3"/>
      <c r="J182" s="3" t="str">
        <f t="shared" si="6"/>
        <v/>
      </c>
      <c r="K182" s="3" t="str">
        <f>IF(ISNUMBER(SEARCH("-",V182)),IFERROR(IF($H$2="Lower", LOWER(ComputeResourceName(Z182,#REF!,#REF!,G182,N182,O182,P182,Q182,S182,T182,V182,A182)), UPPER(ComputeResourceName(Z182,#REF!,#REF!,G182,N182,O182,P182,Q182,S182,T182,V182,A182))),""),SUBSTITUTE(IFERROR(IF($H$2="Lower", LOWER(ComputeResourceName(#REF!,#REF!,#REF!,G182,N182,O182,P182,Q182,S182,T182,V182,A182)), UPPER(ComputeResourceName(#REF!,#REF!,#REF!,G182,N182,O182,P182,Q182,S182,T182,V182,A182))),""), "-",""))</f>
        <v/>
      </c>
      <c r="L182" s="3" t="str">
        <f xml:space="preserve"> IF(K182="","",  IFERROR(VLOOKUP(I182,Resources!$B$1:$H$1503,5,FALSE)-LEN(K182),0))</f>
        <v/>
      </c>
      <c r="M182" s="3" t="str">
        <f>IF(K182="","",IFERROR(matches(K182,VLOOKUP(I182,Resources!$A$2:$AA$1503,16,FALSE)),FALSE))</f>
        <v/>
      </c>
      <c r="N182" s="3" t="e">
        <f>VLOOKUP(E182,Enviroments!$A$3:$D$59,1,FALSE)</f>
        <v>#N/A</v>
      </c>
      <c r="O182" s="3" t="e">
        <f>VLOOKUP(E182,Enviroments!$A$3:$D$59,2,FALSE)</f>
        <v>#N/A</v>
      </c>
      <c r="P182" s="3" t="e">
        <f>VLOOKUP(E182,Enviroments!$A$3:$D$59,3,FALSE)</f>
        <v>#N/A</v>
      </c>
      <c r="Q182" s="3" t="e">
        <f>VLOOKUP(E182,Enviroments!$A$3:$D$59,4,FALSE)</f>
        <v>#N/A</v>
      </c>
      <c r="R182" s="3" t="e">
        <f>VLOOKUP(H182,AzureRegions!$A$4:$B$1493,1,FALSE)</f>
        <v>#N/A</v>
      </c>
      <c r="S182" s="3" t="e">
        <f>VLOOKUP(H182,AzureRegions!$A$4:$B$1493,2,FALSE)</f>
        <v>#N/A</v>
      </c>
      <c r="T182" s="3" t="e">
        <f>VLOOKUP(H182,AzureRegions!$A$4:$C$1493,3,FALSE)</f>
        <v>#N/A</v>
      </c>
      <c r="U182" s="3" t="e">
        <f>VLOOKUP(I182,Resources!$A$2:$AA$1503,2,FALSE)</f>
        <v>#N/A</v>
      </c>
      <c r="V182" s="3" t="e">
        <f>VLOOKUP(I182,Resources!$A$2:$H$1503,6,FALSE)</f>
        <v>#N/A</v>
      </c>
      <c r="W182" s="3" t="str">
        <f>VLOOKUP($H$2,Casing!$A$4:$A$60,1,FALSE)</f>
        <v>Lower</v>
      </c>
      <c r="X182" s="14" t="str">
        <f t="shared" si="5"/>
        <v>001</v>
      </c>
      <c r="Y182" s="3" t="str">
        <f>IFERROR(VLOOKUP(F182,Func!$A$4:$G$1500,2,FALSE),"none")</f>
        <v>none</v>
      </c>
      <c r="Z182" s="3" t="e">
        <f>VLOOKUP(I182,Resources!$A$2:$AA$1503,18,FALSE)</f>
        <v>#N/A</v>
      </c>
      <c r="AA182" s="3" t="str">
        <f>IFERROR(VLOOKUP(B182,Orgs!$A$4:$G$1500,2,FALSE),"none")</f>
        <v>none</v>
      </c>
      <c r="AB182" s="3" t="str">
        <f>IFERROR(VLOOKUP(C182,UnitsDepts!$A$4:$G$1500,2,FALSE),"none")</f>
        <v>none</v>
      </c>
      <c r="AC182" s="3" t="str">
        <f>IFERROR(VLOOKUP(D182,ProjAppSvc!$A$4:$G$1500,2,FALSE),"none")</f>
        <v>none</v>
      </c>
    </row>
    <row r="183" spans="1:29" x14ac:dyDescent="0.45">
      <c r="A183" s="14" t="s">
        <v>23</v>
      </c>
      <c r="B183" s="14"/>
      <c r="C183" s="14"/>
      <c r="D183" s="14"/>
      <c r="H183" s="8"/>
      <c r="I183" s="3"/>
      <c r="J183" s="3" t="str">
        <f t="shared" si="6"/>
        <v/>
      </c>
      <c r="K183" s="3" t="str">
        <f>IF(ISNUMBER(SEARCH("-",V183)),IFERROR(IF($H$2="Lower", LOWER(ComputeResourceName(Z183,#REF!,#REF!,G183,N183,O183,P183,Q183,S183,T183,V183,A183)), UPPER(ComputeResourceName(Z183,#REF!,#REF!,G183,N183,O183,P183,Q183,S183,T183,V183,A183))),""),SUBSTITUTE(IFERROR(IF($H$2="Lower", LOWER(ComputeResourceName(#REF!,#REF!,#REF!,G183,N183,O183,P183,Q183,S183,T183,V183,A183)), UPPER(ComputeResourceName(#REF!,#REF!,#REF!,G183,N183,O183,P183,Q183,S183,T183,V183,A183))),""), "-",""))</f>
        <v/>
      </c>
      <c r="L183" s="3" t="str">
        <f xml:space="preserve"> IF(K183="","",  IFERROR(VLOOKUP(I183,Resources!$B$1:$H$1503,5,FALSE)-LEN(K183),0))</f>
        <v/>
      </c>
      <c r="M183" s="3" t="str">
        <f>IF(K183="","",IFERROR(matches(K183,VLOOKUP(I183,Resources!$A$2:$AA$1503,16,FALSE)),FALSE))</f>
        <v/>
      </c>
      <c r="N183" s="3" t="e">
        <f>VLOOKUP(E183,Enviroments!$A$3:$D$59,1,FALSE)</f>
        <v>#N/A</v>
      </c>
      <c r="O183" s="3" t="e">
        <f>VLOOKUP(E183,Enviroments!$A$3:$D$59,2,FALSE)</f>
        <v>#N/A</v>
      </c>
      <c r="P183" s="3" t="e">
        <f>VLOOKUP(E183,Enviroments!$A$3:$D$59,3,FALSE)</f>
        <v>#N/A</v>
      </c>
      <c r="Q183" s="3" t="e">
        <f>VLOOKUP(E183,Enviroments!$A$3:$D$59,4,FALSE)</f>
        <v>#N/A</v>
      </c>
      <c r="R183" s="3" t="e">
        <f>VLOOKUP(H183,AzureRegions!$A$4:$B$1493,1,FALSE)</f>
        <v>#N/A</v>
      </c>
      <c r="S183" s="3" t="e">
        <f>VLOOKUP(H183,AzureRegions!$A$4:$B$1493,2,FALSE)</f>
        <v>#N/A</v>
      </c>
      <c r="T183" s="3" t="e">
        <f>VLOOKUP(H183,AzureRegions!$A$4:$C$1493,3,FALSE)</f>
        <v>#N/A</v>
      </c>
      <c r="U183" s="3" t="e">
        <f>VLOOKUP(I183,Resources!$A$2:$AA$1503,2,FALSE)</f>
        <v>#N/A</v>
      </c>
      <c r="V183" s="3" t="e">
        <f>VLOOKUP(I183,Resources!$A$2:$H$1503,6,FALSE)</f>
        <v>#N/A</v>
      </c>
      <c r="W183" s="3" t="str">
        <f>VLOOKUP($H$2,Casing!$A$4:$A$60,1,FALSE)</f>
        <v>Lower</v>
      </c>
      <c r="X183" s="14" t="str">
        <f t="shared" si="5"/>
        <v>001</v>
      </c>
      <c r="Y183" s="3" t="str">
        <f>IFERROR(VLOOKUP(F183,Func!$A$4:$G$1500,2,FALSE),"none")</f>
        <v>none</v>
      </c>
      <c r="Z183" s="3" t="e">
        <f>VLOOKUP(I183,Resources!$A$2:$AA$1503,18,FALSE)</f>
        <v>#N/A</v>
      </c>
      <c r="AA183" s="3" t="str">
        <f>IFERROR(VLOOKUP(B183,Orgs!$A$4:$G$1500,2,FALSE),"none")</f>
        <v>none</v>
      </c>
      <c r="AB183" s="3" t="str">
        <f>IFERROR(VLOOKUP(C183,UnitsDepts!$A$4:$G$1500,2,FALSE),"none")</f>
        <v>none</v>
      </c>
      <c r="AC183" s="3" t="str">
        <f>IFERROR(VLOOKUP(D183,ProjAppSvc!$A$4:$G$1500,2,FALSE),"none")</f>
        <v>none</v>
      </c>
    </row>
    <row r="184" spans="1:29" x14ac:dyDescent="0.45">
      <c r="A184" s="14" t="s">
        <v>23</v>
      </c>
      <c r="B184" s="14"/>
      <c r="C184" s="14"/>
      <c r="D184" s="14"/>
      <c r="H184" s="8"/>
      <c r="I184" s="3"/>
      <c r="J184" s="3" t="str">
        <f t="shared" si="6"/>
        <v/>
      </c>
      <c r="K184" s="3" t="str">
        <f>IF(ISNUMBER(SEARCH("-",V184)),IFERROR(IF($H$2="Lower", LOWER(ComputeResourceName(Z184,#REF!,#REF!,G184,N184,O184,P184,Q184,S184,T184,V184,A184)), UPPER(ComputeResourceName(Z184,#REF!,#REF!,G184,N184,O184,P184,Q184,S184,T184,V184,A184))),""),SUBSTITUTE(IFERROR(IF($H$2="Lower", LOWER(ComputeResourceName(#REF!,#REF!,#REF!,G184,N184,O184,P184,Q184,S184,T184,V184,A184)), UPPER(ComputeResourceName(#REF!,#REF!,#REF!,G184,N184,O184,P184,Q184,S184,T184,V184,A184))),""), "-",""))</f>
        <v/>
      </c>
      <c r="L184" s="3" t="str">
        <f xml:space="preserve"> IF(K184="","",  IFERROR(VLOOKUP(I184,Resources!$B$1:$H$1503,5,FALSE)-LEN(K184),0))</f>
        <v/>
      </c>
      <c r="M184" s="3" t="str">
        <f>IF(K184="","",IFERROR(matches(K184,VLOOKUP(I184,Resources!$A$2:$AA$1503,16,FALSE)),FALSE))</f>
        <v/>
      </c>
      <c r="N184" s="3" t="e">
        <f>VLOOKUP(E184,Enviroments!$A$3:$D$59,1,FALSE)</f>
        <v>#N/A</v>
      </c>
      <c r="O184" s="3" t="e">
        <f>VLOOKUP(E184,Enviroments!$A$3:$D$59,2,FALSE)</f>
        <v>#N/A</v>
      </c>
      <c r="P184" s="3" t="e">
        <f>VLOOKUP(E184,Enviroments!$A$3:$D$59,3,FALSE)</f>
        <v>#N/A</v>
      </c>
      <c r="Q184" s="3" t="e">
        <f>VLOOKUP(E184,Enviroments!$A$3:$D$59,4,FALSE)</f>
        <v>#N/A</v>
      </c>
      <c r="R184" s="3" t="e">
        <f>VLOOKUP(H184,AzureRegions!$A$4:$B$1493,1,FALSE)</f>
        <v>#N/A</v>
      </c>
      <c r="S184" s="3" t="e">
        <f>VLOOKUP(H184,AzureRegions!$A$4:$B$1493,2,FALSE)</f>
        <v>#N/A</v>
      </c>
      <c r="T184" s="3" t="e">
        <f>VLOOKUP(H184,AzureRegions!$A$4:$C$1493,3,FALSE)</f>
        <v>#N/A</v>
      </c>
      <c r="U184" s="3" t="e">
        <f>VLOOKUP(I184,Resources!$A$2:$AA$1503,2,FALSE)</f>
        <v>#N/A</v>
      </c>
      <c r="V184" s="3" t="e">
        <f>VLOOKUP(I184,Resources!$A$2:$H$1503,6,FALSE)</f>
        <v>#N/A</v>
      </c>
      <c r="W184" s="3" t="str">
        <f>VLOOKUP($H$2,Casing!$A$4:$A$60,1,FALSE)</f>
        <v>Lower</v>
      </c>
      <c r="X184" s="14" t="str">
        <f t="shared" si="5"/>
        <v>001</v>
      </c>
      <c r="Y184" s="3" t="str">
        <f>IFERROR(VLOOKUP(F184,Func!$A$4:$G$1500,2,FALSE),"none")</f>
        <v>none</v>
      </c>
      <c r="Z184" s="3" t="e">
        <f>VLOOKUP(I184,Resources!$A$2:$AA$1503,18,FALSE)</f>
        <v>#N/A</v>
      </c>
      <c r="AA184" s="3" t="str">
        <f>IFERROR(VLOOKUP(B184,Orgs!$A$4:$G$1500,2,FALSE),"none")</f>
        <v>none</v>
      </c>
      <c r="AB184" s="3" t="str">
        <f>IFERROR(VLOOKUP(C184,UnitsDepts!$A$4:$G$1500,2,FALSE),"none")</f>
        <v>none</v>
      </c>
      <c r="AC184" s="3" t="str">
        <f>IFERROR(VLOOKUP(D184,ProjAppSvc!$A$4:$G$1500,2,FALSE),"none")</f>
        <v>none</v>
      </c>
    </row>
    <row r="185" spans="1:29" x14ac:dyDescent="0.45">
      <c r="A185" s="14" t="s">
        <v>23</v>
      </c>
      <c r="B185" s="14"/>
      <c r="C185" s="14"/>
      <c r="D185" s="14"/>
      <c r="H185" s="8"/>
      <c r="I185" s="3"/>
      <c r="J185" s="3" t="str">
        <f t="shared" si="6"/>
        <v/>
      </c>
      <c r="K185" s="3" t="str">
        <f>IF(ISNUMBER(SEARCH("-",V185)),IFERROR(IF($H$2="Lower", LOWER(ComputeResourceName(Z185,#REF!,#REF!,G185,N185,O185,P185,Q185,S185,T185,V185,A185)), UPPER(ComputeResourceName(Z185,#REF!,#REF!,G185,N185,O185,P185,Q185,S185,T185,V185,A185))),""),SUBSTITUTE(IFERROR(IF($H$2="Lower", LOWER(ComputeResourceName(#REF!,#REF!,#REF!,G185,N185,O185,P185,Q185,S185,T185,V185,A185)), UPPER(ComputeResourceName(#REF!,#REF!,#REF!,G185,N185,O185,P185,Q185,S185,T185,V185,A185))),""), "-",""))</f>
        <v/>
      </c>
      <c r="L185" s="3" t="str">
        <f xml:space="preserve"> IF(K185="","",  IFERROR(VLOOKUP(I185,Resources!$B$1:$H$1503,5,FALSE)-LEN(K185),0))</f>
        <v/>
      </c>
      <c r="M185" s="3" t="str">
        <f>IF(K185="","",IFERROR(matches(K185,VLOOKUP(I185,Resources!$A$2:$AA$1503,16,FALSE)),FALSE))</f>
        <v/>
      </c>
      <c r="N185" s="3" t="e">
        <f>VLOOKUP(E185,Enviroments!$A$3:$D$59,1,FALSE)</f>
        <v>#N/A</v>
      </c>
      <c r="O185" s="3" t="e">
        <f>VLOOKUP(E185,Enviroments!$A$3:$D$59,2,FALSE)</f>
        <v>#N/A</v>
      </c>
      <c r="P185" s="3" t="e">
        <f>VLOOKUP(E185,Enviroments!$A$3:$D$59,3,FALSE)</f>
        <v>#N/A</v>
      </c>
      <c r="Q185" s="3" t="e">
        <f>VLOOKUP(E185,Enviroments!$A$3:$D$59,4,FALSE)</f>
        <v>#N/A</v>
      </c>
      <c r="R185" s="3" t="e">
        <f>VLOOKUP(H185,AzureRegions!$A$4:$B$1493,1,FALSE)</f>
        <v>#N/A</v>
      </c>
      <c r="S185" s="3" t="e">
        <f>VLOOKUP(H185,AzureRegions!$A$4:$B$1493,2,FALSE)</f>
        <v>#N/A</v>
      </c>
      <c r="T185" s="3" t="e">
        <f>VLOOKUP(H185,AzureRegions!$A$4:$C$1493,3,FALSE)</f>
        <v>#N/A</v>
      </c>
      <c r="U185" s="3" t="e">
        <f>VLOOKUP(I185,Resources!$A$2:$AA$1503,2,FALSE)</f>
        <v>#N/A</v>
      </c>
      <c r="V185" s="3" t="e">
        <f>VLOOKUP(I185,Resources!$A$2:$H$1503,6,FALSE)</f>
        <v>#N/A</v>
      </c>
      <c r="W185" s="3" t="str">
        <f>VLOOKUP($H$2,Casing!$A$4:$A$60,1,FALSE)</f>
        <v>Lower</v>
      </c>
      <c r="X185" s="14" t="str">
        <f t="shared" si="5"/>
        <v>001</v>
      </c>
      <c r="Y185" s="3" t="str">
        <f>IFERROR(VLOOKUP(F185,Func!$A$4:$G$1500,2,FALSE),"none")</f>
        <v>none</v>
      </c>
      <c r="Z185" s="3" t="e">
        <f>VLOOKUP(I185,Resources!$A$2:$AA$1503,18,FALSE)</f>
        <v>#N/A</v>
      </c>
      <c r="AA185" s="3" t="str">
        <f>IFERROR(VLOOKUP(B185,Orgs!$A$4:$G$1500,2,FALSE),"none")</f>
        <v>none</v>
      </c>
      <c r="AB185" s="3" t="str">
        <f>IFERROR(VLOOKUP(C185,UnitsDepts!$A$4:$G$1500,2,FALSE),"none")</f>
        <v>none</v>
      </c>
      <c r="AC185" s="3" t="str">
        <f>IFERROR(VLOOKUP(D185,ProjAppSvc!$A$4:$G$1500,2,FALSE),"none")</f>
        <v>none</v>
      </c>
    </row>
    <row r="186" spans="1:29" x14ac:dyDescent="0.45">
      <c r="A186" s="14" t="s">
        <v>23</v>
      </c>
      <c r="B186" s="14"/>
      <c r="C186" s="14"/>
      <c r="D186" s="14"/>
      <c r="H186" s="8"/>
      <c r="I186" s="3"/>
      <c r="J186" s="3" t="str">
        <f t="shared" si="6"/>
        <v/>
      </c>
      <c r="K186" s="3" t="str">
        <f>IF(ISNUMBER(SEARCH("-",V186)),IFERROR(IF($H$2="Lower", LOWER(ComputeResourceName(Z186,#REF!,#REF!,G186,N186,O186,P186,Q186,S186,T186,V186,A186)), UPPER(ComputeResourceName(Z186,#REF!,#REF!,G186,N186,O186,P186,Q186,S186,T186,V186,A186))),""),SUBSTITUTE(IFERROR(IF($H$2="Lower", LOWER(ComputeResourceName(#REF!,#REF!,#REF!,G186,N186,O186,P186,Q186,S186,T186,V186,A186)), UPPER(ComputeResourceName(#REF!,#REF!,#REF!,G186,N186,O186,P186,Q186,S186,T186,V186,A186))),""), "-",""))</f>
        <v/>
      </c>
      <c r="L186" s="3" t="str">
        <f xml:space="preserve"> IF(K186="","",  IFERROR(VLOOKUP(I186,Resources!$B$1:$H$1503,5,FALSE)-LEN(K186),0))</f>
        <v/>
      </c>
      <c r="M186" s="3" t="str">
        <f>IF(K186="","",IFERROR(matches(K186,VLOOKUP(I186,Resources!$A$2:$AA$1503,16,FALSE)),FALSE))</f>
        <v/>
      </c>
      <c r="N186" s="3" t="e">
        <f>VLOOKUP(E186,Enviroments!$A$3:$D$59,1,FALSE)</f>
        <v>#N/A</v>
      </c>
      <c r="O186" s="3" t="e">
        <f>VLOOKUP(E186,Enviroments!$A$3:$D$59,2,FALSE)</f>
        <v>#N/A</v>
      </c>
      <c r="P186" s="3" t="e">
        <f>VLOOKUP(E186,Enviroments!$A$3:$D$59,3,FALSE)</f>
        <v>#N/A</v>
      </c>
      <c r="Q186" s="3" t="e">
        <f>VLOOKUP(E186,Enviroments!$A$3:$D$59,4,FALSE)</f>
        <v>#N/A</v>
      </c>
      <c r="R186" s="3" t="e">
        <f>VLOOKUP(H186,AzureRegions!$A$4:$B$1493,1,FALSE)</f>
        <v>#N/A</v>
      </c>
      <c r="S186" s="3" t="e">
        <f>VLOOKUP(H186,AzureRegions!$A$4:$B$1493,2,FALSE)</f>
        <v>#N/A</v>
      </c>
      <c r="T186" s="3" t="e">
        <f>VLOOKUP(H186,AzureRegions!$A$4:$C$1493,3,FALSE)</f>
        <v>#N/A</v>
      </c>
      <c r="U186" s="3" t="e">
        <f>VLOOKUP(I186,Resources!$A$2:$AA$1503,2,FALSE)</f>
        <v>#N/A</v>
      </c>
      <c r="V186" s="3" t="e">
        <f>VLOOKUP(I186,Resources!$A$2:$H$1503,6,FALSE)</f>
        <v>#N/A</v>
      </c>
      <c r="W186" s="3" t="str">
        <f>VLOOKUP($H$2,Casing!$A$4:$A$60,1,FALSE)</f>
        <v>Lower</v>
      </c>
      <c r="X186" s="14" t="str">
        <f t="shared" si="5"/>
        <v>001</v>
      </c>
      <c r="Y186" s="3" t="str">
        <f>IFERROR(VLOOKUP(F186,Func!$A$4:$G$1500,2,FALSE),"none")</f>
        <v>none</v>
      </c>
      <c r="Z186" s="3" t="e">
        <f>VLOOKUP(I186,Resources!$A$2:$AA$1503,18,FALSE)</f>
        <v>#N/A</v>
      </c>
      <c r="AA186" s="3" t="str">
        <f>IFERROR(VLOOKUP(B186,Orgs!$A$4:$G$1500,2,FALSE),"none")</f>
        <v>none</v>
      </c>
      <c r="AB186" s="3" t="str">
        <f>IFERROR(VLOOKUP(C186,UnitsDepts!$A$4:$G$1500,2,FALSE),"none")</f>
        <v>none</v>
      </c>
      <c r="AC186" s="3" t="str">
        <f>IFERROR(VLOOKUP(D186,ProjAppSvc!$A$4:$G$1500,2,FALSE),"none")</f>
        <v>none</v>
      </c>
    </row>
    <row r="187" spans="1:29" x14ac:dyDescent="0.45">
      <c r="A187" s="14" t="s">
        <v>23</v>
      </c>
      <c r="B187" s="14"/>
      <c r="C187" s="14"/>
      <c r="D187" s="14"/>
      <c r="H187" s="8"/>
      <c r="I187" s="3"/>
      <c r="J187" s="3" t="str">
        <f t="shared" si="6"/>
        <v/>
      </c>
      <c r="K187" s="3" t="str">
        <f>IF(ISNUMBER(SEARCH("-",V187)),IFERROR(IF($H$2="Lower", LOWER(ComputeResourceName(Z187,#REF!,#REF!,G187,N187,O187,P187,Q187,S187,T187,V187,A187)), UPPER(ComputeResourceName(Z187,#REF!,#REF!,G187,N187,O187,P187,Q187,S187,T187,V187,A187))),""),SUBSTITUTE(IFERROR(IF($H$2="Lower", LOWER(ComputeResourceName(#REF!,#REF!,#REF!,G187,N187,O187,P187,Q187,S187,T187,V187,A187)), UPPER(ComputeResourceName(#REF!,#REF!,#REF!,G187,N187,O187,P187,Q187,S187,T187,V187,A187))),""), "-",""))</f>
        <v/>
      </c>
      <c r="L187" s="3" t="str">
        <f xml:space="preserve"> IF(K187="","",  IFERROR(VLOOKUP(I187,Resources!$B$1:$H$1503,5,FALSE)-LEN(K187),0))</f>
        <v/>
      </c>
      <c r="M187" s="3" t="str">
        <f>IF(K187="","",IFERROR(matches(K187,VLOOKUP(I187,Resources!$A$2:$AA$1503,16,FALSE)),FALSE))</f>
        <v/>
      </c>
      <c r="N187" s="3" t="e">
        <f>VLOOKUP(E187,Enviroments!$A$3:$D$59,1,FALSE)</f>
        <v>#N/A</v>
      </c>
      <c r="O187" s="3" t="e">
        <f>VLOOKUP(E187,Enviroments!$A$3:$D$59,2,FALSE)</f>
        <v>#N/A</v>
      </c>
      <c r="P187" s="3" t="e">
        <f>VLOOKUP(E187,Enviroments!$A$3:$D$59,3,FALSE)</f>
        <v>#N/A</v>
      </c>
      <c r="Q187" s="3" t="e">
        <f>VLOOKUP(E187,Enviroments!$A$3:$D$59,4,FALSE)</f>
        <v>#N/A</v>
      </c>
      <c r="R187" s="3" t="e">
        <f>VLOOKUP(H187,AzureRegions!$A$4:$B$1493,1,FALSE)</f>
        <v>#N/A</v>
      </c>
      <c r="S187" s="3" t="e">
        <f>VLOOKUP(H187,AzureRegions!$A$4:$B$1493,2,FALSE)</f>
        <v>#N/A</v>
      </c>
      <c r="T187" s="3" t="e">
        <f>VLOOKUP(H187,AzureRegions!$A$4:$C$1493,3,FALSE)</f>
        <v>#N/A</v>
      </c>
      <c r="U187" s="3" t="e">
        <f>VLOOKUP(I187,Resources!$A$2:$AA$1503,2,FALSE)</f>
        <v>#N/A</v>
      </c>
      <c r="V187" s="3" t="e">
        <f>VLOOKUP(I187,Resources!$A$2:$H$1503,6,FALSE)</f>
        <v>#N/A</v>
      </c>
      <c r="W187" s="3" t="str">
        <f>VLOOKUP($H$2,Casing!$A$4:$A$60,1,FALSE)</f>
        <v>Lower</v>
      </c>
      <c r="X187" s="14" t="str">
        <f t="shared" si="5"/>
        <v>001</v>
      </c>
      <c r="Y187" s="3" t="str">
        <f>IFERROR(VLOOKUP(F187,Func!$A$4:$G$1500,2,FALSE),"none")</f>
        <v>none</v>
      </c>
      <c r="Z187" s="3" t="e">
        <f>VLOOKUP(I187,Resources!$A$2:$AA$1503,18,FALSE)</f>
        <v>#N/A</v>
      </c>
      <c r="AA187" s="3" t="str">
        <f>IFERROR(VLOOKUP(B187,Orgs!$A$4:$G$1500,2,FALSE),"none")</f>
        <v>none</v>
      </c>
      <c r="AB187" s="3" t="str">
        <f>IFERROR(VLOOKUP(C187,UnitsDepts!$A$4:$G$1500,2,FALSE),"none")</f>
        <v>none</v>
      </c>
      <c r="AC187" s="3" t="str">
        <f>IFERROR(VLOOKUP(D187,ProjAppSvc!$A$4:$G$1500,2,FALSE),"none")</f>
        <v>none</v>
      </c>
    </row>
    <row r="188" spans="1:29" x14ac:dyDescent="0.45">
      <c r="A188" s="14" t="s">
        <v>23</v>
      </c>
      <c r="B188" s="14"/>
      <c r="C188" s="14"/>
      <c r="D188" s="14"/>
      <c r="H188" s="8"/>
      <c r="I188" s="3"/>
      <c r="J188" s="3" t="str">
        <f t="shared" si="6"/>
        <v/>
      </c>
      <c r="K188" s="3" t="str">
        <f>IF(ISNUMBER(SEARCH("-",V188)),IFERROR(IF($H$2="Lower", LOWER(ComputeResourceName(Z188,#REF!,#REF!,G188,N188,O188,P188,Q188,S188,T188,V188,A188)), UPPER(ComputeResourceName(Z188,#REF!,#REF!,G188,N188,O188,P188,Q188,S188,T188,V188,A188))),""),SUBSTITUTE(IFERROR(IF($H$2="Lower", LOWER(ComputeResourceName(#REF!,#REF!,#REF!,G188,N188,O188,P188,Q188,S188,T188,V188,A188)), UPPER(ComputeResourceName(#REF!,#REF!,#REF!,G188,N188,O188,P188,Q188,S188,T188,V188,A188))),""), "-",""))</f>
        <v/>
      </c>
      <c r="L188" s="3" t="str">
        <f xml:space="preserve"> IF(K188="","",  IFERROR(VLOOKUP(I188,Resources!$B$1:$H$1503,5,FALSE)-LEN(K188),0))</f>
        <v/>
      </c>
      <c r="M188" s="3" t="str">
        <f>IF(K188="","",IFERROR(matches(K188,VLOOKUP(I188,Resources!$A$2:$AA$1503,16,FALSE)),FALSE))</f>
        <v/>
      </c>
      <c r="N188" s="3" t="e">
        <f>VLOOKUP(E188,Enviroments!$A$3:$D$59,1,FALSE)</f>
        <v>#N/A</v>
      </c>
      <c r="O188" s="3" t="e">
        <f>VLOOKUP(E188,Enviroments!$A$3:$D$59,2,FALSE)</f>
        <v>#N/A</v>
      </c>
      <c r="P188" s="3" t="e">
        <f>VLOOKUP(E188,Enviroments!$A$3:$D$59,3,FALSE)</f>
        <v>#N/A</v>
      </c>
      <c r="Q188" s="3" t="e">
        <f>VLOOKUP(E188,Enviroments!$A$3:$D$59,4,FALSE)</f>
        <v>#N/A</v>
      </c>
      <c r="R188" s="3" t="e">
        <f>VLOOKUP(H188,AzureRegions!$A$4:$B$1493,1,FALSE)</f>
        <v>#N/A</v>
      </c>
      <c r="S188" s="3" t="e">
        <f>VLOOKUP(H188,AzureRegions!$A$4:$B$1493,2,FALSE)</f>
        <v>#N/A</v>
      </c>
      <c r="T188" s="3" t="e">
        <f>VLOOKUP(H188,AzureRegions!$A$4:$C$1493,3,FALSE)</f>
        <v>#N/A</v>
      </c>
      <c r="U188" s="3" t="e">
        <f>VLOOKUP(I188,Resources!$A$2:$AA$1503,2,FALSE)</f>
        <v>#N/A</v>
      </c>
      <c r="V188" s="3" t="e">
        <f>VLOOKUP(I188,Resources!$A$2:$H$1503,6,FALSE)</f>
        <v>#N/A</v>
      </c>
      <c r="W188" s="3" t="str">
        <f>VLOOKUP($H$2,Casing!$A$4:$A$60,1,FALSE)</f>
        <v>Lower</v>
      </c>
      <c r="X188" s="14" t="str">
        <f t="shared" si="5"/>
        <v>001</v>
      </c>
      <c r="Y188" s="3" t="str">
        <f>IFERROR(VLOOKUP(F188,Func!$A$4:$G$1500,2,FALSE),"none")</f>
        <v>none</v>
      </c>
      <c r="Z188" s="3" t="e">
        <f>VLOOKUP(I188,Resources!$A$2:$AA$1503,18,FALSE)</f>
        <v>#N/A</v>
      </c>
      <c r="AA188" s="3" t="str">
        <f>IFERROR(VLOOKUP(B188,Orgs!$A$4:$G$1500,2,FALSE),"none")</f>
        <v>none</v>
      </c>
      <c r="AB188" s="3" t="str">
        <f>IFERROR(VLOOKUP(C188,UnitsDepts!$A$4:$G$1500,2,FALSE),"none")</f>
        <v>none</v>
      </c>
      <c r="AC188" s="3" t="str">
        <f>IFERROR(VLOOKUP(D188,ProjAppSvc!$A$4:$G$1500,2,FALSE),"none")</f>
        <v>none</v>
      </c>
    </row>
    <row r="189" spans="1:29" x14ac:dyDescent="0.45">
      <c r="A189" s="14" t="s">
        <v>23</v>
      </c>
      <c r="B189" s="14"/>
      <c r="C189" s="14"/>
      <c r="D189" s="14"/>
      <c r="H189" s="8"/>
      <c r="I189" s="3"/>
      <c r="J189" s="3" t="str">
        <f t="shared" si="6"/>
        <v/>
      </c>
      <c r="K189" s="3" t="str">
        <f>IF(ISNUMBER(SEARCH("-",V189)),IFERROR(IF($H$2="Lower", LOWER(ComputeResourceName(Z189,#REF!,#REF!,G189,N189,O189,P189,Q189,S189,T189,V189,A189)), UPPER(ComputeResourceName(Z189,#REF!,#REF!,G189,N189,O189,P189,Q189,S189,T189,V189,A189))),""),SUBSTITUTE(IFERROR(IF($H$2="Lower", LOWER(ComputeResourceName(#REF!,#REF!,#REF!,G189,N189,O189,P189,Q189,S189,T189,V189,A189)), UPPER(ComputeResourceName(#REF!,#REF!,#REF!,G189,N189,O189,P189,Q189,S189,T189,V189,A189))),""), "-",""))</f>
        <v/>
      </c>
      <c r="L189" s="3" t="str">
        <f xml:space="preserve"> IF(K189="","",  IFERROR(VLOOKUP(I189,Resources!$B$1:$H$1503,5,FALSE)-LEN(K189),0))</f>
        <v/>
      </c>
      <c r="M189" s="3" t="str">
        <f>IF(K189="","",IFERROR(matches(K189,VLOOKUP(I189,Resources!$A$2:$AA$1503,16,FALSE)),FALSE))</f>
        <v/>
      </c>
      <c r="N189" s="3" t="e">
        <f>VLOOKUP(E189,Enviroments!$A$3:$D$59,1,FALSE)</f>
        <v>#N/A</v>
      </c>
      <c r="O189" s="3" t="e">
        <f>VLOOKUP(E189,Enviroments!$A$3:$D$59,2,FALSE)</f>
        <v>#N/A</v>
      </c>
      <c r="P189" s="3" t="e">
        <f>VLOOKUP(E189,Enviroments!$A$3:$D$59,3,FALSE)</f>
        <v>#N/A</v>
      </c>
      <c r="Q189" s="3" t="e">
        <f>VLOOKUP(E189,Enviroments!$A$3:$D$59,4,FALSE)</f>
        <v>#N/A</v>
      </c>
      <c r="R189" s="3" t="e">
        <f>VLOOKUP(H189,AzureRegions!$A$4:$B$1493,1,FALSE)</f>
        <v>#N/A</v>
      </c>
      <c r="S189" s="3" t="e">
        <f>VLOOKUP(H189,AzureRegions!$A$4:$B$1493,2,FALSE)</f>
        <v>#N/A</v>
      </c>
      <c r="T189" s="3" t="e">
        <f>VLOOKUP(H189,AzureRegions!$A$4:$C$1493,3,FALSE)</f>
        <v>#N/A</v>
      </c>
      <c r="U189" s="3" t="e">
        <f>VLOOKUP(I189,Resources!$A$2:$AA$1503,2,FALSE)</f>
        <v>#N/A</v>
      </c>
      <c r="V189" s="3" t="e">
        <f>VLOOKUP(I189,Resources!$A$2:$H$1503,6,FALSE)</f>
        <v>#N/A</v>
      </c>
      <c r="W189" s="3" t="str">
        <f>VLOOKUP($H$2,Casing!$A$4:$A$60,1,FALSE)</f>
        <v>Lower</v>
      </c>
      <c r="X189" s="14" t="str">
        <f t="shared" si="5"/>
        <v>001</v>
      </c>
      <c r="Y189" s="3" t="str">
        <f>IFERROR(VLOOKUP(F189,Func!$A$4:$G$1500,2,FALSE),"none")</f>
        <v>none</v>
      </c>
      <c r="Z189" s="3" t="e">
        <f>VLOOKUP(I189,Resources!$A$2:$AA$1503,18,FALSE)</f>
        <v>#N/A</v>
      </c>
      <c r="AA189" s="3" t="str">
        <f>IFERROR(VLOOKUP(B189,Orgs!$A$4:$G$1500,2,FALSE),"none")</f>
        <v>none</v>
      </c>
      <c r="AB189" s="3" t="str">
        <f>IFERROR(VLOOKUP(C189,UnitsDepts!$A$4:$G$1500,2,FALSE),"none")</f>
        <v>none</v>
      </c>
      <c r="AC189" s="3" t="str">
        <f>IFERROR(VLOOKUP(D189,ProjAppSvc!$A$4:$G$1500,2,FALSE),"none")</f>
        <v>none</v>
      </c>
    </row>
    <row r="190" spans="1:29" x14ac:dyDescent="0.45">
      <c r="J190" s="3"/>
    </row>
    <row r="191" spans="1:29" x14ac:dyDescent="0.45">
      <c r="J191" s="3"/>
    </row>
    <row r="192" spans="1:29" x14ac:dyDescent="0.45">
      <c r="J192" s="3"/>
    </row>
    <row r="193" spans="10:10" x14ac:dyDescent="0.45">
      <c r="J193" s="3"/>
    </row>
    <row r="194" spans="10:10" x14ac:dyDescent="0.45">
      <c r="J194" s="3"/>
    </row>
    <row r="195" spans="10:10" x14ac:dyDescent="0.45">
      <c r="J195" s="3"/>
    </row>
    <row r="196" spans="10:10" x14ac:dyDescent="0.45">
      <c r="J196" s="3"/>
    </row>
    <row r="197" spans="10:10" x14ac:dyDescent="0.45">
      <c r="J197" s="3"/>
    </row>
    <row r="198" spans="10:10" x14ac:dyDescent="0.45">
      <c r="J198" s="3"/>
    </row>
    <row r="199" spans="10:10" x14ac:dyDescent="0.45">
      <c r="J199" s="3"/>
    </row>
    <row r="200" spans="10:10" x14ac:dyDescent="0.45">
      <c r="J200" s="3"/>
    </row>
    <row r="201" spans="10:10" x14ac:dyDescent="0.45">
      <c r="J201" s="3"/>
    </row>
    <row r="202" spans="10:10" x14ac:dyDescent="0.45">
      <c r="J202" s="3"/>
    </row>
    <row r="203" spans="10:10" x14ac:dyDescent="0.45">
      <c r="J203" s="3"/>
    </row>
    <row r="204" spans="10:10" x14ac:dyDescent="0.45">
      <c r="J204" s="3"/>
    </row>
    <row r="205" spans="10:10" x14ac:dyDescent="0.45">
      <c r="J205" s="3"/>
    </row>
    <row r="206" spans="10:10" x14ac:dyDescent="0.45">
      <c r="J206" s="3"/>
    </row>
    <row r="207" spans="10:10" x14ac:dyDescent="0.45">
      <c r="J207" s="3"/>
    </row>
    <row r="208" spans="10:10" x14ac:dyDescent="0.45">
      <c r="J208" s="3"/>
    </row>
    <row r="209" spans="10:10" x14ac:dyDescent="0.45">
      <c r="J209" s="3"/>
    </row>
    <row r="210" spans="10:10" x14ac:dyDescent="0.45">
      <c r="J210" s="3"/>
    </row>
    <row r="211" spans="10:10" x14ac:dyDescent="0.45">
      <c r="J211" s="3"/>
    </row>
    <row r="212" spans="10:10" x14ac:dyDescent="0.45">
      <c r="J212" s="3"/>
    </row>
    <row r="213" spans="10:10" x14ac:dyDescent="0.45">
      <c r="J213" s="3"/>
    </row>
    <row r="214" spans="10:10" x14ac:dyDescent="0.45">
      <c r="J214" s="3"/>
    </row>
    <row r="215" spans="10:10" x14ac:dyDescent="0.45">
      <c r="J215" s="3"/>
    </row>
    <row r="216" spans="10:10" x14ac:dyDescent="0.45">
      <c r="J216" s="3"/>
    </row>
    <row r="217" spans="10:10" x14ac:dyDescent="0.45">
      <c r="J217" s="3"/>
    </row>
    <row r="218" spans="10:10" x14ac:dyDescent="0.45">
      <c r="J218" s="3"/>
    </row>
    <row r="219" spans="10:10" x14ac:dyDescent="0.45">
      <c r="J219" s="3"/>
    </row>
    <row r="220" spans="10:10" x14ac:dyDescent="0.45">
      <c r="J220" s="3"/>
    </row>
    <row r="221" spans="10:10" x14ac:dyDescent="0.45">
      <c r="J221" s="3"/>
    </row>
    <row r="222" spans="10:10" x14ac:dyDescent="0.45">
      <c r="J222" s="3"/>
    </row>
    <row r="223" spans="10:10" x14ac:dyDescent="0.45">
      <c r="J223" s="3"/>
    </row>
    <row r="224" spans="10:10" x14ac:dyDescent="0.45">
      <c r="J224" s="3"/>
    </row>
    <row r="225" spans="10:10" x14ac:dyDescent="0.45">
      <c r="J225" s="3"/>
    </row>
    <row r="226" spans="10:10" x14ac:dyDescent="0.45">
      <c r="J226" s="3"/>
    </row>
    <row r="227" spans="10:10" x14ac:dyDescent="0.45">
      <c r="J227" s="3"/>
    </row>
    <row r="228" spans="10:10" x14ac:dyDescent="0.45">
      <c r="J228" s="3"/>
    </row>
    <row r="229" spans="10:10" x14ac:dyDescent="0.45">
      <c r="J229" s="3"/>
    </row>
    <row r="230" spans="10:10" x14ac:dyDescent="0.45">
      <c r="J230" s="3"/>
    </row>
    <row r="231" spans="10:10" x14ac:dyDescent="0.45">
      <c r="J231" s="3"/>
    </row>
    <row r="232" spans="10:10" x14ac:dyDescent="0.45">
      <c r="J232" s="3"/>
    </row>
    <row r="233" spans="10:10" x14ac:dyDescent="0.45">
      <c r="J233" s="3"/>
    </row>
    <row r="234" spans="10:10" x14ac:dyDescent="0.45">
      <c r="J234" s="3"/>
    </row>
    <row r="235" spans="10:10" x14ac:dyDescent="0.45">
      <c r="J235" s="3"/>
    </row>
    <row r="236" spans="10:10" x14ac:dyDescent="0.45">
      <c r="J236" s="3"/>
    </row>
    <row r="237" spans="10:10" x14ac:dyDescent="0.45">
      <c r="J237" s="3"/>
    </row>
    <row r="238" spans="10:10" x14ac:dyDescent="0.45">
      <c r="J238" s="3"/>
    </row>
    <row r="239" spans="10:10" x14ac:dyDescent="0.45">
      <c r="J239" s="3"/>
    </row>
    <row r="240" spans="10:10" x14ac:dyDescent="0.45">
      <c r="J240" s="3"/>
    </row>
    <row r="241" spans="10:10" x14ac:dyDescent="0.45">
      <c r="J241" s="3"/>
    </row>
    <row r="242" spans="10:10" x14ac:dyDescent="0.45">
      <c r="J242" s="3"/>
    </row>
    <row r="243" spans="10:10" x14ac:dyDescent="0.45">
      <c r="J243" s="3"/>
    </row>
    <row r="244" spans="10:10" x14ac:dyDescent="0.45">
      <c r="J244" s="3"/>
    </row>
    <row r="245" spans="10:10" x14ac:dyDescent="0.45">
      <c r="J245" s="3"/>
    </row>
    <row r="246" spans="10:10" x14ac:dyDescent="0.45">
      <c r="J246" s="3"/>
    </row>
    <row r="247" spans="10:10" x14ac:dyDescent="0.45">
      <c r="J247" s="3"/>
    </row>
    <row r="248" spans="10:10" x14ac:dyDescent="0.45">
      <c r="J248" s="3"/>
    </row>
    <row r="249" spans="10:10" x14ac:dyDescent="0.45">
      <c r="J249" s="3"/>
    </row>
    <row r="250" spans="10:10" x14ac:dyDescent="0.45">
      <c r="J250" s="3"/>
    </row>
    <row r="251" spans="10:10" x14ac:dyDescent="0.45">
      <c r="J251" s="3"/>
    </row>
    <row r="252" spans="10:10" x14ac:dyDescent="0.45">
      <c r="J252" s="3"/>
    </row>
    <row r="253" spans="10:10" x14ac:dyDescent="0.45">
      <c r="J253" s="3"/>
    </row>
    <row r="254" spans="10:10" x14ac:dyDescent="0.45">
      <c r="J254" s="3"/>
    </row>
    <row r="255" spans="10:10" x14ac:dyDescent="0.45">
      <c r="J255" s="3"/>
    </row>
    <row r="256" spans="10:10" x14ac:dyDescent="0.45">
      <c r="J256" s="3"/>
    </row>
    <row r="257" spans="10:10" x14ac:dyDescent="0.45">
      <c r="J257" s="3"/>
    </row>
    <row r="258" spans="10:10" x14ac:dyDescent="0.45">
      <c r="J258" s="3"/>
    </row>
    <row r="259" spans="10:10" x14ac:dyDescent="0.45">
      <c r="J259" s="3"/>
    </row>
    <row r="260" spans="10:10" x14ac:dyDescent="0.45">
      <c r="J260" s="3"/>
    </row>
    <row r="261" spans="10:10" x14ac:dyDescent="0.45">
      <c r="J261" s="3"/>
    </row>
    <row r="262" spans="10:10" x14ac:dyDescent="0.45">
      <c r="J262" s="3"/>
    </row>
    <row r="263" spans="10:10" x14ac:dyDescent="0.45">
      <c r="J263" s="3"/>
    </row>
    <row r="264" spans="10:10" x14ac:dyDescent="0.45">
      <c r="J264" s="3"/>
    </row>
    <row r="265" spans="10:10" x14ac:dyDescent="0.45">
      <c r="J265" s="3"/>
    </row>
    <row r="266" spans="10:10" x14ac:dyDescent="0.45">
      <c r="J266" s="3"/>
    </row>
    <row r="267" spans="10:10" x14ac:dyDescent="0.45">
      <c r="J267" s="3"/>
    </row>
    <row r="268" spans="10:10" x14ac:dyDescent="0.45">
      <c r="J268" s="3"/>
    </row>
    <row r="269" spans="10:10" x14ac:dyDescent="0.45">
      <c r="J269" s="3"/>
    </row>
    <row r="270" spans="10:10" x14ac:dyDescent="0.45">
      <c r="J270" s="3"/>
    </row>
    <row r="271" spans="10:10" x14ac:dyDescent="0.45">
      <c r="J271" s="3"/>
    </row>
    <row r="272" spans="10:10" x14ac:dyDescent="0.45">
      <c r="J272" s="3"/>
    </row>
    <row r="273" spans="10:10" x14ac:dyDescent="0.45">
      <c r="J273" s="3"/>
    </row>
    <row r="274" spans="10:10" x14ac:dyDescent="0.45">
      <c r="J274" s="3"/>
    </row>
    <row r="275" spans="10:10" x14ac:dyDescent="0.45">
      <c r="J275" s="3"/>
    </row>
    <row r="276" spans="10:10" x14ac:dyDescent="0.45">
      <c r="J276" s="3"/>
    </row>
    <row r="277" spans="10:10" x14ac:dyDescent="0.45">
      <c r="J277" s="3"/>
    </row>
    <row r="278" spans="10:10" x14ac:dyDescent="0.45">
      <c r="J278" s="3"/>
    </row>
    <row r="279" spans="10:10" x14ac:dyDescent="0.45">
      <c r="J279" s="3"/>
    </row>
    <row r="280" spans="10:10" x14ac:dyDescent="0.45">
      <c r="J280" s="3"/>
    </row>
  </sheetData>
  <dataConsolidate/>
  <mergeCells count="4">
    <mergeCell ref="A1:L1"/>
    <mergeCell ref="A2:G2"/>
    <mergeCell ref="A3:G3"/>
    <mergeCell ref="O3:X3"/>
  </mergeCells>
  <conditionalFormatting sqref="L5:L189">
    <cfRule type="cellIs" dxfId="1" priority="2" operator="lessThan">
      <formula>0</formula>
    </cfRule>
  </conditionalFormatting>
  <conditionalFormatting sqref="M5:M189">
    <cfRule type="cellIs" dxfId="0" priority="1" operator="equal">
      <formula>FALSE</formula>
    </cfRule>
  </conditionalFormatting>
  <dataValidations count="1">
    <dataValidation type="list" allowBlank="1" showInputMessage="1" showErrorMessage="1" sqref="H2" xr:uid="{736FAE15-18E3-41E7-A0BE-8E66F0A48D05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F33928B-5991-4A00-999D-5DABED6C1CA7}">
          <x14:formula1>
            <xm:f>Enviroments!$A$4:$A$43</xm:f>
          </x14:formula1>
          <xm:sqref>E5:E189</xm:sqref>
        </x14:dataValidation>
        <x14:dataValidation type="list" allowBlank="1" showInputMessage="1" showErrorMessage="1" xr:uid="{964BC2E8-380F-4A6C-B7B0-CA34E088ABB4}">
          <x14:formula1>
            <xm:f>AzureRegions!$A$4:$A$1493</xm:f>
          </x14:formula1>
          <xm:sqref>H5:H189</xm:sqref>
        </x14:dataValidation>
        <x14:dataValidation type="list" allowBlank="1" showInputMessage="1" showErrorMessage="1" xr:uid="{DDDEBCC7-61FA-41F2-A331-E328ED16701D}">
          <x14:formula1>
            <xm:f>Func!$A$4:$A$430</xm:f>
          </x14:formula1>
          <xm:sqref>F5:F189</xm:sqref>
        </x14:dataValidation>
        <x14:dataValidation type="list" allowBlank="1" showInputMessage="1" showErrorMessage="1" xr:uid="{1DC43386-DAAB-4EB2-B200-74A04B1BC9BA}">
          <x14:formula1>
            <xm:f>Orgs!$A$4:$A$450</xm:f>
          </x14:formula1>
          <xm:sqref>B5:B189</xm:sqref>
        </x14:dataValidation>
        <x14:dataValidation type="list" allowBlank="1" showInputMessage="1" showErrorMessage="1" xr:uid="{B7D2CBD4-B2DD-4285-8095-FC7B53B229FC}">
          <x14:formula1>
            <xm:f>UnitsDepts!$A$4:$A$450</xm:f>
          </x14:formula1>
          <xm:sqref>C5:C189</xm:sqref>
        </x14:dataValidation>
        <x14:dataValidation type="list" allowBlank="1" showInputMessage="1" showErrorMessage="1" xr:uid="{D2589BAF-1D14-4C56-A7D0-6E265CF36644}">
          <x14:formula1>
            <xm:f>ProjAppSvc!$A$4:$A$450</xm:f>
          </x14:formula1>
          <xm:sqref>D5:D189</xm:sqref>
        </x14:dataValidation>
        <x14:dataValidation type="list" errorStyle="information" allowBlank="1" showInputMessage="1" showErrorMessage="1" xr:uid="{A81E9231-EA3C-4F40-B75E-7FB0BBEC9C1D}">
          <x14:formula1>
            <xm:f>Resources!$A$2:$A$1503</xm:f>
          </x14:formula1>
          <xm:sqref>I5:I189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47053-1B8D-4758-A327-5026DC6AFD49}">
  <sheetPr codeName="Sheet4"/>
  <dimension ref="A1:D11"/>
  <sheetViews>
    <sheetView tabSelected="1" workbookViewId="0">
      <selection activeCell="A10" sqref="A10"/>
    </sheetView>
  </sheetViews>
  <sheetFormatPr defaultColWidth="8.81640625" defaultRowHeight="14.5" x14ac:dyDescent="0.35"/>
  <cols>
    <col min="1" max="1" width="40.54296875" customWidth="1"/>
    <col min="2" max="2" width="30.1796875" customWidth="1"/>
    <col min="3" max="3" width="26.54296875" customWidth="1"/>
    <col min="4" max="4" width="14.54296875" customWidth="1"/>
    <col min="5" max="5" width="48.81640625" customWidth="1"/>
  </cols>
  <sheetData>
    <row r="1" spans="1:4" ht="32.5" x14ac:dyDescent="0.85">
      <c r="A1" s="26" t="s">
        <v>37</v>
      </c>
      <c r="B1" s="26"/>
      <c r="C1" s="26"/>
      <c r="D1" s="26"/>
    </row>
    <row r="2" spans="1:4" ht="16.5" x14ac:dyDescent="0.35">
      <c r="A2" s="1" t="s">
        <v>38</v>
      </c>
      <c r="B2" s="1"/>
      <c r="C2" s="1"/>
      <c r="D2" s="1"/>
    </row>
    <row r="3" spans="1:4" ht="16.5" x14ac:dyDescent="0.45">
      <c r="A3" s="2" t="s">
        <v>16</v>
      </c>
      <c r="B3" s="2" t="s">
        <v>39</v>
      </c>
      <c r="C3" s="2" t="s">
        <v>40</v>
      </c>
      <c r="D3" s="2" t="s">
        <v>41</v>
      </c>
    </row>
    <row r="4" spans="1:4" ht="16.5" x14ac:dyDescent="0.45">
      <c r="A4" s="3" t="s">
        <v>42</v>
      </c>
      <c r="B4" s="3" t="s">
        <v>43</v>
      </c>
      <c r="C4" s="3" t="s">
        <v>44</v>
      </c>
      <c r="D4" s="3">
        <v>1</v>
      </c>
    </row>
    <row r="5" spans="1:4" ht="16.5" x14ac:dyDescent="0.45">
      <c r="A5" s="3" t="s">
        <v>24</v>
      </c>
      <c r="B5" s="3" t="s">
        <v>49</v>
      </c>
      <c r="C5" s="3" t="s">
        <v>242</v>
      </c>
      <c r="D5" s="3">
        <f>D4+1</f>
        <v>2</v>
      </c>
    </row>
    <row r="6" spans="1:4" ht="16.5" x14ac:dyDescent="0.45">
      <c r="A6" s="3" t="s">
        <v>243</v>
      </c>
      <c r="B6" s="3" t="s">
        <v>48</v>
      </c>
      <c r="C6" s="3" t="s">
        <v>244</v>
      </c>
      <c r="D6" s="3">
        <f t="shared" ref="D6:D7" si="0">D5+1</f>
        <v>3</v>
      </c>
    </row>
    <row r="7" spans="1:4" ht="16.5" x14ac:dyDescent="0.45">
      <c r="A7" s="3" t="s">
        <v>32</v>
      </c>
      <c r="B7" s="3" t="s">
        <v>250</v>
      </c>
      <c r="C7" s="3" t="s">
        <v>50</v>
      </c>
      <c r="D7" s="3">
        <f t="shared" si="0"/>
        <v>4</v>
      </c>
    </row>
    <row r="8" spans="1:4" ht="16.5" x14ac:dyDescent="0.45">
      <c r="A8" s="3" t="s">
        <v>245</v>
      </c>
      <c r="B8" s="3" t="s">
        <v>251</v>
      </c>
      <c r="C8" s="3" t="s">
        <v>246</v>
      </c>
      <c r="D8" s="3">
        <v>5</v>
      </c>
    </row>
    <row r="9" spans="1:4" ht="16.5" x14ac:dyDescent="0.45">
      <c r="A9" s="3" t="s">
        <v>45</v>
      </c>
      <c r="B9" s="3" t="s">
        <v>46</v>
      </c>
      <c r="C9" s="3" t="s">
        <v>47</v>
      </c>
      <c r="D9" s="3">
        <v>6</v>
      </c>
    </row>
    <row r="10" spans="1:4" ht="16.5" x14ac:dyDescent="0.45">
      <c r="A10" s="3" t="s">
        <v>247</v>
      </c>
      <c r="B10" s="3" t="s">
        <v>249</v>
      </c>
      <c r="C10" s="3" t="s">
        <v>248</v>
      </c>
      <c r="D10" s="3">
        <v>7</v>
      </c>
    </row>
    <row r="11" spans="1:4" ht="16.5" x14ac:dyDescent="0.45">
      <c r="A11" s="3"/>
      <c r="B11" s="3"/>
      <c r="C11" s="3"/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2DAD4-4276-4652-A960-4963B346633A}">
  <sheetPr codeName="Sheet2"/>
  <dimension ref="A1:D5"/>
  <sheetViews>
    <sheetView workbookViewId="0">
      <selection activeCell="C5" sqref="C5"/>
    </sheetView>
  </sheetViews>
  <sheetFormatPr defaultRowHeight="14.5" x14ac:dyDescent="0.35"/>
  <cols>
    <col min="1" max="1" width="38.36328125" customWidth="1"/>
    <col min="2" max="2" width="39.08984375" customWidth="1"/>
    <col min="3" max="3" width="33.6328125" customWidth="1"/>
    <col min="4" max="4" width="67" customWidth="1"/>
  </cols>
  <sheetData>
    <row r="1" spans="1:4" ht="32.5" x14ac:dyDescent="0.85">
      <c r="A1" s="26" t="s">
        <v>228</v>
      </c>
      <c r="B1" s="26"/>
      <c r="C1" s="26"/>
      <c r="D1" s="26"/>
    </row>
    <row r="2" spans="1:4" ht="16.5" x14ac:dyDescent="0.35">
      <c r="A2" s="1" t="s">
        <v>38</v>
      </c>
      <c r="B2" s="1"/>
      <c r="C2" s="1"/>
      <c r="D2" s="1"/>
    </row>
    <row r="3" spans="1:4" ht="16.5" x14ac:dyDescent="0.45">
      <c r="A3" s="2" t="s">
        <v>228</v>
      </c>
      <c r="B3" s="2" t="s">
        <v>39</v>
      </c>
      <c r="C3" s="2"/>
      <c r="D3" s="2"/>
    </row>
    <row r="4" spans="1:4" ht="16.5" x14ac:dyDescent="0.45">
      <c r="A4" s="3" t="s">
        <v>229</v>
      </c>
      <c r="B4" s="3" t="s">
        <v>230</v>
      </c>
    </row>
    <row r="5" spans="1:4" ht="16.5" x14ac:dyDescent="0.45">
      <c r="A5" s="3" t="s">
        <v>231</v>
      </c>
      <c r="B5" s="3" t="s">
        <v>232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78141-727A-4D5C-A206-F9C9F4AA1ABA}">
  <sheetPr codeName="Sheet3"/>
  <dimension ref="A1:C69"/>
  <sheetViews>
    <sheetView workbookViewId="0">
      <selection activeCell="C6" sqref="C6"/>
    </sheetView>
  </sheetViews>
  <sheetFormatPr defaultColWidth="8.81640625" defaultRowHeight="14.5" x14ac:dyDescent="0.35"/>
  <cols>
    <col min="1" max="1" width="27" customWidth="1"/>
    <col min="2" max="2" width="26.453125" customWidth="1"/>
    <col min="3" max="3" width="17.453125" customWidth="1"/>
  </cols>
  <sheetData>
    <row r="1" spans="1:3" x14ac:dyDescent="0.35">
      <c r="A1" s="27" t="s">
        <v>85</v>
      </c>
      <c r="B1" s="27"/>
    </row>
    <row r="2" spans="1:3" ht="16.5" x14ac:dyDescent="0.45">
      <c r="A2" s="2" t="s">
        <v>38</v>
      </c>
      <c r="B2" s="13"/>
    </row>
    <row r="3" spans="1:3" ht="16.5" x14ac:dyDescent="0.45">
      <c r="A3" s="2" t="s">
        <v>20</v>
      </c>
      <c r="B3" s="2" t="s">
        <v>86</v>
      </c>
      <c r="C3" s="2" t="s">
        <v>87</v>
      </c>
    </row>
    <row r="4" spans="1:3" ht="16.5" x14ac:dyDescent="0.45">
      <c r="A4" s="3" t="s">
        <v>36</v>
      </c>
      <c r="B4" s="3" t="s">
        <v>88</v>
      </c>
      <c r="C4" t="str" cm="1">
        <f t="array" ref="C4">GetFirstLetters(A4)</f>
        <v>EU</v>
      </c>
    </row>
    <row r="5" spans="1:3" ht="16.5" x14ac:dyDescent="0.45">
      <c r="A5" s="3" t="s">
        <v>89</v>
      </c>
      <c r="B5" s="3" t="s">
        <v>90</v>
      </c>
      <c r="C5" t="str" cm="1">
        <f t="array" ref="C5">GetFirstLetters(A5)</f>
        <v>EU2</v>
      </c>
    </row>
    <row r="6" spans="1:3" ht="16.5" x14ac:dyDescent="0.45">
      <c r="A6" s="3" t="s">
        <v>91</v>
      </c>
      <c r="B6" s="3" t="s">
        <v>92</v>
      </c>
      <c r="C6" t="str" cm="1">
        <f t="array" ref="C6">GetFirstLetters(A6)</f>
        <v>SCU</v>
      </c>
    </row>
    <row r="7" spans="1:3" ht="16.5" x14ac:dyDescent="0.45">
      <c r="A7" s="3" t="s">
        <v>93</v>
      </c>
      <c r="B7" s="3" t="s">
        <v>94</v>
      </c>
      <c r="C7" t="str" cm="1">
        <f t="array" ref="C7">GetFirstLetters(A7)</f>
        <v>WU2</v>
      </c>
    </row>
    <row r="8" spans="1:3" ht="16.5" x14ac:dyDescent="0.45">
      <c r="A8" s="3" t="s">
        <v>95</v>
      </c>
      <c r="B8" s="3" t="s">
        <v>96</v>
      </c>
      <c r="C8" t="str" cm="1">
        <f t="array" ref="C8">GetFirstLetters(A8)</f>
        <v>WU3</v>
      </c>
    </row>
    <row r="9" spans="1:3" ht="16.5" x14ac:dyDescent="0.45">
      <c r="A9" s="3" t="s">
        <v>97</v>
      </c>
      <c r="B9" s="3" t="s">
        <v>98</v>
      </c>
      <c r="C9" t="str" cm="1">
        <f t="array" ref="C9">GetFirstLetters(A9)</f>
        <v>AE</v>
      </c>
    </row>
    <row r="10" spans="1:3" ht="16.5" x14ac:dyDescent="0.45">
      <c r="A10" s="3" t="s">
        <v>99</v>
      </c>
      <c r="B10" s="3" t="s">
        <v>100</v>
      </c>
      <c r="C10" t="str" cm="1">
        <f t="array" ref="C10">GetFirstLetters(A10)</f>
        <v>SA</v>
      </c>
    </row>
    <row r="11" spans="1:3" ht="16.5" x14ac:dyDescent="0.45">
      <c r="A11" s="3" t="s">
        <v>26</v>
      </c>
      <c r="B11" s="3" t="s">
        <v>101</v>
      </c>
      <c r="C11" t="str" cm="1">
        <f t="array" ref="C11">GetFirstLetters(A11)</f>
        <v>NE</v>
      </c>
    </row>
    <row r="12" spans="1:3" ht="16.5" x14ac:dyDescent="0.45">
      <c r="A12" s="3" t="s">
        <v>102</v>
      </c>
      <c r="B12" s="3" t="s">
        <v>103</v>
      </c>
      <c r="C12" t="str" cm="1">
        <f t="array" ref="C12">GetFirstLetters(A12)</f>
        <v>SC</v>
      </c>
    </row>
    <row r="13" spans="1:3" ht="16.5" x14ac:dyDescent="0.45">
      <c r="A13" s="3" t="s">
        <v>104</v>
      </c>
      <c r="B13" s="3" t="s">
        <v>105</v>
      </c>
      <c r="C13" t="str" cm="1">
        <f t="array" ref="C13">GetFirstLetters(A13)</f>
        <v>US</v>
      </c>
    </row>
    <row r="14" spans="1:3" ht="16.5" x14ac:dyDescent="0.45">
      <c r="A14" s="3" t="s">
        <v>106</v>
      </c>
      <c r="B14" s="3" t="s">
        <v>107</v>
      </c>
      <c r="C14" t="str" cm="1">
        <f t="array" ref="C14">GetFirstLetters(A14)</f>
        <v>WE</v>
      </c>
    </row>
    <row r="15" spans="1:3" ht="16.5" x14ac:dyDescent="0.45">
      <c r="A15" s="3" t="s">
        <v>108</v>
      </c>
      <c r="B15" s="3" t="s">
        <v>109</v>
      </c>
      <c r="C15" t="str" cm="1">
        <f t="array" ref="C15">GetFirstLetters(A15)</f>
        <v>CU</v>
      </c>
    </row>
    <row r="16" spans="1:3" ht="16.5" x14ac:dyDescent="0.45">
      <c r="A16" s="3" t="s">
        <v>110</v>
      </c>
      <c r="B16" s="3" t="s">
        <v>111</v>
      </c>
      <c r="C16" t="str" cm="1">
        <f t="array" ref="C16">GetFirstLetters(A16)</f>
        <v>NCU</v>
      </c>
    </row>
    <row r="17" spans="1:3" ht="16.5" x14ac:dyDescent="0.45">
      <c r="A17" s="3" t="s">
        <v>112</v>
      </c>
      <c r="B17" s="3" t="s">
        <v>113</v>
      </c>
      <c r="C17" t="str" cm="1">
        <f t="array" ref="C17">GetFirstLetters(A17)</f>
        <v>WU</v>
      </c>
    </row>
    <row r="18" spans="1:3" ht="16.5" x14ac:dyDescent="0.45">
      <c r="A18" s="3" t="s">
        <v>114</v>
      </c>
      <c r="B18" s="3" t="s">
        <v>115</v>
      </c>
      <c r="C18" t="str" cm="1">
        <f t="array" ref="C18">GetFirstLetters(A18)</f>
        <v>SAN</v>
      </c>
    </row>
    <row r="19" spans="1:3" ht="16.5" x14ac:dyDescent="0.45">
      <c r="A19" s="3" t="s">
        <v>116</v>
      </c>
      <c r="B19" s="3" t="s">
        <v>117</v>
      </c>
      <c r="C19" t="str" cm="1">
        <f t="array" ref="C19">GetFirstLetters(A19)</f>
        <v>CI</v>
      </c>
    </row>
    <row r="20" spans="1:3" ht="16.5" x14ac:dyDescent="0.45">
      <c r="A20" s="3" t="s">
        <v>118</v>
      </c>
      <c r="B20" s="3" t="s">
        <v>119</v>
      </c>
      <c r="C20" t="str" cm="1">
        <f t="array" ref="C20">GetFirstLetters(A20)</f>
        <v>EA</v>
      </c>
    </row>
    <row r="21" spans="1:3" ht="16.5" x14ac:dyDescent="0.45">
      <c r="A21" s="3" t="s">
        <v>120</v>
      </c>
      <c r="B21" s="3" t="s">
        <v>121</v>
      </c>
      <c r="C21" t="str" cm="1">
        <f t="array" ref="C21">GetFirstLetters(A21)</f>
        <v>JE</v>
      </c>
    </row>
    <row r="22" spans="1:3" ht="16.5" x14ac:dyDescent="0.45">
      <c r="A22" s="3" t="s">
        <v>122</v>
      </c>
      <c r="B22" s="3" t="s">
        <v>123</v>
      </c>
      <c r="C22" t="str" cm="1">
        <f t="array" ref="C22">GetFirstLetters(A22)</f>
        <v>JIW</v>
      </c>
    </row>
    <row r="23" spans="1:3" ht="16.5" x14ac:dyDescent="0.45">
      <c r="A23" s="3" t="s">
        <v>124</v>
      </c>
      <c r="B23" s="3" t="s">
        <v>125</v>
      </c>
      <c r="C23" t="str" cm="1">
        <f t="array" ref="C23">GetFirstLetters(A23)</f>
        <v>KC</v>
      </c>
    </row>
    <row r="24" spans="1:3" ht="16.5" x14ac:dyDescent="0.45">
      <c r="A24" s="3" t="s">
        <v>126</v>
      </c>
      <c r="B24" s="3" t="s">
        <v>127</v>
      </c>
      <c r="C24" t="str" cm="1">
        <f t="array" ref="C24">GetFirstLetters(A24)</f>
        <v>CC</v>
      </c>
    </row>
    <row r="25" spans="1:3" ht="16.5" x14ac:dyDescent="0.45">
      <c r="A25" s="3" t="s">
        <v>128</v>
      </c>
      <c r="B25" s="3" t="s">
        <v>129</v>
      </c>
      <c r="C25" t="str" cm="1">
        <f t="array" ref="C25">GetFirstLetters(A25)</f>
        <v>FC</v>
      </c>
    </row>
    <row r="26" spans="1:3" ht="16.5" x14ac:dyDescent="0.45">
      <c r="A26" s="3" t="s">
        <v>130</v>
      </c>
      <c r="B26" s="3" t="s">
        <v>131</v>
      </c>
      <c r="C26" t="str" cm="1">
        <f t="array" ref="C26">GetFirstLetters(A26)</f>
        <v>GWC</v>
      </c>
    </row>
    <row r="27" spans="1:3" ht="16.5" x14ac:dyDescent="0.45">
      <c r="A27" s="3" t="s">
        <v>132</v>
      </c>
      <c r="B27" s="3" t="s">
        <v>133</v>
      </c>
      <c r="C27" t="str" cm="1">
        <f t="array" ref="C27">GetFirstLetters(A27)</f>
        <v>NE</v>
      </c>
    </row>
    <row r="28" spans="1:3" ht="16.5" x14ac:dyDescent="0.45">
      <c r="A28" s="3" t="s">
        <v>134</v>
      </c>
      <c r="B28" s="3" t="s">
        <v>135</v>
      </c>
      <c r="C28" t="str" cm="1">
        <f t="array" ref="C28">GetFirstLetters(A28)</f>
        <v>SN</v>
      </c>
    </row>
    <row r="29" spans="1:3" ht="16.5" x14ac:dyDescent="0.45">
      <c r="A29" s="3" t="s">
        <v>136</v>
      </c>
      <c r="B29" s="3" t="s">
        <v>137</v>
      </c>
      <c r="C29" t="str" cm="1">
        <f t="array" ref="C29">GetFirstLetters(A29)</f>
        <v>UN</v>
      </c>
    </row>
    <row r="30" spans="1:3" ht="16.5" x14ac:dyDescent="0.45">
      <c r="A30" s="3" t="s">
        <v>138</v>
      </c>
      <c r="B30" s="3" t="s">
        <v>139</v>
      </c>
      <c r="C30" t="str" cm="1">
        <f t="array" ref="C30">GetFirstLetters(A30)</f>
        <v>BS</v>
      </c>
    </row>
    <row r="31" spans="1:3" ht="16.5" x14ac:dyDescent="0.45">
      <c r="A31" s="3" t="s">
        <v>140</v>
      </c>
      <c r="B31" s="3" t="s">
        <v>141</v>
      </c>
      <c r="C31" t="str">
        <f>LEFT(A31,2)</f>
        <v>As</v>
      </c>
    </row>
    <row r="32" spans="1:3" ht="16.5" x14ac:dyDescent="0.45">
      <c r="A32" s="3" t="s">
        <v>142</v>
      </c>
      <c r="B32" s="3" t="s">
        <v>143</v>
      </c>
      <c r="C32" t="str" cm="1">
        <f t="array" ref="C32">GetFirstLetters(A32)</f>
        <v>AP</v>
      </c>
    </row>
    <row r="33" spans="1:3" ht="16.5" x14ac:dyDescent="0.45">
      <c r="A33" s="3" t="s">
        <v>144</v>
      </c>
      <c r="B33" s="3" t="s">
        <v>145</v>
      </c>
      <c r="C33" t="str">
        <f t="shared" ref="C33:C43" si="0">LEFT(A33,2)</f>
        <v>Au</v>
      </c>
    </row>
    <row r="34" spans="1:3" ht="16.5" x14ac:dyDescent="0.45">
      <c r="A34" s="3" t="s">
        <v>146</v>
      </c>
      <c r="B34" s="3" t="s">
        <v>147</v>
      </c>
      <c r="C34" t="str">
        <f t="shared" si="0"/>
        <v>Br</v>
      </c>
    </row>
    <row r="35" spans="1:3" ht="16.5" x14ac:dyDescent="0.45">
      <c r="A35" s="3" t="s">
        <v>148</v>
      </c>
      <c r="B35" s="3" t="s">
        <v>149</v>
      </c>
      <c r="C35" t="str">
        <f t="shared" si="0"/>
        <v>Ca</v>
      </c>
    </row>
    <row r="36" spans="1:3" ht="16.5" x14ac:dyDescent="0.45">
      <c r="A36" s="3" t="s">
        <v>150</v>
      </c>
      <c r="B36" s="3" t="s">
        <v>151</v>
      </c>
      <c r="C36" t="str">
        <f t="shared" si="0"/>
        <v>Eu</v>
      </c>
    </row>
    <row r="37" spans="1:3" ht="16.5" x14ac:dyDescent="0.45">
      <c r="A37" s="3" t="s">
        <v>152</v>
      </c>
      <c r="B37" s="3" t="s">
        <v>153</v>
      </c>
      <c r="C37" t="str">
        <f t="shared" si="0"/>
        <v>Fr</v>
      </c>
    </row>
    <row r="38" spans="1:3" ht="16.5" x14ac:dyDescent="0.45">
      <c r="A38" s="3" t="s">
        <v>154</v>
      </c>
      <c r="B38" s="3" t="s">
        <v>155</v>
      </c>
      <c r="C38" t="str">
        <f t="shared" si="0"/>
        <v>Ge</v>
      </c>
    </row>
    <row r="39" spans="1:3" ht="16.5" x14ac:dyDescent="0.45">
      <c r="A39" s="3" t="s">
        <v>76</v>
      </c>
      <c r="B39" s="3" t="s">
        <v>80</v>
      </c>
      <c r="C39" t="str">
        <f t="shared" si="0"/>
        <v>Gl</v>
      </c>
    </row>
    <row r="40" spans="1:3" ht="16.5" x14ac:dyDescent="0.45">
      <c r="A40" s="3" t="s">
        <v>156</v>
      </c>
      <c r="B40" s="3" t="s">
        <v>157</v>
      </c>
      <c r="C40" t="str">
        <f t="shared" si="0"/>
        <v>In</v>
      </c>
    </row>
    <row r="41" spans="1:3" ht="16.5" x14ac:dyDescent="0.45">
      <c r="A41" s="3" t="s">
        <v>158</v>
      </c>
      <c r="B41" s="3" t="s">
        <v>159</v>
      </c>
      <c r="C41" t="str">
        <f t="shared" si="0"/>
        <v>Ja</v>
      </c>
    </row>
    <row r="42" spans="1:3" ht="16.5" x14ac:dyDescent="0.45">
      <c r="A42" s="3" t="s">
        <v>160</v>
      </c>
      <c r="B42" s="3" t="s">
        <v>161</v>
      </c>
      <c r="C42" t="str">
        <f t="shared" si="0"/>
        <v>Ko</v>
      </c>
    </row>
    <row r="43" spans="1:3" ht="16.5" x14ac:dyDescent="0.45">
      <c r="A43" s="3" t="s">
        <v>162</v>
      </c>
      <c r="B43" s="3" t="s">
        <v>163</v>
      </c>
      <c r="C43" t="str">
        <f t="shared" si="0"/>
        <v>No</v>
      </c>
    </row>
    <row r="44" spans="1:3" ht="16.5" x14ac:dyDescent="0.45">
      <c r="A44" s="3" t="s">
        <v>164</v>
      </c>
      <c r="B44" s="3" t="s">
        <v>165</v>
      </c>
      <c r="C44" t="str" cm="1">
        <f t="array" ref="C44">GetFirstLetters(A44)</f>
        <v>SA</v>
      </c>
    </row>
    <row r="45" spans="1:3" ht="16.5" x14ac:dyDescent="0.45">
      <c r="A45" s="3" t="s">
        <v>166</v>
      </c>
      <c r="B45" s="3" t="s">
        <v>167</v>
      </c>
      <c r="C45" t="str">
        <f>LEFT(A45,2)</f>
        <v>Sw</v>
      </c>
    </row>
    <row r="46" spans="1:3" ht="16.5" x14ac:dyDescent="0.45">
      <c r="A46" s="3" t="s">
        <v>168</v>
      </c>
      <c r="B46" s="3" t="s">
        <v>169</v>
      </c>
      <c r="C46" t="str" cm="1">
        <f t="array" ref="C46">GetFirstLetters(A46)</f>
        <v>UAE</v>
      </c>
    </row>
    <row r="47" spans="1:3" ht="16.5" x14ac:dyDescent="0.45">
      <c r="A47" s="3" t="s">
        <v>170</v>
      </c>
      <c r="B47" s="3" t="s">
        <v>171</v>
      </c>
      <c r="C47" t="str" cm="1">
        <f t="array" ref="C47">GetFirstLetters(A47)</f>
        <v>UK</v>
      </c>
    </row>
    <row r="48" spans="1:3" ht="16.5" x14ac:dyDescent="0.45">
      <c r="A48" s="3" t="s">
        <v>172</v>
      </c>
      <c r="B48" s="3" t="s">
        <v>173</v>
      </c>
      <c r="C48" t="str" cm="1">
        <f t="array" ref="C48">GetFirstLetters(A48)</f>
        <v>US</v>
      </c>
    </row>
    <row r="49" spans="1:3" ht="16.5" x14ac:dyDescent="0.45">
      <c r="A49" s="3" t="s">
        <v>174</v>
      </c>
      <c r="B49" s="3" t="s">
        <v>175</v>
      </c>
      <c r="C49" t="str" cm="1">
        <f t="array" ref="C49">GetFirstLetters(A49)</f>
        <v>USE</v>
      </c>
    </row>
    <row r="50" spans="1:3" ht="16.5" x14ac:dyDescent="0.45">
      <c r="A50" s="3" t="s">
        <v>176</v>
      </c>
      <c r="B50" s="3" t="s">
        <v>177</v>
      </c>
      <c r="C50" t="str" cm="1">
        <f t="array" ref="C50">GetFirstLetters(A50)</f>
        <v>CUE</v>
      </c>
    </row>
    <row r="51" spans="1:3" ht="16.5" x14ac:dyDescent="0.45">
      <c r="A51" s="3" t="s">
        <v>178</v>
      </c>
      <c r="B51" s="3" t="s">
        <v>179</v>
      </c>
      <c r="C51" t="str" cm="1">
        <f t="array" ref="C51">GetFirstLetters(A51)</f>
        <v>EU2E</v>
      </c>
    </row>
    <row r="52" spans="1:3" ht="16.5" x14ac:dyDescent="0.45">
      <c r="A52" s="3" t="s">
        <v>180</v>
      </c>
      <c r="B52" s="3" t="s">
        <v>181</v>
      </c>
      <c r="C52" t="str" cm="1">
        <f t="array" ref="C52">GetFirstLetters(A52)</f>
        <v>WCU</v>
      </c>
    </row>
    <row r="53" spans="1:3" ht="16.5" x14ac:dyDescent="0.45">
      <c r="A53" s="3" t="s">
        <v>182</v>
      </c>
      <c r="B53" s="3" t="s">
        <v>183</v>
      </c>
      <c r="C53" t="str" cm="1">
        <f t="array" ref="C53">GetFirstLetters(A53)</f>
        <v>SAW</v>
      </c>
    </row>
    <row r="54" spans="1:3" ht="16.5" x14ac:dyDescent="0.45">
      <c r="A54" s="3" t="s">
        <v>184</v>
      </c>
      <c r="B54" s="3" t="s">
        <v>185</v>
      </c>
      <c r="C54" t="str" cm="1">
        <f t="array" ref="C54">GetFirstLetters(A54)</f>
        <v>AC</v>
      </c>
    </row>
    <row r="55" spans="1:3" ht="16.5" x14ac:dyDescent="0.45">
      <c r="A55" s="3" t="s">
        <v>186</v>
      </c>
      <c r="B55" s="3" t="s">
        <v>187</v>
      </c>
      <c r="C55" t="str" cm="1">
        <f t="array" ref="C55">GetFirstLetters(A55)</f>
        <v>AC2</v>
      </c>
    </row>
    <row r="56" spans="1:3" ht="16.5" x14ac:dyDescent="0.45">
      <c r="A56" s="3" t="s">
        <v>188</v>
      </c>
      <c r="B56" s="3" t="s">
        <v>189</v>
      </c>
      <c r="C56" t="str" cm="1">
        <f t="array" ref="C56">GetFirstLetters(A56)</f>
        <v>AS</v>
      </c>
    </row>
    <row r="57" spans="1:3" ht="16.5" x14ac:dyDescent="0.45">
      <c r="A57" s="3" t="s">
        <v>190</v>
      </c>
      <c r="B57" s="3" t="s">
        <v>191</v>
      </c>
      <c r="C57" t="str" cm="1">
        <f t="array" ref="C57">GetFirstLetters(A57)</f>
        <v>JW</v>
      </c>
    </row>
    <row r="58" spans="1:3" ht="16.5" x14ac:dyDescent="0.45">
      <c r="A58" s="3" t="s">
        <v>192</v>
      </c>
      <c r="B58" s="3" t="s">
        <v>193</v>
      </c>
      <c r="C58" t="str" cm="1">
        <f t="array" ref="C58">GetFirstLetters(A58)</f>
        <v>JIC</v>
      </c>
    </row>
    <row r="59" spans="1:3" ht="16.5" x14ac:dyDescent="0.45">
      <c r="A59" s="3" t="s">
        <v>194</v>
      </c>
      <c r="B59" s="3" t="s">
        <v>195</v>
      </c>
      <c r="C59" t="str" cm="1">
        <f t="array" ref="C59">GetFirstLetters(A59)</f>
        <v>KS</v>
      </c>
    </row>
    <row r="60" spans="1:3" ht="16.5" x14ac:dyDescent="0.45">
      <c r="A60" s="3" t="s">
        <v>196</v>
      </c>
      <c r="B60" s="3" t="s">
        <v>197</v>
      </c>
      <c r="C60" t="str" cm="1">
        <f t="array" ref="C60">GetFirstLetters(A60)</f>
        <v>SI</v>
      </c>
    </row>
    <row r="61" spans="1:3" ht="16.5" x14ac:dyDescent="0.45">
      <c r="A61" s="3" t="s">
        <v>198</v>
      </c>
      <c r="B61" s="3" t="s">
        <v>199</v>
      </c>
      <c r="C61" t="str" cm="1">
        <f t="array" ref="C61">GetFirstLetters(A61)</f>
        <v>WI</v>
      </c>
    </row>
    <row r="62" spans="1:3" ht="16.5" x14ac:dyDescent="0.45">
      <c r="A62" s="3" t="s">
        <v>200</v>
      </c>
      <c r="B62" s="3" t="s">
        <v>201</v>
      </c>
      <c r="C62" t="str" cm="1">
        <f t="array" ref="C62">GetFirstLetters(A62)</f>
        <v>CE</v>
      </c>
    </row>
    <row r="63" spans="1:3" ht="16.5" x14ac:dyDescent="0.45">
      <c r="A63" s="3" t="s">
        <v>202</v>
      </c>
      <c r="B63" s="3" t="s">
        <v>203</v>
      </c>
      <c r="C63" t="str" cm="1">
        <f t="array" ref="C63">GetFirstLetters(A63)</f>
        <v>FS</v>
      </c>
    </row>
    <row r="64" spans="1:3" ht="16.5" x14ac:dyDescent="0.45">
      <c r="A64" s="3" t="s">
        <v>204</v>
      </c>
      <c r="B64" s="3" t="s">
        <v>205</v>
      </c>
      <c r="C64" t="str" cm="1">
        <f t="array" ref="C64">GetFirstLetters(A64)</f>
        <v>GN</v>
      </c>
    </row>
    <row r="65" spans="1:3" ht="16.5" x14ac:dyDescent="0.45">
      <c r="A65" s="3" t="s">
        <v>206</v>
      </c>
      <c r="B65" s="3" t="s">
        <v>207</v>
      </c>
      <c r="C65" t="str" cm="1">
        <f t="array" ref="C65">GetFirstLetters(A65)</f>
        <v>NW</v>
      </c>
    </row>
    <row r="66" spans="1:3" ht="16.5" x14ac:dyDescent="0.45">
      <c r="A66" s="3" t="s">
        <v>208</v>
      </c>
      <c r="B66" s="3" t="s">
        <v>209</v>
      </c>
      <c r="C66" t="str" cm="1">
        <f t="array" ref="C66">GetFirstLetters(A66)</f>
        <v>SW</v>
      </c>
    </row>
    <row r="67" spans="1:3" ht="16.5" x14ac:dyDescent="0.45">
      <c r="A67" s="3" t="s">
        <v>210</v>
      </c>
      <c r="B67" s="3" t="s">
        <v>211</v>
      </c>
      <c r="C67" t="str" cm="1">
        <f t="array" ref="C67">GetFirstLetters(A67)</f>
        <v>UW</v>
      </c>
    </row>
    <row r="68" spans="1:3" ht="16.5" x14ac:dyDescent="0.45">
      <c r="A68" s="3" t="s">
        <v>212</v>
      </c>
      <c r="B68" s="3" t="s">
        <v>213</v>
      </c>
      <c r="C68" t="str" cm="1">
        <f t="array" ref="C68">GetFirstLetters(A68)</f>
        <v>UC</v>
      </c>
    </row>
    <row r="69" spans="1:3" ht="16.5" x14ac:dyDescent="0.45">
      <c r="A69" s="3" t="s">
        <v>214</v>
      </c>
      <c r="B69" s="3" t="s">
        <v>215</v>
      </c>
      <c r="C69" t="str" cm="1">
        <f t="array" ref="C69">GetFirstLetters(A69)</f>
        <v>BS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408A7-76C1-4102-8C89-7C2B87F4D470}">
  <sheetPr codeName="Sheet8"/>
  <dimension ref="A1:D11"/>
  <sheetViews>
    <sheetView workbookViewId="0">
      <selection activeCell="B5" sqref="B5:B11"/>
    </sheetView>
  </sheetViews>
  <sheetFormatPr defaultRowHeight="14.5" x14ac:dyDescent="0.35"/>
  <cols>
    <col min="1" max="1" width="45.81640625" customWidth="1"/>
    <col min="2" max="2" width="28.6328125" customWidth="1"/>
    <col min="3" max="3" width="34.26953125" customWidth="1"/>
    <col min="4" max="4" width="39.36328125" customWidth="1"/>
  </cols>
  <sheetData>
    <row r="1" spans="1:4" ht="32.5" x14ac:dyDescent="0.85">
      <c r="A1" s="26" t="s">
        <v>223</v>
      </c>
      <c r="B1" s="26"/>
      <c r="C1" s="26"/>
      <c r="D1" s="26"/>
    </row>
    <row r="2" spans="1:4" ht="16.5" x14ac:dyDescent="0.35">
      <c r="A2" s="1" t="s">
        <v>38</v>
      </c>
      <c r="B2" s="1"/>
      <c r="C2" s="1"/>
      <c r="D2" s="1"/>
    </row>
    <row r="3" spans="1:4" ht="16.5" x14ac:dyDescent="0.45">
      <c r="A3" s="2" t="s">
        <v>221</v>
      </c>
      <c r="B3" s="2" t="s">
        <v>39</v>
      </c>
      <c r="C3" s="2"/>
      <c r="D3" s="2"/>
    </row>
    <row r="4" spans="1:4" ht="16.5" x14ac:dyDescent="0.45">
      <c r="A4" s="3" t="s">
        <v>222</v>
      </c>
      <c r="B4" s="3" t="s">
        <v>224</v>
      </c>
      <c r="C4" s="3"/>
      <c r="D4" s="5"/>
    </row>
    <row r="5" spans="1:4" ht="16.5" x14ac:dyDescent="0.45">
      <c r="A5" s="3"/>
      <c r="B5" s="3"/>
      <c r="C5" s="3"/>
      <c r="D5" s="5"/>
    </row>
    <row r="6" spans="1:4" ht="16.5" x14ac:dyDescent="0.45">
      <c r="A6" s="3"/>
      <c r="B6" s="3"/>
      <c r="C6" s="3"/>
      <c r="D6" s="5"/>
    </row>
    <row r="7" spans="1:4" ht="16.5" x14ac:dyDescent="0.45">
      <c r="A7" s="3"/>
      <c r="B7" s="3"/>
      <c r="C7" s="3"/>
      <c r="D7" s="5"/>
    </row>
    <row r="8" spans="1:4" ht="16.5" x14ac:dyDescent="0.45">
      <c r="A8" s="3"/>
      <c r="B8" s="3"/>
      <c r="C8" s="3"/>
    </row>
    <row r="9" spans="1:4" ht="16.5" x14ac:dyDescent="0.45">
      <c r="A9" s="3"/>
      <c r="B9" s="3"/>
      <c r="C9" s="3"/>
    </row>
    <row r="10" spans="1:4" ht="16.5" x14ac:dyDescent="0.45">
      <c r="A10" s="3"/>
      <c r="B10" s="3"/>
      <c r="C10" s="3"/>
    </row>
    <row r="11" spans="1:4" ht="16.5" x14ac:dyDescent="0.45">
      <c r="A11" s="3"/>
      <c r="B11" s="3"/>
      <c r="C11" s="3"/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F02C4-7EC5-429D-86A6-3EF524B46D0B}">
  <sheetPr codeName="Sheet9"/>
  <dimension ref="A1:D11"/>
  <sheetViews>
    <sheetView workbookViewId="0">
      <selection activeCell="A4" sqref="A4"/>
    </sheetView>
  </sheetViews>
  <sheetFormatPr defaultRowHeight="14.5" x14ac:dyDescent="0.35"/>
  <cols>
    <col min="1" max="1" width="45.81640625" customWidth="1"/>
    <col min="2" max="2" width="28.6328125" customWidth="1"/>
    <col min="3" max="3" width="34.26953125" customWidth="1"/>
    <col min="4" max="4" width="39.36328125" customWidth="1"/>
  </cols>
  <sheetData>
    <row r="1" spans="1:4" ht="32.5" x14ac:dyDescent="0.85">
      <c r="A1" s="26" t="s">
        <v>236</v>
      </c>
      <c r="B1" s="26"/>
      <c r="C1" s="26"/>
      <c r="D1" s="26"/>
    </row>
    <row r="2" spans="1:4" ht="16.5" x14ac:dyDescent="0.35">
      <c r="A2" s="1" t="s">
        <v>38</v>
      </c>
      <c r="B2" s="1"/>
      <c r="C2" s="1"/>
      <c r="D2" s="1"/>
    </row>
    <row r="3" spans="1:4" ht="16.5" x14ac:dyDescent="0.45">
      <c r="A3" s="2" t="s">
        <v>86</v>
      </c>
      <c r="B3" s="2" t="s">
        <v>39</v>
      </c>
      <c r="C3" s="2"/>
      <c r="D3" s="2"/>
    </row>
    <row r="4" spans="1:4" ht="16.5" x14ac:dyDescent="0.45">
      <c r="A4" s="3" t="s">
        <v>237</v>
      </c>
      <c r="B4" s="3" t="s">
        <v>238</v>
      </c>
      <c r="C4" s="3"/>
      <c r="D4" s="5"/>
    </row>
    <row r="5" spans="1:4" ht="16.5" x14ac:dyDescent="0.45">
      <c r="A5" s="3"/>
      <c r="B5" s="3"/>
      <c r="C5" s="3"/>
      <c r="D5" s="5"/>
    </row>
    <row r="6" spans="1:4" ht="16.5" x14ac:dyDescent="0.45">
      <c r="A6" s="3"/>
      <c r="B6" s="3"/>
      <c r="C6" s="3"/>
      <c r="D6" s="5"/>
    </row>
    <row r="7" spans="1:4" ht="16.5" x14ac:dyDescent="0.45">
      <c r="A7" s="3"/>
      <c r="B7" s="3"/>
      <c r="C7" s="3"/>
      <c r="D7" s="5"/>
    </row>
    <row r="8" spans="1:4" ht="16.5" x14ac:dyDescent="0.45">
      <c r="A8" s="3"/>
      <c r="B8" s="3"/>
      <c r="C8" s="3"/>
    </row>
    <row r="9" spans="1:4" ht="16.5" x14ac:dyDescent="0.45">
      <c r="A9" s="3"/>
      <c r="B9" s="3"/>
      <c r="C9" s="3"/>
    </row>
    <row r="10" spans="1:4" ht="16.5" x14ac:dyDescent="0.45">
      <c r="A10" s="3"/>
      <c r="B10" s="3"/>
      <c r="C10" s="3"/>
    </row>
    <row r="11" spans="1:4" ht="16.5" x14ac:dyDescent="0.45">
      <c r="A11" s="3"/>
      <c r="B11" s="3"/>
      <c r="C11" s="3"/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88FAF-5FD3-44CB-A42F-6BDC3CDE0767}">
  <sheetPr codeName="Sheet6"/>
  <dimension ref="A1:V339"/>
  <sheetViews>
    <sheetView workbookViewId="0">
      <selection activeCell="A86" sqref="A86"/>
    </sheetView>
  </sheetViews>
  <sheetFormatPr defaultColWidth="8.81640625" defaultRowHeight="16.5" x14ac:dyDescent="0.45"/>
  <cols>
    <col min="1" max="2" width="63.54296875" style="3" customWidth="1"/>
    <col min="3" max="3" width="47.1796875" style="3" hidden="1" customWidth="1"/>
    <col min="4" max="4" width="26.81640625" style="3" hidden="1" customWidth="1"/>
    <col min="5" max="5" width="48.1796875" hidden="1" customWidth="1"/>
    <col min="6" max="7" width="28.54296875" customWidth="1"/>
    <col min="8" max="8" width="114.7265625" hidden="1" customWidth="1"/>
    <col min="9" max="9" width="24" hidden="1" customWidth="1"/>
    <col min="10" max="11" width="0" hidden="1" customWidth="1"/>
    <col min="12" max="12" width="9.08984375" hidden="1" customWidth="1"/>
    <col min="13" max="15" width="0" hidden="1" customWidth="1"/>
    <col min="16" max="16" width="55.1796875" hidden="1" customWidth="1"/>
    <col min="17" max="17" width="20.81640625" hidden="1" customWidth="1"/>
    <col min="18" max="18" width="68.26953125" bestFit="1" customWidth="1"/>
    <col min="19" max="19" width="33.26953125" customWidth="1"/>
    <col min="20" max="21" width="28.54296875" customWidth="1"/>
  </cols>
  <sheetData>
    <row r="1" spans="1:22" ht="14.5" x14ac:dyDescent="0.35">
      <c r="A1" s="17" t="s">
        <v>1259</v>
      </c>
      <c r="B1" s="17" t="s">
        <v>262</v>
      </c>
      <c r="C1" s="17" t="s">
        <v>263</v>
      </c>
      <c r="D1" s="17" t="s">
        <v>264</v>
      </c>
      <c r="E1" s="17" t="s">
        <v>265</v>
      </c>
      <c r="F1" s="17" t="s">
        <v>266</v>
      </c>
      <c r="G1" s="17" t="s">
        <v>267</v>
      </c>
      <c r="H1" s="17" t="s">
        <v>268</v>
      </c>
      <c r="I1" s="17" t="s">
        <v>269</v>
      </c>
      <c r="J1" s="17" t="s">
        <v>270</v>
      </c>
      <c r="K1" s="17" t="s">
        <v>271</v>
      </c>
      <c r="L1" s="17" t="s">
        <v>272</v>
      </c>
      <c r="M1" s="17" t="s">
        <v>273</v>
      </c>
      <c r="N1" s="17" t="s">
        <v>274</v>
      </c>
      <c r="O1" s="17" t="s">
        <v>275</v>
      </c>
      <c r="P1" s="17" t="s">
        <v>276</v>
      </c>
      <c r="Q1" s="22" t="s">
        <v>277</v>
      </c>
      <c r="R1" s="17" t="s">
        <v>4</v>
      </c>
      <c r="S1" s="22" t="s">
        <v>252</v>
      </c>
      <c r="T1" s="17" t="s">
        <v>266</v>
      </c>
      <c r="U1" s="17" t="s">
        <v>1261</v>
      </c>
    </row>
    <row r="2" spans="1:22" ht="14.5" x14ac:dyDescent="0.35">
      <c r="A2" s="18" t="str">
        <f>_xlfn.CONCAT(B2, E2,"(",F2,")")</f>
        <v>AnalysisServices/servers(as)</v>
      </c>
      <c r="B2" s="18" t="s">
        <v>240</v>
      </c>
      <c r="C2" s="18" t="s">
        <v>278</v>
      </c>
      <c r="D2" s="18" t="s">
        <v>279</v>
      </c>
      <c r="E2" s="18" t="s">
        <v>280</v>
      </c>
      <c r="F2" s="18" t="str">
        <f>_xlfn.CONCAT(T2,U2)</f>
        <v>as</v>
      </c>
      <c r="G2" s="18" t="s">
        <v>78</v>
      </c>
      <c r="H2" s="18" t="s">
        <v>281</v>
      </c>
      <c r="I2" s="18" t="s">
        <v>282</v>
      </c>
      <c r="J2" s="18" t="s">
        <v>283</v>
      </c>
      <c r="K2" s="18" t="s">
        <v>280</v>
      </c>
      <c r="L2" s="18" t="s">
        <v>280</v>
      </c>
      <c r="M2" s="18" t="s">
        <v>280</v>
      </c>
      <c r="N2" s="18" t="s">
        <v>280</v>
      </c>
      <c r="O2" s="18" t="s">
        <v>280</v>
      </c>
      <c r="P2" s="18" t="s">
        <v>239</v>
      </c>
      <c r="Q2" s="21"/>
      <c r="R2" s="18" t="s">
        <v>1272</v>
      </c>
      <c r="S2" s="21" t="s">
        <v>1273</v>
      </c>
      <c r="T2" s="18" t="s">
        <v>67</v>
      </c>
      <c r="U2" s="18"/>
      <c r="V2">
        <f>--ISNUMBER(IFERROR(SEARCH($B$3,E3,1),""))</f>
        <v>0</v>
      </c>
    </row>
    <row r="3" spans="1:22" ht="14.5" x14ac:dyDescent="0.35">
      <c r="A3" s="19" t="str">
        <f t="shared" ref="A3:A66" si="0">_xlfn.CONCAT(B3, E3,"(",F3,")")</f>
        <v>ApiManagement/service(apim-)</v>
      </c>
      <c r="B3" s="19" t="s">
        <v>255</v>
      </c>
      <c r="C3" s="19" t="s">
        <v>278</v>
      </c>
      <c r="D3" s="19" t="s">
        <v>279</v>
      </c>
      <c r="E3" s="19" t="s">
        <v>280</v>
      </c>
      <c r="F3" s="19" t="str">
        <f t="shared" ref="F3:F66" si="1">_xlfn.CONCAT(T3,U3)</f>
        <v>apim-</v>
      </c>
      <c r="G3" s="19" t="s">
        <v>80</v>
      </c>
      <c r="H3" s="19" t="s">
        <v>285</v>
      </c>
      <c r="I3" s="19" t="s">
        <v>286</v>
      </c>
      <c r="J3" s="19" t="s">
        <v>287</v>
      </c>
      <c r="K3" s="19" t="s">
        <v>280</v>
      </c>
      <c r="L3" s="19" t="s">
        <v>280</v>
      </c>
      <c r="M3" s="19" t="s">
        <v>280</v>
      </c>
      <c r="N3" s="19" t="s">
        <v>280</v>
      </c>
      <c r="O3" s="19" t="s">
        <v>280</v>
      </c>
      <c r="P3" s="19" t="s">
        <v>253</v>
      </c>
      <c r="Q3" s="20" t="s">
        <v>280</v>
      </c>
      <c r="R3" s="19" t="s">
        <v>1272</v>
      </c>
      <c r="S3" s="20" t="s">
        <v>1273</v>
      </c>
      <c r="T3" s="19" t="s">
        <v>284</v>
      </c>
      <c r="U3" s="19" t="s">
        <v>464</v>
      </c>
    </row>
    <row r="4" spans="1:22" ht="14.5" x14ac:dyDescent="0.35">
      <c r="A4" s="18" t="str">
        <f t="shared" si="0"/>
        <v>ApiManagement/service/apis(apis-)</v>
      </c>
      <c r="B4" s="18" t="s">
        <v>259</v>
      </c>
      <c r="C4" s="18" t="s">
        <v>278</v>
      </c>
      <c r="D4" s="18" t="s">
        <v>279</v>
      </c>
      <c r="E4" s="18" t="s">
        <v>280</v>
      </c>
      <c r="F4" s="18" t="str">
        <f t="shared" si="1"/>
        <v>apis-</v>
      </c>
      <c r="G4" s="18" t="s">
        <v>256</v>
      </c>
      <c r="H4" s="18" t="s">
        <v>285</v>
      </c>
      <c r="I4" s="18" t="s">
        <v>289</v>
      </c>
      <c r="J4" s="18" t="s">
        <v>280</v>
      </c>
      <c r="K4" s="18" t="s">
        <v>290</v>
      </c>
      <c r="L4" s="18" t="s">
        <v>291</v>
      </c>
      <c r="M4" s="18" t="s">
        <v>280</v>
      </c>
      <c r="N4" s="18" t="s">
        <v>280</v>
      </c>
      <c r="O4" s="18" t="s">
        <v>280</v>
      </c>
      <c r="P4" s="18" t="s">
        <v>258</v>
      </c>
      <c r="Q4" s="21" t="s">
        <v>280</v>
      </c>
      <c r="R4" s="18" t="s">
        <v>1272</v>
      </c>
      <c r="S4" s="21" t="s">
        <v>1273</v>
      </c>
      <c r="T4" s="18" t="s">
        <v>288</v>
      </c>
      <c r="U4" s="18" t="s">
        <v>464</v>
      </c>
    </row>
    <row r="5" spans="1:22" ht="14.5" x14ac:dyDescent="0.35">
      <c r="A5" s="19" t="str">
        <f t="shared" si="0"/>
        <v>ApiManagement/service/apis/issues(apii-)</v>
      </c>
      <c r="B5" s="19" t="s">
        <v>260</v>
      </c>
      <c r="C5" s="19" t="s">
        <v>278</v>
      </c>
      <c r="D5" s="19" t="s">
        <v>279</v>
      </c>
      <c r="E5" s="19" t="s">
        <v>280</v>
      </c>
      <c r="F5" s="19" t="str">
        <f t="shared" si="1"/>
        <v>apii-</v>
      </c>
      <c r="G5" s="19" t="s">
        <v>293</v>
      </c>
      <c r="H5" s="19" t="s">
        <v>285</v>
      </c>
      <c r="I5" s="19" t="s">
        <v>289</v>
      </c>
      <c r="J5" s="19" t="s">
        <v>280</v>
      </c>
      <c r="K5" s="19" t="s">
        <v>290</v>
      </c>
      <c r="L5" s="19" t="s">
        <v>291</v>
      </c>
      <c r="M5" s="19" t="s">
        <v>280</v>
      </c>
      <c r="N5" s="19" t="s">
        <v>280</v>
      </c>
      <c r="O5" s="19" t="s">
        <v>280</v>
      </c>
      <c r="P5" s="19" t="s">
        <v>258</v>
      </c>
      <c r="Q5" s="20" t="s">
        <v>280</v>
      </c>
      <c r="R5" s="19" t="s">
        <v>1272</v>
      </c>
      <c r="S5" s="20" t="s">
        <v>1273</v>
      </c>
      <c r="T5" s="19" t="s">
        <v>292</v>
      </c>
      <c r="U5" s="19" t="s">
        <v>464</v>
      </c>
    </row>
    <row r="6" spans="1:22" ht="14.5" x14ac:dyDescent="0.35">
      <c r="A6" s="18" t="str">
        <f t="shared" si="0"/>
        <v>ApiManagement/service/apis/issues/attachments(apiia-)</v>
      </c>
      <c r="B6" s="18" t="s">
        <v>294</v>
      </c>
      <c r="C6" s="18" t="s">
        <v>278</v>
      </c>
      <c r="D6" s="18" t="s">
        <v>279</v>
      </c>
      <c r="E6" s="18" t="s">
        <v>280</v>
      </c>
      <c r="F6" s="18" t="str">
        <f t="shared" si="1"/>
        <v>apiia-</v>
      </c>
      <c r="G6" s="18" t="s">
        <v>296</v>
      </c>
      <c r="H6" s="18" t="s">
        <v>285</v>
      </c>
      <c r="I6" s="18" t="s">
        <v>289</v>
      </c>
      <c r="J6" s="18" t="s">
        <v>280</v>
      </c>
      <c r="K6" s="18" t="s">
        <v>290</v>
      </c>
      <c r="L6" s="18" t="s">
        <v>291</v>
      </c>
      <c r="M6" s="18" t="s">
        <v>280</v>
      </c>
      <c r="N6" s="18" t="s">
        <v>280</v>
      </c>
      <c r="O6" s="18" t="s">
        <v>280</v>
      </c>
      <c r="P6" s="18" t="s">
        <v>258</v>
      </c>
      <c r="Q6" s="21" t="s">
        <v>280</v>
      </c>
      <c r="R6" s="18" t="s">
        <v>1272</v>
      </c>
      <c r="S6" s="21" t="s">
        <v>1273</v>
      </c>
      <c r="T6" s="18" t="s">
        <v>295</v>
      </c>
      <c r="U6" s="18" t="s">
        <v>464</v>
      </c>
    </row>
    <row r="7" spans="1:22" ht="14.5" x14ac:dyDescent="0.35">
      <c r="A7" s="19" t="str">
        <f t="shared" si="0"/>
        <v>ApiManagement/service/apis/issues/comments(apiic-)</v>
      </c>
      <c r="B7" s="19" t="s">
        <v>297</v>
      </c>
      <c r="C7" s="19" t="s">
        <v>278</v>
      </c>
      <c r="D7" s="19" t="s">
        <v>279</v>
      </c>
      <c r="E7" s="19" t="s">
        <v>280</v>
      </c>
      <c r="F7" s="19" t="str">
        <f t="shared" si="1"/>
        <v>apiic-</v>
      </c>
      <c r="G7" s="19" t="s">
        <v>296</v>
      </c>
      <c r="H7" s="19">
        <v>1</v>
      </c>
      <c r="I7" s="19" t="s">
        <v>289</v>
      </c>
      <c r="J7" s="19" t="s">
        <v>280</v>
      </c>
      <c r="K7" s="19" t="s">
        <v>290</v>
      </c>
      <c r="L7" s="19" t="s">
        <v>291</v>
      </c>
      <c r="M7" s="19" t="s">
        <v>280</v>
      </c>
      <c r="N7" s="19" t="s">
        <v>280</v>
      </c>
      <c r="O7" s="19" t="s">
        <v>280</v>
      </c>
      <c r="P7" s="19" t="s">
        <v>258</v>
      </c>
      <c r="Q7" s="20" t="s">
        <v>280</v>
      </c>
      <c r="R7" s="19" t="s">
        <v>1272</v>
      </c>
      <c r="S7" s="20" t="s">
        <v>1273</v>
      </c>
      <c r="T7" s="19" t="s">
        <v>298</v>
      </c>
      <c r="U7" s="19" t="s">
        <v>464</v>
      </c>
    </row>
    <row r="8" spans="1:22" ht="14.5" x14ac:dyDescent="0.35">
      <c r="A8" s="18" t="str">
        <f t="shared" si="0"/>
        <v>ApiManagement/service/apis/operations(apio-)</v>
      </c>
      <c r="B8" s="18" t="s">
        <v>299</v>
      </c>
      <c r="C8" s="18" t="s">
        <v>278</v>
      </c>
      <c r="D8" s="18" t="s">
        <v>279</v>
      </c>
      <c r="E8" s="18" t="s">
        <v>280</v>
      </c>
      <c r="F8" s="18" t="str">
        <f t="shared" si="1"/>
        <v>apio-</v>
      </c>
      <c r="G8" s="18" t="s">
        <v>293</v>
      </c>
      <c r="H8" s="18" t="s">
        <v>285</v>
      </c>
      <c r="I8" s="18" t="s">
        <v>289</v>
      </c>
      <c r="J8" s="18" t="s">
        <v>280</v>
      </c>
      <c r="K8" s="18" t="s">
        <v>290</v>
      </c>
      <c r="L8" s="18" t="s">
        <v>291</v>
      </c>
      <c r="M8" s="18" t="s">
        <v>280</v>
      </c>
      <c r="N8" s="18" t="s">
        <v>280</v>
      </c>
      <c r="O8" s="18" t="s">
        <v>280</v>
      </c>
      <c r="P8" s="18" t="s">
        <v>258</v>
      </c>
      <c r="Q8" s="21" t="s">
        <v>280</v>
      </c>
      <c r="R8" s="18" t="s">
        <v>1272</v>
      </c>
      <c r="S8" s="21" t="s">
        <v>1273</v>
      </c>
      <c r="T8" s="18" t="s">
        <v>300</v>
      </c>
      <c r="U8" s="18" t="s">
        <v>464</v>
      </c>
    </row>
    <row r="9" spans="1:22" ht="14.5" x14ac:dyDescent="0.35">
      <c r="A9" s="19" t="str">
        <f t="shared" si="0"/>
        <v>ApiManagement/service/apis/operations/tags(apiot-)</v>
      </c>
      <c r="B9" s="19" t="s">
        <v>301</v>
      </c>
      <c r="C9" s="19" t="s">
        <v>278</v>
      </c>
      <c r="D9" s="19" t="s">
        <v>279</v>
      </c>
      <c r="E9" s="19" t="s">
        <v>280</v>
      </c>
      <c r="F9" s="19" t="str">
        <f t="shared" si="1"/>
        <v>apiot-</v>
      </c>
      <c r="G9" s="19" t="s">
        <v>303</v>
      </c>
      <c r="H9" s="19" t="s">
        <v>285</v>
      </c>
      <c r="I9" s="19" t="s">
        <v>289</v>
      </c>
      <c r="J9" s="19" t="s">
        <v>280</v>
      </c>
      <c r="K9" s="19" t="s">
        <v>290</v>
      </c>
      <c r="L9" s="19" t="s">
        <v>291</v>
      </c>
      <c r="M9" s="19" t="s">
        <v>280</v>
      </c>
      <c r="N9" s="19" t="s">
        <v>280</v>
      </c>
      <c r="O9" s="19" t="s">
        <v>280</v>
      </c>
      <c r="P9" s="19" t="s">
        <v>258</v>
      </c>
      <c r="Q9" s="20" t="s">
        <v>280</v>
      </c>
      <c r="R9" s="19" t="s">
        <v>1272</v>
      </c>
      <c r="S9" s="20" t="s">
        <v>1273</v>
      </c>
      <c r="T9" s="19" t="s">
        <v>302</v>
      </c>
      <c r="U9" s="19" t="s">
        <v>464</v>
      </c>
    </row>
    <row r="10" spans="1:22" ht="14.5" x14ac:dyDescent="0.35">
      <c r="A10" s="18" t="str">
        <f t="shared" si="0"/>
        <v>ApiManagement/service/apis/releases(apir-)</v>
      </c>
      <c r="B10" s="18" t="s">
        <v>304</v>
      </c>
      <c r="C10" s="18" t="s">
        <v>278</v>
      </c>
      <c r="D10" s="18" t="s">
        <v>279</v>
      </c>
      <c r="E10" s="18" t="s">
        <v>280</v>
      </c>
      <c r="F10" s="18" t="str">
        <f t="shared" si="1"/>
        <v>apir-</v>
      </c>
      <c r="G10" s="18" t="s">
        <v>293</v>
      </c>
      <c r="H10" s="18" t="s">
        <v>285</v>
      </c>
      <c r="I10" s="18" t="s">
        <v>306</v>
      </c>
      <c r="J10" s="18" t="s">
        <v>307</v>
      </c>
      <c r="K10" s="18" t="s">
        <v>280</v>
      </c>
      <c r="L10" s="18" t="s">
        <v>280</v>
      </c>
      <c r="M10" s="18" t="s">
        <v>280</v>
      </c>
      <c r="N10" s="18" t="s">
        <v>280</v>
      </c>
      <c r="O10" s="18" t="s">
        <v>280</v>
      </c>
      <c r="P10" s="18" t="s">
        <v>308</v>
      </c>
      <c r="Q10" s="21" t="s">
        <v>280</v>
      </c>
      <c r="R10" s="18" t="s">
        <v>1272</v>
      </c>
      <c r="S10" s="21" t="s">
        <v>1273</v>
      </c>
      <c r="T10" s="18" t="s">
        <v>305</v>
      </c>
      <c r="U10" s="18" t="s">
        <v>464</v>
      </c>
    </row>
    <row r="11" spans="1:22" ht="14.5" x14ac:dyDescent="0.35">
      <c r="A11" s="19" t="str">
        <f t="shared" si="0"/>
        <v>ApiManagement/service/apis/schemas(apis-)</v>
      </c>
      <c r="B11" s="19" t="s">
        <v>309</v>
      </c>
      <c r="C11" s="19" t="s">
        <v>278</v>
      </c>
      <c r="D11" s="19" t="s">
        <v>279</v>
      </c>
      <c r="E11" s="19" t="s">
        <v>280</v>
      </c>
      <c r="F11" s="19" t="str">
        <f t="shared" si="1"/>
        <v>apis-</v>
      </c>
      <c r="G11" s="19" t="s">
        <v>293</v>
      </c>
      <c r="H11" s="19" t="s">
        <v>285</v>
      </c>
      <c r="I11" s="19" t="s">
        <v>289</v>
      </c>
      <c r="J11" s="19" t="s">
        <v>280</v>
      </c>
      <c r="K11" s="19" t="s">
        <v>290</v>
      </c>
      <c r="L11" s="19" t="s">
        <v>291</v>
      </c>
      <c r="M11" s="19" t="s">
        <v>280</v>
      </c>
      <c r="N11" s="19" t="s">
        <v>280</v>
      </c>
      <c r="O11" s="19" t="s">
        <v>280</v>
      </c>
      <c r="P11" s="19" t="s">
        <v>258</v>
      </c>
      <c r="Q11" s="20" t="s">
        <v>280</v>
      </c>
      <c r="R11" s="19" t="s">
        <v>1272</v>
      </c>
      <c r="S11" s="20" t="s">
        <v>1273</v>
      </c>
      <c r="T11" s="19" t="s">
        <v>288</v>
      </c>
      <c r="U11" s="19" t="s">
        <v>464</v>
      </c>
    </row>
    <row r="12" spans="1:22" ht="14.5" x14ac:dyDescent="0.35">
      <c r="A12" s="18" t="str">
        <f t="shared" si="0"/>
        <v>ApiManagement/service/apis/tagDescriptions(apitd-)</v>
      </c>
      <c r="B12" s="18" t="s">
        <v>310</v>
      </c>
      <c r="C12" s="18" t="s">
        <v>278</v>
      </c>
      <c r="D12" s="18" t="s">
        <v>279</v>
      </c>
      <c r="E12" s="18" t="s">
        <v>280</v>
      </c>
      <c r="F12" s="18" t="str">
        <f t="shared" si="1"/>
        <v>apitd-</v>
      </c>
      <c r="G12" s="18" t="s">
        <v>293</v>
      </c>
      <c r="H12" s="18" t="s">
        <v>285</v>
      </c>
      <c r="I12" s="18" t="s">
        <v>289</v>
      </c>
      <c r="J12" s="18" t="s">
        <v>280</v>
      </c>
      <c r="K12" s="18" t="s">
        <v>290</v>
      </c>
      <c r="L12" s="18" t="s">
        <v>291</v>
      </c>
      <c r="M12" s="18" t="s">
        <v>280</v>
      </c>
      <c r="N12" s="18" t="s">
        <v>280</v>
      </c>
      <c r="O12" s="18" t="s">
        <v>280</v>
      </c>
      <c r="P12" s="18" t="s">
        <v>258</v>
      </c>
      <c r="Q12" s="21" t="s">
        <v>280</v>
      </c>
      <c r="R12" s="18" t="s">
        <v>1272</v>
      </c>
      <c r="S12" s="21" t="s">
        <v>1273</v>
      </c>
      <c r="T12" s="18" t="s">
        <v>311</v>
      </c>
      <c r="U12" s="18" t="s">
        <v>464</v>
      </c>
    </row>
    <row r="13" spans="1:22" ht="14.5" x14ac:dyDescent="0.35">
      <c r="A13" s="19" t="str">
        <f t="shared" si="0"/>
        <v>ApiManagement/service/apis/tags(apitg-)</v>
      </c>
      <c r="B13" s="19" t="s">
        <v>312</v>
      </c>
      <c r="C13" s="19" t="s">
        <v>278</v>
      </c>
      <c r="D13" s="19" t="s">
        <v>279</v>
      </c>
      <c r="E13" s="19" t="s">
        <v>280</v>
      </c>
      <c r="F13" s="19" t="str">
        <f t="shared" si="1"/>
        <v>apitg-</v>
      </c>
      <c r="G13" s="19" t="s">
        <v>293</v>
      </c>
      <c r="H13" s="19" t="s">
        <v>285</v>
      </c>
      <c r="I13" s="19" t="s">
        <v>289</v>
      </c>
      <c r="J13" s="19" t="s">
        <v>280</v>
      </c>
      <c r="K13" s="19" t="s">
        <v>290</v>
      </c>
      <c r="L13" s="19" t="s">
        <v>291</v>
      </c>
      <c r="M13" s="19" t="s">
        <v>280</v>
      </c>
      <c r="N13" s="19" t="s">
        <v>280</v>
      </c>
      <c r="O13" s="19" t="s">
        <v>280</v>
      </c>
      <c r="P13" s="19" t="s">
        <v>258</v>
      </c>
      <c r="Q13" s="20" t="s">
        <v>280</v>
      </c>
      <c r="R13" s="19" t="s">
        <v>1272</v>
      </c>
      <c r="S13" s="20" t="s">
        <v>1273</v>
      </c>
      <c r="T13" s="19" t="s">
        <v>313</v>
      </c>
      <c r="U13" s="19" t="s">
        <v>464</v>
      </c>
    </row>
    <row r="14" spans="1:22" ht="14.5" x14ac:dyDescent="0.35">
      <c r="A14" s="18" t="str">
        <f t="shared" si="0"/>
        <v>ApiManagement/service/api-version-sets(apivs-)</v>
      </c>
      <c r="B14" s="18" t="s">
        <v>254</v>
      </c>
      <c r="C14" s="18" t="s">
        <v>278</v>
      </c>
      <c r="D14" s="18" t="s">
        <v>279</v>
      </c>
      <c r="E14" s="18" t="s">
        <v>280</v>
      </c>
      <c r="F14" s="18" t="str">
        <f t="shared" si="1"/>
        <v>apivs-</v>
      </c>
      <c r="G14" s="18" t="s">
        <v>256</v>
      </c>
      <c r="H14" s="18" t="s">
        <v>285</v>
      </c>
      <c r="I14" s="18" t="s">
        <v>289</v>
      </c>
      <c r="J14" s="18" t="s">
        <v>280</v>
      </c>
      <c r="K14" s="18" t="s">
        <v>290</v>
      </c>
      <c r="L14" s="18" t="s">
        <v>291</v>
      </c>
      <c r="M14" s="18" t="s">
        <v>280</v>
      </c>
      <c r="N14" s="18" t="s">
        <v>280</v>
      </c>
      <c r="O14" s="18" t="s">
        <v>280</v>
      </c>
      <c r="P14" s="18" t="s">
        <v>258</v>
      </c>
      <c r="Q14" s="21" t="s">
        <v>280</v>
      </c>
      <c r="R14" s="18" t="s">
        <v>1272</v>
      </c>
      <c r="S14" s="21" t="s">
        <v>1273</v>
      </c>
      <c r="T14" s="18" t="s">
        <v>257</v>
      </c>
      <c r="U14" s="18" t="s">
        <v>464</v>
      </c>
    </row>
    <row r="15" spans="1:22" ht="14.5" x14ac:dyDescent="0.35">
      <c r="A15" s="19" t="str">
        <f t="shared" si="0"/>
        <v>ApiManagement/service/authorizationServers(apias-)</v>
      </c>
      <c r="B15" s="19" t="s">
        <v>314</v>
      </c>
      <c r="C15" s="19" t="s">
        <v>278</v>
      </c>
      <c r="D15" s="19" t="s">
        <v>279</v>
      </c>
      <c r="E15" s="19" t="s">
        <v>280</v>
      </c>
      <c r="F15" s="19" t="str">
        <f t="shared" si="1"/>
        <v>apias-</v>
      </c>
      <c r="G15" s="19" t="s">
        <v>256</v>
      </c>
      <c r="H15" s="19" t="s">
        <v>285</v>
      </c>
      <c r="I15" s="19" t="s">
        <v>289</v>
      </c>
      <c r="J15" s="19" t="s">
        <v>280</v>
      </c>
      <c r="K15" s="19" t="s">
        <v>290</v>
      </c>
      <c r="L15" s="19" t="s">
        <v>291</v>
      </c>
      <c r="M15" s="19" t="s">
        <v>280</v>
      </c>
      <c r="N15" s="19" t="s">
        <v>280</v>
      </c>
      <c r="O15" s="19" t="s">
        <v>280</v>
      </c>
      <c r="P15" s="19" t="s">
        <v>258</v>
      </c>
      <c r="Q15" s="20" t="s">
        <v>280</v>
      </c>
      <c r="R15" s="19" t="s">
        <v>1272</v>
      </c>
      <c r="S15" s="20" t="s">
        <v>1273</v>
      </c>
      <c r="T15" s="19" t="s">
        <v>315</v>
      </c>
      <c r="U15" s="19" t="s">
        <v>464</v>
      </c>
    </row>
    <row r="16" spans="1:22" ht="14.5" x14ac:dyDescent="0.35">
      <c r="A16" s="18" t="str">
        <f t="shared" si="0"/>
        <v>ApiManagement/service/backends(apib-)</v>
      </c>
      <c r="B16" s="18" t="s">
        <v>316</v>
      </c>
      <c r="C16" s="18" t="s">
        <v>278</v>
      </c>
      <c r="D16" s="18" t="s">
        <v>279</v>
      </c>
      <c r="E16" s="18" t="s">
        <v>280</v>
      </c>
      <c r="F16" s="18" t="str">
        <f t="shared" si="1"/>
        <v>apib-</v>
      </c>
      <c r="G16" s="18" t="s">
        <v>256</v>
      </c>
      <c r="H16" s="18" t="s">
        <v>285</v>
      </c>
      <c r="I16" s="18" t="s">
        <v>289</v>
      </c>
      <c r="J16" s="18" t="s">
        <v>280</v>
      </c>
      <c r="K16" s="18" t="s">
        <v>290</v>
      </c>
      <c r="L16" s="18" t="s">
        <v>291</v>
      </c>
      <c r="M16" s="18" t="s">
        <v>280</v>
      </c>
      <c r="N16" s="18" t="s">
        <v>280</v>
      </c>
      <c r="O16" s="18" t="s">
        <v>280</v>
      </c>
      <c r="P16" s="18" t="s">
        <v>258</v>
      </c>
      <c r="Q16" s="21" t="s">
        <v>280</v>
      </c>
      <c r="R16" s="18" t="s">
        <v>1272</v>
      </c>
      <c r="S16" s="21" t="s">
        <v>1273</v>
      </c>
      <c r="T16" s="18" t="s">
        <v>317</v>
      </c>
      <c r="U16" s="18" t="s">
        <v>464</v>
      </c>
    </row>
    <row r="17" spans="1:21" ht="14.5" x14ac:dyDescent="0.35">
      <c r="A17" s="19" t="str">
        <f t="shared" si="0"/>
        <v>ApiManagement/service/certificates(apic-)</v>
      </c>
      <c r="B17" s="19" t="s">
        <v>318</v>
      </c>
      <c r="C17" s="19" t="s">
        <v>278</v>
      </c>
      <c r="D17" s="19" t="s">
        <v>279</v>
      </c>
      <c r="E17" s="19" t="s">
        <v>280</v>
      </c>
      <c r="F17" s="19" t="str">
        <f t="shared" si="1"/>
        <v>apic-</v>
      </c>
      <c r="G17" s="19" t="s">
        <v>256</v>
      </c>
      <c r="H17" s="19" t="s">
        <v>285</v>
      </c>
      <c r="I17" s="19" t="s">
        <v>289</v>
      </c>
      <c r="J17" s="19" t="s">
        <v>280</v>
      </c>
      <c r="K17" s="19" t="s">
        <v>290</v>
      </c>
      <c r="L17" s="19" t="s">
        <v>291</v>
      </c>
      <c r="M17" s="19" t="s">
        <v>280</v>
      </c>
      <c r="N17" s="19" t="s">
        <v>280</v>
      </c>
      <c r="O17" s="19" t="s">
        <v>280</v>
      </c>
      <c r="P17" s="19" t="s">
        <v>258</v>
      </c>
      <c r="Q17" s="20" t="s">
        <v>280</v>
      </c>
      <c r="R17" s="19" t="s">
        <v>1272</v>
      </c>
      <c r="S17" s="20" t="s">
        <v>1273</v>
      </c>
      <c r="T17" s="19" t="s">
        <v>319</v>
      </c>
      <c r="U17" s="19" t="s">
        <v>464</v>
      </c>
    </row>
    <row r="18" spans="1:21" ht="14.5" x14ac:dyDescent="0.35">
      <c r="A18" s="18" t="str">
        <f t="shared" si="0"/>
        <v>ApiManagement/service/diagnostics(apid-)</v>
      </c>
      <c r="B18" s="18" t="s">
        <v>320</v>
      </c>
      <c r="C18" s="18" t="s">
        <v>278</v>
      </c>
      <c r="D18" s="18" t="s">
        <v>279</v>
      </c>
      <c r="E18" s="18" t="s">
        <v>280</v>
      </c>
      <c r="F18" s="18" t="str">
        <f t="shared" si="1"/>
        <v>apid-</v>
      </c>
      <c r="G18" s="18" t="s">
        <v>256</v>
      </c>
      <c r="H18" s="18" t="s">
        <v>285</v>
      </c>
      <c r="I18" s="18" t="s">
        <v>289</v>
      </c>
      <c r="J18" s="18" t="s">
        <v>280</v>
      </c>
      <c r="K18" s="18" t="s">
        <v>290</v>
      </c>
      <c r="L18" s="18" t="s">
        <v>291</v>
      </c>
      <c r="M18" s="18" t="s">
        <v>280</v>
      </c>
      <c r="N18" s="18" t="s">
        <v>280</v>
      </c>
      <c r="O18" s="18" t="s">
        <v>280</v>
      </c>
      <c r="P18" s="18" t="s">
        <v>258</v>
      </c>
      <c r="Q18" s="21" t="s">
        <v>280</v>
      </c>
      <c r="R18" s="18" t="s">
        <v>1272</v>
      </c>
      <c r="S18" s="21" t="s">
        <v>1273</v>
      </c>
      <c r="T18" s="18" t="s">
        <v>321</v>
      </c>
      <c r="U18" s="18" t="s">
        <v>464</v>
      </c>
    </row>
    <row r="19" spans="1:21" ht="14.5" x14ac:dyDescent="0.35">
      <c r="A19" s="19" t="str">
        <f t="shared" si="0"/>
        <v>ApiManagement/service/groups(apig-)</v>
      </c>
      <c r="B19" s="19" t="s">
        <v>322</v>
      </c>
      <c r="C19" s="19" t="s">
        <v>278</v>
      </c>
      <c r="D19" s="19" t="s">
        <v>279</v>
      </c>
      <c r="E19" s="19" t="s">
        <v>280</v>
      </c>
      <c r="F19" s="19" t="str">
        <f t="shared" si="1"/>
        <v>apig-</v>
      </c>
      <c r="G19" s="19" t="s">
        <v>256</v>
      </c>
      <c r="H19" s="19" t="s">
        <v>285</v>
      </c>
      <c r="I19" s="19" t="s">
        <v>289</v>
      </c>
      <c r="J19" s="19" t="s">
        <v>280</v>
      </c>
      <c r="K19" s="19" t="s">
        <v>290</v>
      </c>
      <c r="L19" s="19" t="s">
        <v>291</v>
      </c>
      <c r="M19" s="19" t="s">
        <v>280</v>
      </c>
      <c r="N19" s="19" t="s">
        <v>280</v>
      </c>
      <c r="O19" s="19" t="s">
        <v>280</v>
      </c>
      <c r="P19" s="19" t="s">
        <v>258</v>
      </c>
      <c r="Q19" s="20" t="s">
        <v>280</v>
      </c>
      <c r="R19" s="19" t="s">
        <v>1272</v>
      </c>
      <c r="S19" s="20" t="s">
        <v>1273</v>
      </c>
      <c r="T19" s="19" t="s">
        <v>323</v>
      </c>
      <c r="U19" s="19" t="s">
        <v>464</v>
      </c>
    </row>
    <row r="20" spans="1:21" ht="14.5" x14ac:dyDescent="0.35">
      <c r="A20" s="18" t="str">
        <f t="shared" si="0"/>
        <v>ApiManagement/service/groups/users(apigu-)</v>
      </c>
      <c r="B20" s="18" t="s">
        <v>324</v>
      </c>
      <c r="C20" s="18" t="s">
        <v>278</v>
      </c>
      <c r="D20" s="18" t="s">
        <v>279</v>
      </c>
      <c r="E20" s="18" t="s">
        <v>280</v>
      </c>
      <c r="F20" s="18" t="str">
        <f t="shared" si="1"/>
        <v>apigu-</v>
      </c>
      <c r="G20" s="18" t="s">
        <v>326</v>
      </c>
      <c r="H20" s="18" t="s">
        <v>285</v>
      </c>
      <c r="I20" s="18" t="s">
        <v>289</v>
      </c>
      <c r="J20" s="18" t="s">
        <v>280</v>
      </c>
      <c r="K20" s="18" t="s">
        <v>290</v>
      </c>
      <c r="L20" s="18" t="s">
        <v>291</v>
      </c>
      <c r="M20" s="18" t="s">
        <v>280</v>
      </c>
      <c r="N20" s="18" t="s">
        <v>280</v>
      </c>
      <c r="O20" s="18" t="s">
        <v>280</v>
      </c>
      <c r="P20" s="18" t="s">
        <v>258</v>
      </c>
      <c r="Q20" s="21" t="s">
        <v>280</v>
      </c>
      <c r="R20" s="18" t="s">
        <v>1272</v>
      </c>
      <c r="S20" s="21" t="s">
        <v>1273</v>
      </c>
      <c r="T20" s="18" t="s">
        <v>325</v>
      </c>
      <c r="U20" s="18" t="s">
        <v>464</v>
      </c>
    </row>
    <row r="21" spans="1:21" ht="14.5" x14ac:dyDescent="0.35">
      <c r="A21" s="19" t="str">
        <f t="shared" si="0"/>
        <v>ApiManagement/service/identityProviders(apiip-)</v>
      </c>
      <c r="B21" s="19" t="s">
        <v>327</v>
      </c>
      <c r="C21" s="19" t="s">
        <v>278</v>
      </c>
      <c r="D21" s="19" t="s">
        <v>279</v>
      </c>
      <c r="E21" s="19" t="s">
        <v>280</v>
      </c>
      <c r="F21" s="19" t="str">
        <f t="shared" si="1"/>
        <v>apiip-</v>
      </c>
      <c r="G21" s="19" t="s">
        <v>256</v>
      </c>
      <c r="H21" s="19" t="s">
        <v>285</v>
      </c>
      <c r="I21" s="19" t="s">
        <v>289</v>
      </c>
      <c r="J21" s="19" t="s">
        <v>280</v>
      </c>
      <c r="K21" s="19" t="s">
        <v>290</v>
      </c>
      <c r="L21" s="19" t="s">
        <v>291</v>
      </c>
      <c r="M21" s="19" t="s">
        <v>280</v>
      </c>
      <c r="N21" s="19" t="s">
        <v>280</v>
      </c>
      <c r="O21" s="19" t="s">
        <v>280</v>
      </c>
      <c r="P21" s="19" t="s">
        <v>258</v>
      </c>
      <c r="Q21" s="20" t="s">
        <v>280</v>
      </c>
      <c r="R21" s="19" t="s">
        <v>1272</v>
      </c>
      <c r="S21" s="20" t="s">
        <v>1273</v>
      </c>
      <c r="T21" s="19" t="s">
        <v>328</v>
      </c>
      <c r="U21" s="19" t="s">
        <v>464</v>
      </c>
    </row>
    <row r="22" spans="1:21" ht="14.5" x14ac:dyDescent="0.35">
      <c r="A22" s="18" t="str">
        <f t="shared" si="0"/>
        <v>ApiManagement/service/loggers(apil-)</v>
      </c>
      <c r="B22" s="18" t="s">
        <v>329</v>
      </c>
      <c r="C22" s="18" t="s">
        <v>278</v>
      </c>
      <c r="D22" s="18" t="s">
        <v>279</v>
      </c>
      <c r="E22" s="18" t="s">
        <v>280</v>
      </c>
      <c r="F22" s="18" t="str">
        <f t="shared" si="1"/>
        <v>apil-</v>
      </c>
      <c r="G22" s="18" t="s">
        <v>256</v>
      </c>
      <c r="H22" s="18" t="s">
        <v>285</v>
      </c>
      <c r="I22" s="18" t="s">
        <v>289</v>
      </c>
      <c r="J22" s="18" t="s">
        <v>280</v>
      </c>
      <c r="K22" s="18" t="s">
        <v>290</v>
      </c>
      <c r="L22" s="18" t="s">
        <v>291</v>
      </c>
      <c r="M22" s="18" t="s">
        <v>280</v>
      </c>
      <c r="N22" s="18" t="s">
        <v>280</v>
      </c>
      <c r="O22" s="18" t="s">
        <v>280</v>
      </c>
      <c r="P22" s="18" t="s">
        <v>258</v>
      </c>
      <c r="Q22" s="21" t="s">
        <v>280</v>
      </c>
      <c r="R22" s="18" t="s">
        <v>1272</v>
      </c>
      <c r="S22" s="21" t="s">
        <v>1273</v>
      </c>
      <c r="T22" s="18" t="s">
        <v>330</v>
      </c>
      <c r="U22" s="18" t="s">
        <v>464</v>
      </c>
    </row>
    <row r="23" spans="1:21" ht="14.5" x14ac:dyDescent="0.35">
      <c r="A23" s="19" t="str">
        <f t="shared" si="0"/>
        <v>ApiManagement/service/notifications(apin-)</v>
      </c>
      <c r="B23" s="19" t="s">
        <v>331</v>
      </c>
      <c r="C23" s="19" t="s">
        <v>278</v>
      </c>
      <c r="D23" s="19" t="s">
        <v>279</v>
      </c>
      <c r="E23" s="19" t="s">
        <v>280</v>
      </c>
      <c r="F23" s="19" t="str">
        <f t="shared" si="1"/>
        <v>apin-</v>
      </c>
      <c r="G23" s="19" t="s">
        <v>256</v>
      </c>
      <c r="H23" s="19" t="s">
        <v>285</v>
      </c>
      <c r="I23" s="19" t="s">
        <v>289</v>
      </c>
      <c r="J23" s="19" t="s">
        <v>280</v>
      </c>
      <c r="K23" s="19" t="s">
        <v>290</v>
      </c>
      <c r="L23" s="19" t="s">
        <v>291</v>
      </c>
      <c r="M23" s="19" t="s">
        <v>280</v>
      </c>
      <c r="N23" s="19" t="s">
        <v>280</v>
      </c>
      <c r="O23" s="19" t="s">
        <v>280</v>
      </c>
      <c r="P23" s="19" t="s">
        <v>258</v>
      </c>
      <c r="Q23" s="20" t="s">
        <v>280</v>
      </c>
      <c r="R23" s="19" t="s">
        <v>1272</v>
      </c>
      <c r="S23" s="20" t="s">
        <v>1273</v>
      </c>
      <c r="T23" s="19" t="s">
        <v>332</v>
      </c>
      <c r="U23" s="19" t="s">
        <v>464</v>
      </c>
    </row>
    <row r="24" spans="1:21" ht="14.5" x14ac:dyDescent="0.35">
      <c r="A24" s="18" t="str">
        <f t="shared" si="0"/>
        <v>ApiManagement/service/notifications/recipientEmails(recem-)</v>
      </c>
      <c r="B24" s="18" t="s">
        <v>333</v>
      </c>
      <c r="C24" s="18" t="s">
        <v>278</v>
      </c>
      <c r="D24" s="18" t="s">
        <v>279</v>
      </c>
      <c r="E24" s="18" t="s">
        <v>280</v>
      </c>
      <c r="F24" s="18" t="str">
        <f t="shared" si="1"/>
        <v>recem-</v>
      </c>
      <c r="G24" s="18" t="s">
        <v>335</v>
      </c>
      <c r="H24" s="18" t="s">
        <v>285</v>
      </c>
      <c r="I24" s="18" t="s">
        <v>289</v>
      </c>
      <c r="J24" s="18" t="s">
        <v>280</v>
      </c>
      <c r="K24" s="18" t="s">
        <v>290</v>
      </c>
      <c r="L24" s="18" t="s">
        <v>291</v>
      </c>
      <c r="M24" s="18" t="s">
        <v>280</v>
      </c>
      <c r="N24" s="18" t="s">
        <v>280</v>
      </c>
      <c r="O24" s="18" t="s">
        <v>280</v>
      </c>
      <c r="P24" s="18" t="s">
        <v>258</v>
      </c>
      <c r="Q24" s="21" t="s">
        <v>280</v>
      </c>
      <c r="R24" s="18" t="s">
        <v>1272</v>
      </c>
      <c r="S24" s="21" t="s">
        <v>1273</v>
      </c>
      <c r="T24" s="18" t="s">
        <v>334</v>
      </c>
      <c r="U24" s="18" t="s">
        <v>464</v>
      </c>
    </row>
    <row r="25" spans="1:21" ht="14.5" x14ac:dyDescent="0.35">
      <c r="A25" s="19" t="str">
        <f t="shared" si="0"/>
        <v>ApiManagement/service/openidConnectProviders(apioi-)</v>
      </c>
      <c r="B25" s="19" t="s">
        <v>336</v>
      </c>
      <c r="C25" s="19" t="s">
        <v>278</v>
      </c>
      <c r="D25" s="19" t="s">
        <v>279</v>
      </c>
      <c r="E25" s="19" t="s">
        <v>280</v>
      </c>
      <c r="F25" s="19" t="str">
        <f t="shared" si="1"/>
        <v>apioi-</v>
      </c>
      <c r="G25" s="19" t="s">
        <v>256</v>
      </c>
      <c r="H25" s="19" t="s">
        <v>285</v>
      </c>
      <c r="I25" s="19" t="s">
        <v>289</v>
      </c>
      <c r="J25" s="19" t="s">
        <v>280</v>
      </c>
      <c r="K25" s="19" t="s">
        <v>290</v>
      </c>
      <c r="L25" s="19" t="s">
        <v>291</v>
      </c>
      <c r="M25" s="19" t="s">
        <v>280</v>
      </c>
      <c r="N25" s="19" t="s">
        <v>280</v>
      </c>
      <c r="O25" s="19" t="s">
        <v>280</v>
      </c>
      <c r="P25" s="19" t="s">
        <v>258</v>
      </c>
      <c r="Q25" s="20" t="s">
        <v>280</v>
      </c>
      <c r="R25" s="19" t="s">
        <v>1272</v>
      </c>
      <c r="S25" s="20" t="s">
        <v>1273</v>
      </c>
      <c r="T25" s="19" t="s">
        <v>337</v>
      </c>
      <c r="U25" s="19" t="s">
        <v>464</v>
      </c>
    </row>
    <row r="26" spans="1:21" ht="14.5" x14ac:dyDescent="0.35">
      <c r="A26" s="18" t="str">
        <f t="shared" si="0"/>
        <v>ApiManagement/service/policies(apipo-)</v>
      </c>
      <c r="B26" s="18" t="s">
        <v>338</v>
      </c>
      <c r="C26" s="18" t="s">
        <v>278</v>
      </c>
      <c r="D26" s="18" t="s">
        <v>279</v>
      </c>
      <c r="E26" s="18" t="s">
        <v>280</v>
      </c>
      <c r="F26" s="18" t="str">
        <f t="shared" si="1"/>
        <v>apipo-</v>
      </c>
      <c r="G26" s="18" t="s">
        <v>256</v>
      </c>
      <c r="H26" s="18" t="s">
        <v>285</v>
      </c>
      <c r="I26" s="18" t="s">
        <v>289</v>
      </c>
      <c r="J26" s="18" t="s">
        <v>280</v>
      </c>
      <c r="K26" s="18" t="s">
        <v>290</v>
      </c>
      <c r="L26" s="18" t="s">
        <v>291</v>
      </c>
      <c r="M26" s="18" t="s">
        <v>280</v>
      </c>
      <c r="N26" s="18" t="s">
        <v>280</v>
      </c>
      <c r="O26" s="18" t="s">
        <v>280</v>
      </c>
      <c r="P26" s="18" t="s">
        <v>258</v>
      </c>
      <c r="Q26" s="21" t="s">
        <v>280</v>
      </c>
      <c r="R26" s="18" t="s">
        <v>1272</v>
      </c>
      <c r="S26" s="21" t="s">
        <v>1273</v>
      </c>
      <c r="T26" s="18" t="s">
        <v>339</v>
      </c>
      <c r="U26" s="18" t="s">
        <v>464</v>
      </c>
    </row>
    <row r="27" spans="1:21" ht="14.5" x14ac:dyDescent="0.35">
      <c r="A27" s="19" t="str">
        <f t="shared" si="0"/>
        <v>ApiManagement/service/products(apipr-)</v>
      </c>
      <c r="B27" s="19" t="s">
        <v>340</v>
      </c>
      <c r="C27" s="19" t="s">
        <v>278</v>
      </c>
      <c r="D27" s="19" t="s">
        <v>279</v>
      </c>
      <c r="E27" s="19" t="s">
        <v>280</v>
      </c>
      <c r="F27" s="19" t="str">
        <f t="shared" si="1"/>
        <v>apipr-</v>
      </c>
      <c r="G27" s="19" t="s">
        <v>256</v>
      </c>
      <c r="H27" s="19" t="s">
        <v>285</v>
      </c>
      <c r="I27" s="19" t="s">
        <v>289</v>
      </c>
      <c r="J27" s="19" t="s">
        <v>280</v>
      </c>
      <c r="K27" s="19" t="s">
        <v>290</v>
      </c>
      <c r="L27" s="19" t="s">
        <v>291</v>
      </c>
      <c r="M27" s="19" t="s">
        <v>280</v>
      </c>
      <c r="N27" s="19" t="s">
        <v>280</v>
      </c>
      <c r="O27" s="19" t="s">
        <v>280</v>
      </c>
      <c r="P27" s="19" t="s">
        <v>258</v>
      </c>
      <c r="Q27" s="20" t="s">
        <v>280</v>
      </c>
      <c r="R27" s="19" t="s">
        <v>1272</v>
      </c>
      <c r="S27" s="20" t="s">
        <v>1273</v>
      </c>
      <c r="T27" s="19" t="s">
        <v>341</v>
      </c>
      <c r="U27" s="19" t="s">
        <v>464</v>
      </c>
    </row>
    <row r="28" spans="1:21" ht="14.5" x14ac:dyDescent="0.35">
      <c r="A28" s="18" t="str">
        <f t="shared" si="0"/>
        <v>ApiManagement/service/products/apis(api-)</v>
      </c>
      <c r="B28" s="18" t="s">
        <v>342</v>
      </c>
      <c r="C28" s="18" t="s">
        <v>278</v>
      </c>
      <c r="D28" s="18" t="s">
        <v>279</v>
      </c>
      <c r="E28" s="18" t="s">
        <v>280</v>
      </c>
      <c r="F28" s="18" t="str">
        <f t="shared" si="1"/>
        <v>api-</v>
      </c>
      <c r="G28" s="18" t="s">
        <v>343</v>
      </c>
      <c r="H28" s="18" t="s">
        <v>285</v>
      </c>
      <c r="I28" s="18" t="s">
        <v>289</v>
      </c>
      <c r="J28" s="18" t="s">
        <v>280</v>
      </c>
      <c r="K28" s="18" t="s">
        <v>290</v>
      </c>
      <c r="L28" s="18" t="s">
        <v>291</v>
      </c>
      <c r="M28" s="18" t="s">
        <v>280</v>
      </c>
      <c r="N28" s="18" t="s">
        <v>280</v>
      </c>
      <c r="O28" s="18" t="s">
        <v>280</v>
      </c>
      <c r="P28" s="18" t="s">
        <v>258</v>
      </c>
      <c r="Q28" s="21" t="s">
        <v>280</v>
      </c>
      <c r="R28" s="18" t="s">
        <v>1272</v>
      </c>
      <c r="S28" s="21" t="s">
        <v>1273</v>
      </c>
      <c r="T28" s="18" t="s">
        <v>293</v>
      </c>
      <c r="U28" s="18" t="s">
        <v>464</v>
      </c>
    </row>
    <row r="29" spans="1:21" ht="14.5" x14ac:dyDescent="0.35">
      <c r="A29" s="19" t="str">
        <f t="shared" si="0"/>
        <v>ApiManagement/service/products/groups(grp-)</v>
      </c>
      <c r="B29" s="19" t="s">
        <v>344</v>
      </c>
      <c r="C29" s="19" t="s">
        <v>278</v>
      </c>
      <c r="D29" s="19" t="s">
        <v>279</v>
      </c>
      <c r="E29" s="19" t="s">
        <v>280</v>
      </c>
      <c r="F29" s="19" t="str">
        <f t="shared" si="1"/>
        <v>grp-</v>
      </c>
      <c r="G29" s="19" t="s">
        <v>343</v>
      </c>
      <c r="H29" s="19" t="s">
        <v>285</v>
      </c>
      <c r="I29" s="19" t="s">
        <v>289</v>
      </c>
      <c r="J29" s="19" t="s">
        <v>280</v>
      </c>
      <c r="K29" s="19" t="s">
        <v>290</v>
      </c>
      <c r="L29" s="19" t="s">
        <v>291</v>
      </c>
      <c r="M29" s="19" t="s">
        <v>280</v>
      </c>
      <c r="N29" s="19" t="s">
        <v>280</v>
      </c>
      <c r="O29" s="19" t="s">
        <v>280</v>
      </c>
      <c r="P29" s="19" t="s">
        <v>258</v>
      </c>
      <c r="Q29" s="20" t="s">
        <v>280</v>
      </c>
      <c r="R29" s="19" t="s">
        <v>1272</v>
      </c>
      <c r="S29" s="20" t="s">
        <v>1273</v>
      </c>
      <c r="T29" s="19" t="s">
        <v>345</v>
      </c>
      <c r="U29" s="19" t="s">
        <v>464</v>
      </c>
    </row>
    <row r="30" spans="1:21" ht="14.5" x14ac:dyDescent="0.35">
      <c r="A30" s="18" t="str">
        <f t="shared" si="0"/>
        <v>ApiManagement/service/products/tags(tag-)</v>
      </c>
      <c r="B30" s="18" t="s">
        <v>346</v>
      </c>
      <c r="C30" s="18" t="s">
        <v>278</v>
      </c>
      <c r="D30" s="18" t="s">
        <v>279</v>
      </c>
      <c r="E30" s="18" t="s">
        <v>280</v>
      </c>
      <c r="F30" s="18" t="str">
        <f t="shared" si="1"/>
        <v>tag-</v>
      </c>
      <c r="G30" s="18" t="s">
        <v>343</v>
      </c>
      <c r="H30" s="18" t="s">
        <v>285</v>
      </c>
      <c r="I30" s="18" t="s">
        <v>289</v>
      </c>
      <c r="J30" s="18" t="s">
        <v>280</v>
      </c>
      <c r="K30" s="18" t="s">
        <v>290</v>
      </c>
      <c r="L30" s="18" t="s">
        <v>291</v>
      </c>
      <c r="M30" s="18" t="s">
        <v>280</v>
      </c>
      <c r="N30" s="18" t="s">
        <v>280</v>
      </c>
      <c r="O30" s="18" t="s">
        <v>280</v>
      </c>
      <c r="P30" s="18" t="s">
        <v>258</v>
      </c>
      <c r="Q30" s="21" t="s">
        <v>280</v>
      </c>
      <c r="R30" s="18" t="s">
        <v>1272</v>
      </c>
      <c r="S30" s="21" t="s">
        <v>1273</v>
      </c>
      <c r="T30" s="18" t="s">
        <v>347</v>
      </c>
      <c r="U30" s="18" t="s">
        <v>464</v>
      </c>
    </row>
    <row r="31" spans="1:21" ht="14.5" x14ac:dyDescent="0.35">
      <c r="A31" s="19" t="str">
        <f t="shared" si="0"/>
        <v>ApiManagement/service/properties(prop-)</v>
      </c>
      <c r="B31" s="19" t="s">
        <v>348</v>
      </c>
      <c r="C31" s="19" t="s">
        <v>278</v>
      </c>
      <c r="D31" s="19" t="s">
        <v>279</v>
      </c>
      <c r="E31" s="19" t="s">
        <v>280</v>
      </c>
      <c r="F31" s="19" t="str">
        <f t="shared" si="1"/>
        <v>prop-</v>
      </c>
      <c r="G31" s="19" t="s">
        <v>256</v>
      </c>
      <c r="H31" s="19" t="s">
        <v>285</v>
      </c>
      <c r="I31" s="19" t="s">
        <v>289</v>
      </c>
      <c r="J31" s="19" t="s">
        <v>280</v>
      </c>
      <c r="K31" s="19" t="s">
        <v>290</v>
      </c>
      <c r="L31" s="19" t="s">
        <v>291</v>
      </c>
      <c r="M31" s="19" t="s">
        <v>280</v>
      </c>
      <c r="N31" s="19" t="s">
        <v>280</v>
      </c>
      <c r="O31" s="19" t="s">
        <v>280</v>
      </c>
      <c r="P31" s="19" t="s">
        <v>258</v>
      </c>
      <c r="Q31" s="20" t="s">
        <v>280</v>
      </c>
      <c r="R31" s="19" t="s">
        <v>1272</v>
      </c>
      <c r="S31" s="20" t="s">
        <v>1273</v>
      </c>
      <c r="T31" s="19" t="s">
        <v>349</v>
      </c>
      <c r="U31" s="19" t="s">
        <v>464</v>
      </c>
    </row>
    <row r="32" spans="1:21" ht="14.5" x14ac:dyDescent="0.35">
      <c r="A32" s="18" t="str">
        <f t="shared" si="0"/>
        <v>ApiManagement/service/subscriptions(subsr-)</v>
      </c>
      <c r="B32" s="18" t="s">
        <v>350</v>
      </c>
      <c r="C32" s="18" t="s">
        <v>278</v>
      </c>
      <c r="D32" s="18" t="s">
        <v>279</v>
      </c>
      <c r="E32" s="18" t="s">
        <v>280</v>
      </c>
      <c r="F32" s="18" t="str">
        <f t="shared" si="1"/>
        <v>subsr-</v>
      </c>
      <c r="G32" s="18" t="s">
        <v>256</v>
      </c>
      <c r="H32" s="18" t="s">
        <v>285</v>
      </c>
      <c r="I32" s="18" t="s">
        <v>289</v>
      </c>
      <c r="J32" s="18" t="s">
        <v>280</v>
      </c>
      <c r="K32" s="18" t="s">
        <v>290</v>
      </c>
      <c r="L32" s="18" t="s">
        <v>291</v>
      </c>
      <c r="M32" s="18" t="s">
        <v>280</v>
      </c>
      <c r="N32" s="18" t="s">
        <v>280</v>
      </c>
      <c r="O32" s="18" t="s">
        <v>280</v>
      </c>
      <c r="P32" s="18" t="s">
        <v>258</v>
      </c>
      <c r="Q32" s="21" t="s">
        <v>280</v>
      </c>
      <c r="R32" s="18" t="s">
        <v>1272</v>
      </c>
      <c r="S32" s="21" t="s">
        <v>1273</v>
      </c>
      <c r="T32" s="18" t="s">
        <v>351</v>
      </c>
      <c r="U32" s="18" t="s">
        <v>464</v>
      </c>
    </row>
    <row r="33" spans="1:21" ht="14.5" x14ac:dyDescent="0.35">
      <c r="A33" s="19" t="str">
        <f t="shared" si="0"/>
        <v>ApiManagement/service/tags(tag-)</v>
      </c>
      <c r="B33" s="19" t="s">
        <v>352</v>
      </c>
      <c r="C33" s="19" t="s">
        <v>278</v>
      </c>
      <c r="D33" s="19" t="s">
        <v>279</v>
      </c>
      <c r="E33" s="19" t="s">
        <v>280</v>
      </c>
      <c r="F33" s="19" t="str">
        <f t="shared" si="1"/>
        <v>tag-</v>
      </c>
      <c r="G33" s="19" t="s">
        <v>256</v>
      </c>
      <c r="H33" s="19" t="s">
        <v>285</v>
      </c>
      <c r="I33" s="19" t="s">
        <v>289</v>
      </c>
      <c r="J33" s="19" t="s">
        <v>280</v>
      </c>
      <c r="K33" s="19" t="s">
        <v>290</v>
      </c>
      <c r="L33" s="19" t="s">
        <v>291</v>
      </c>
      <c r="M33" s="19" t="s">
        <v>280</v>
      </c>
      <c r="N33" s="19" t="s">
        <v>280</v>
      </c>
      <c r="O33" s="19" t="s">
        <v>280</v>
      </c>
      <c r="P33" s="19" t="s">
        <v>258</v>
      </c>
      <c r="Q33" s="20" t="s">
        <v>280</v>
      </c>
      <c r="R33" s="19" t="s">
        <v>1272</v>
      </c>
      <c r="S33" s="20" t="s">
        <v>1273</v>
      </c>
      <c r="T33" s="19" t="s">
        <v>347</v>
      </c>
      <c r="U33" s="19" t="s">
        <v>464</v>
      </c>
    </row>
    <row r="34" spans="1:21" ht="14.5" x14ac:dyDescent="0.35">
      <c r="A34" s="18" t="str">
        <f t="shared" si="0"/>
        <v>ApiManagement/service/templates(temp-)</v>
      </c>
      <c r="B34" s="18" t="s">
        <v>353</v>
      </c>
      <c r="C34" s="18" t="s">
        <v>278</v>
      </c>
      <c r="D34" s="18" t="s">
        <v>279</v>
      </c>
      <c r="E34" s="18" t="s">
        <v>280</v>
      </c>
      <c r="F34" s="18" t="str">
        <f t="shared" si="1"/>
        <v>temp-</v>
      </c>
      <c r="G34" s="18" t="s">
        <v>256</v>
      </c>
      <c r="H34" s="18" t="s">
        <v>285</v>
      </c>
      <c r="I34" s="18" t="s">
        <v>289</v>
      </c>
      <c r="J34" s="18" t="s">
        <v>280</v>
      </c>
      <c r="K34" s="18" t="s">
        <v>290</v>
      </c>
      <c r="L34" s="18" t="s">
        <v>291</v>
      </c>
      <c r="M34" s="18" t="s">
        <v>280</v>
      </c>
      <c r="N34" s="18" t="s">
        <v>280</v>
      </c>
      <c r="O34" s="18" t="s">
        <v>280</v>
      </c>
      <c r="P34" s="18" t="s">
        <v>258</v>
      </c>
      <c r="Q34" s="21" t="s">
        <v>280</v>
      </c>
      <c r="R34" s="18" t="s">
        <v>1272</v>
      </c>
      <c r="S34" s="21" t="s">
        <v>1273</v>
      </c>
      <c r="T34" s="18" t="s">
        <v>354</v>
      </c>
      <c r="U34" s="18" t="s">
        <v>464</v>
      </c>
    </row>
    <row r="35" spans="1:21" ht="14.5" x14ac:dyDescent="0.35">
      <c r="A35" s="19" t="str">
        <f t="shared" si="0"/>
        <v>ApiManagement/service/users(user-)</v>
      </c>
      <c r="B35" s="19" t="s">
        <v>355</v>
      </c>
      <c r="C35" s="19" t="s">
        <v>278</v>
      </c>
      <c r="D35" s="19" t="s">
        <v>279</v>
      </c>
      <c r="E35" s="19" t="s">
        <v>280</v>
      </c>
      <c r="F35" s="19" t="str">
        <f t="shared" si="1"/>
        <v>user-</v>
      </c>
      <c r="G35" s="19" t="s">
        <v>256</v>
      </c>
      <c r="H35" s="19" t="s">
        <v>285</v>
      </c>
      <c r="I35" s="19" t="s">
        <v>289</v>
      </c>
      <c r="J35" s="19" t="s">
        <v>280</v>
      </c>
      <c r="K35" s="19" t="s">
        <v>290</v>
      </c>
      <c r="L35" s="19" t="s">
        <v>291</v>
      </c>
      <c r="M35" s="19" t="s">
        <v>280</v>
      </c>
      <c r="N35" s="19" t="s">
        <v>280</v>
      </c>
      <c r="O35" s="19" t="s">
        <v>280</v>
      </c>
      <c r="P35" s="19" t="s">
        <v>258</v>
      </c>
      <c r="Q35" s="20" t="s">
        <v>280</v>
      </c>
      <c r="R35" s="19" t="s">
        <v>1272</v>
      </c>
      <c r="S35" s="20" t="s">
        <v>1273</v>
      </c>
      <c r="T35" s="19" t="s">
        <v>356</v>
      </c>
      <c r="U35" s="19" t="s">
        <v>464</v>
      </c>
    </row>
    <row r="36" spans="1:21" ht="14.5" x14ac:dyDescent="0.35">
      <c r="A36" s="18" t="str">
        <f t="shared" si="0"/>
        <v>AppConfiguration/configurationStores(appcs-)</v>
      </c>
      <c r="B36" s="18" t="s">
        <v>357</v>
      </c>
      <c r="C36" s="18" t="s">
        <v>278</v>
      </c>
      <c r="D36" s="18" t="s">
        <v>279</v>
      </c>
      <c r="E36" s="18" t="s">
        <v>280</v>
      </c>
      <c r="F36" s="18" t="str">
        <f t="shared" si="1"/>
        <v>appcs-</v>
      </c>
      <c r="G36" s="18" t="s">
        <v>78</v>
      </c>
      <c r="H36" s="18" t="s">
        <v>359</v>
      </c>
      <c r="I36" s="18" t="s">
        <v>286</v>
      </c>
      <c r="J36" s="18" t="s">
        <v>360</v>
      </c>
      <c r="K36" s="18" t="s">
        <v>280</v>
      </c>
      <c r="L36" s="18" t="s">
        <v>280</v>
      </c>
      <c r="M36" s="18" t="s">
        <v>280</v>
      </c>
      <c r="N36" s="18" t="s">
        <v>280</v>
      </c>
      <c r="O36" s="18" t="s">
        <v>280</v>
      </c>
      <c r="P36" s="18" t="s">
        <v>361</v>
      </c>
      <c r="Q36" s="21" t="s">
        <v>280</v>
      </c>
      <c r="R36" s="18" t="s">
        <v>1272</v>
      </c>
      <c r="S36" s="21" t="s">
        <v>1273</v>
      </c>
      <c r="T36" s="18" t="s">
        <v>358</v>
      </c>
      <c r="U36" s="18" t="s">
        <v>464</v>
      </c>
    </row>
    <row r="37" spans="1:21" ht="14.5" x14ac:dyDescent="0.35">
      <c r="A37" s="19" t="str">
        <f t="shared" si="0"/>
        <v>Authorization/locks(lock-)</v>
      </c>
      <c r="B37" s="19" t="s">
        <v>362</v>
      </c>
      <c r="C37" s="19" t="s">
        <v>278</v>
      </c>
      <c r="D37" s="19" t="s">
        <v>279</v>
      </c>
      <c r="E37" s="19" t="s">
        <v>280</v>
      </c>
      <c r="F37" s="19" t="str">
        <f t="shared" si="1"/>
        <v>lock-</v>
      </c>
      <c r="G37" s="19" t="s">
        <v>364</v>
      </c>
      <c r="H37" s="19" t="s">
        <v>285</v>
      </c>
      <c r="I37" s="19" t="s">
        <v>365</v>
      </c>
      <c r="J37" s="19" t="s">
        <v>366</v>
      </c>
      <c r="K37" s="19" t="s">
        <v>367</v>
      </c>
      <c r="L37" s="19" t="s">
        <v>280</v>
      </c>
      <c r="M37" s="19" t="s">
        <v>280</v>
      </c>
      <c r="N37" s="19" t="s">
        <v>368</v>
      </c>
      <c r="O37" s="19" t="s">
        <v>280</v>
      </c>
      <c r="P37" s="19" t="s">
        <v>369</v>
      </c>
      <c r="Q37" s="20" t="s">
        <v>280</v>
      </c>
      <c r="R37" s="19" t="s">
        <v>1272</v>
      </c>
      <c r="S37" s="20" t="s">
        <v>1273</v>
      </c>
      <c r="T37" s="19" t="s">
        <v>363</v>
      </c>
      <c r="U37" s="19" t="s">
        <v>464</v>
      </c>
    </row>
    <row r="38" spans="1:21" ht="14.5" x14ac:dyDescent="0.35">
      <c r="A38" s="18" t="str">
        <f t="shared" si="0"/>
        <v>Authorization/policyAssignmentsManagement Group Resource Name(pas-)</v>
      </c>
      <c r="B38" s="18" t="s">
        <v>370</v>
      </c>
      <c r="C38" s="18" t="s">
        <v>278</v>
      </c>
      <c r="D38" s="18" t="s">
        <v>279</v>
      </c>
      <c r="E38" s="18" t="s">
        <v>371</v>
      </c>
      <c r="F38" s="18" t="str">
        <f t="shared" si="1"/>
        <v>pas-</v>
      </c>
      <c r="G38" s="18" t="s">
        <v>364</v>
      </c>
      <c r="H38" s="18" t="s">
        <v>285</v>
      </c>
      <c r="I38" s="18" t="s">
        <v>373</v>
      </c>
      <c r="J38" s="18" t="s">
        <v>280</v>
      </c>
      <c r="K38" s="18" t="s">
        <v>374</v>
      </c>
      <c r="L38" s="18" t="s">
        <v>375</v>
      </c>
      <c r="M38" s="18" t="s">
        <v>280</v>
      </c>
      <c r="N38" s="18" t="s">
        <v>376</v>
      </c>
      <c r="O38" s="18" t="s">
        <v>280</v>
      </c>
      <c r="P38" s="18" t="s">
        <v>377</v>
      </c>
      <c r="Q38" s="21" t="s">
        <v>280</v>
      </c>
      <c r="R38" s="18" t="s">
        <v>1272</v>
      </c>
      <c r="S38" s="21" t="s">
        <v>1273</v>
      </c>
      <c r="T38" s="18" t="s">
        <v>372</v>
      </c>
      <c r="U38" s="18" t="s">
        <v>464</v>
      </c>
    </row>
    <row r="39" spans="1:21" ht="14.5" x14ac:dyDescent="0.35">
      <c r="A39" s="19" t="str">
        <f t="shared" si="0"/>
        <v>Authorization/policyAssignmentsResoure Name(pas-)</v>
      </c>
      <c r="B39" s="19" t="s">
        <v>370</v>
      </c>
      <c r="C39" s="19" t="s">
        <v>278</v>
      </c>
      <c r="D39" s="19" t="s">
        <v>279</v>
      </c>
      <c r="E39" s="19" t="s">
        <v>378</v>
      </c>
      <c r="F39" s="19" t="str">
        <f t="shared" si="1"/>
        <v>pas-</v>
      </c>
      <c r="G39" s="19" t="s">
        <v>364</v>
      </c>
      <c r="H39" s="19" t="s">
        <v>285</v>
      </c>
      <c r="I39" s="19" t="s">
        <v>379</v>
      </c>
      <c r="J39" s="19" t="s">
        <v>280</v>
      </c>
      <c r="K39" s="19" t="s">
        <v>374</v>
      </c>
      <c r="L39" s="19" t="s">
        <v>375</v>
      </c>
      <c r="M39" s="19" t="s">
        <v>280</v>
      </c>
      <c r="N39" s="19" t="s">
        <v>376</v>
      </c>
      <c r="O39" s="19" t="s">
        <v>280</v>
      </c>
      <c r="P39" s="19" t="s">
        <v>380</v>
      </c>
      <c r="Q39" s="20" t="s">
        <v>280</v>
      </c>
      <c r="R39" s="19" t="s">
        <v>1272</v>
      </c>
      <c r="S39" s="20" t="s">
        <v>1273</v>
      </c>
      <c r="T39" s="19" t="s">
        <v>372</v>
      </c>
      <c r="U39" s="19" t="s">
        <v>464</v>
      </c>
    </row>
    <row r="40" spans="1:21" ht="14.5" x14ac:dyDescent="0.35">
      <c r="A40" s="18" t="str">
        <f t="shared" si="0"/>
        <v>Authorization/policyAssignmentsDisplay Name(pas-)</v>
      </c>
      <c r="B40" s="18" t="s">
        <v>370</v>
      </c>
      <c r="C40" s="18" t="s">
        <v>278</v>
      </c>
      <c r="D40" s="18" t="s">
        <v>279</v>
      </c>
      <c r="E40" s="18" t="s">
        <v>381</v>
      </c>
      <c r="F40" s="18" t="str">
        <f t="shared" si="1"/>
        <v>pas-</v>
      </c>
      <c r="G40" s="18" t="s">
        <v>364</v>
      </c>
      <c r="H40" s="18" t="s">
        <v>285</v>
      </c>
      <c r="I40" s="18" t="s">
        <v>382</v>
      </c>
      <c r="J40" s="18" t="s">
        <v>280</v>
      </c>
      <c r="K40" s="18" t="s">
        <v>374</v>
      </c>
      <c r="L40" s="18" t="s">
        <v>375</v>
      </c>
      <c r="M40" s="18" t="s">
        <v>280</v>
      </c>
      <c r="N40" s="18" t="s">
        <v>376</v>
      </c>
      <c r="O40" s="18" t="s">
        <v>280</v>
      </c>
      <c r="P40" s="18" t="s">
        <v>383</v>
      </c>
      <c r="Q40" s="21" t="s">
        <v>280</v>
      </c>
      <c r="R40" s="18" t="s">
        <v>1272</v>
      </c>
      <c r="S40" s="21" t="s">
        <v>1273</v>
      </c>
      <c r="T40" s="18" t="s">
        <v>372</v>
      </c>
      <c r="U40" s="18" t="s">
        <v>464</v>
      </c>
    </row>
    <row r="41" spans="1:21" ht="14.5" x14ac:dyDescent="0.35">
      <c r="A41" s="19" t="str">
        <f t="shared" si="0"/>
        <v>Authorization/policyDefinitionsResoure Name(policy-)</v>
      </c>
      <c r="B41" s="19" t="s">
        <v>384</v>
      </c>
      <c r="C41" s="19" t="s">
        <v>278</v>
      </c>
      <c r="D41" s="19" t="s">
        <v>279</v>
      </c>
      <c r="E41" s="19" t="s">
        <v>378</v>
      </c>
      <c r="F41" s="19" t="str">
        <f t="shared" si="1"/>
        <v>policy-</v>
      </c>
      <c r="G41" s="19" t="s">
        <v>386</v>
      </c>
      <c r="H41" s="19" t="s">
        <v>285</v>
      </c>
      <c r="I41" s="19" t="s">
        <v>379</v>
      </c>
      <c r="J41" s="19" t="s">
        <v>387</v>
      </c>
      <c r="K41" s="19" t="s">
        <v>374</v>
      </c>
      <c r="L41" s="19" t="s">
        <v>375</v>
      </c>
      <c r="M41" s="19" t="s">
        <v>280</v>
      </c>
      <c r="N41" s="19" t="s">
        <v>376</v>
      </c>
      <c r="O41" s="19" t="s">
        <v>280</v>
      </c>
      <c r="P41" s="19" t="s">
        <v>380</v>
      </c>
      <c r="Q41" s="20" t="s">
        <v>280</v>
      </c>
      <c r="R41" s="19" t="s">
        <v>1272</v>
      </c>
      <c r="S41" s="20" t="s">
        <v>1273</v>
      </c>
      <c r="T41" s="19" t="s">
        <v>385</v>
      </c>
      <c r="U41" s="19" t="s">
        <v>464</v>
      </c>
    </row>
    <row r="42" spans="1:21" ht="14.5" x14ac:dyDescent="0.35">
      <c r="A42" s="18" t="str">
        <f t="shared" si="0"/>
        <v>Authorization/policyDefinitionsDisplay Name(policy-)</v>
      </c>
      <c r="B42" s="18" t="s">
        <v>384</v>
      </c>
      <c r="C42" s="18" t="s">
        <v>278</v>
      </c>
      <c r="D42" s="18" t="s">
        <v>279</v>
      </c>
      <c r="E42" s="18" t="s">
        <v>381</v>
      </c>
      <c r="F42" s="18" t="str">
        <f t="shared" si="1"/>
        <v>policy-</v>
      </c>
      <c r="G42" s="18" t="s">
        <v>386</v>
      </c>
      <c r="H42" s="18" t="s">
        <v>285</v>
      </c>
      <c r="I42" s="18" t="s">
        <v>382</v>
      </c>
      <c r="J42" s="18" t="s">
        <v>387</v>
      </c>
      <c r="K42" s="18" t="s">
        <v>374</v>
      </c>
      <c r="L42" s="18" t="s">
        <v>375</v>
      </c>
      <c r="M42" s="18" t="s">
        <v>280</v>
      </c>
      <c r="N42" s="18" t="s">
        <v>376</v>
      </c>
      <c r="O42" s="18" t="s">
        <v>280</v>
      </c>
      <c r="P42" s="18" t="s">
        <v>383</v>
      </c>
      <c r="Q42" s="21" t="s">
        <v>280</v>
      </c>
      <c r="R42" s="18" t="s">
        <v>1272</v>
      </c>
      <c r="S42" s="21" t="s">
        <v>1273</v>
      </c>
      <c r="T42" s="18" t="s">
        <v>385</v>
      </c>
      <c r="U42" s="18" t="s">
        <v>464</v>
      </c>
    </row>
    <row r="43" spans="1:21" ht="14.5" x14ac:dyDescent="0.35">
      <c r="A43" s="19" t="str">
        <f t="shared" si="0"/>
        <v>Authorization/policySetDefinitionsManagement Group Resource Name(init-)</v>
      </c>
      <c r="B43" s="19" t="s">
        <v>388</v>
      </c>
      <c r="C43" s="19" t="s">
        <v>278</v>
      </c>
      <c r="D43" s="19" t="s">
        <v>279</v>
      </c>
      <c r="E43" s="19" t="s">
        <v>371</v>
      </c>
      <c r="F43" s="19" t="str">
        <f t="shared" si="1"/>
        <v>init-</v>
      </c>
      <c r="G43" s="19" t="s">
        <v>386</v>
      </c>
      <c r="H43" s="19" t="s">
        <v>285</v>
      </c>
      <c r="I43" s="19" t="s">
        <v>373</v>
      </c>
      <c r="J43" s="19" t="s">
        <v>387</v>
      </c>
      <c r="K43" s="19" t="s">
        <v>374</v>
      </c>
      <c r="L43" s="19" t="s">
        <v>375</v>
      </c>
      <c r="M43" s="19" t="s">
        <v>280</v>
      </c>
      <c r="N43" s="19" t="s">
        <v>376</v>
      </c>
      <c r="O43" s="19" t="s">
        <v>280</v>
      </c>
      <c r="P43" s="19" t="s">
        <v>377</v>
      </c>
      <c r="Q43" s="20" t="s">
        <v>280</v>
      </c>
      <c r="R43" s="19" t="s">
        <v>1272</v>
      </c>
      <c r="S43" s="20" t="s">
        <v>1273</v>
      </c>
      <c r="T43" s="19" t="s">
        <v>389</v>
      </c>
      <c r="U43" s="19" t="s">
        <v>464</v>
      </c>
    </row>
    <row r="44" spans="1:21" ht="14.5" x14ac:dyDescent="0.35">
      <c r="A44" s="18" t="str">
        <f t="shared" si="0"/>
        <v>Authorization/policySetDefinitionsResoure Name(init-)</v>
      </c>
      <c r="B44" s="18" t="s">
        <v>388</v>
      </c>
      <c r="C44" s="18" t="s">
        <v>278</v>
      </c>
      <c r="D44" s="18" t="s">
        <v>279</v>
      </c>
      <c r="E44" s="18" t="s">
        <v>378</v>
      </c>
      <c r="F44" s="18" t="str">
        <f t="shared" si="1"/>
        <v>init-</v>
      </c>
      <c r="G44" s="18" t="s">
        <v>386</v>
      </c>
      <c r="H44" s="18" t="s">
        <v>285</v>
      </c>
      <c r="I44" s="18" t="s">
        <v>379</v>
      </c>
      <c r="J44" s="18" t="s">
        <v>387</v>
      </c>
      <c r="K44" s="18" t="s">
        <v>374</v>
      </c>
      <c r="L44" s="18" t="s">
        <v>375</v>
      </c>
      <c r="M44" s="18" t="s">
        <v>280</v>
      </c>
      <c r="N44" s="18" t="s">
        <v>376</v>
      </c>
      <c r="O44" s="18" t="s">
        <v>280</v>
      </c>
      <c r="P44" s="18" t="s">
        <v>380</v>
      </c>
      <c r="Q44" s="21" t="s">
        <v>280</v>
      </c>
      <c r="R44" s="18" t="s">
        <v>1272</v>
      </c>
      <c r="S44" s="21" t="s">
        <v>1273</v>
      </c>
      <c r="T44" s="18" t="s">
        <v>389</v>
      </c>
      <c r="U44" s="18" t="s">
        <v>464</v>
      </c>
    </row>
    <row r="45" spans="1:21" ht="14.5" x14ac:dyDescent="0.35">
      <c r="A45" s="19" t="str">
        <f t="shared" si="0"/>
        <v>Authorization/policySetDefinitionsDisplay Name(init-)</v>
      </c>
      <c r="B45" s="19" t="s">
        <v>388</v>
      </c>
      <c r="C45" s="19" t="s">
        <v>278</v>
      </c>
      <c r="D45" s="19" t="s">
        <v>279</v>
      </c>
      <c r="E45" s="19" t="s">
        <v>381</v>
      </c>
      <c r="F45" s="19" t="str">
        <f t="shared" si="1"/>
        <v>init-</v>
      </c>
      <c r="G45" s="19" t="s">
        <v>386</v>
      </c>
      <c r="H45" s="19" t="s">
        <v>285</v>
      </c>
      <c r="I45" s="19" t="s">
        <v>382</v>
      </c>
      <c r="J45" s="19" t="s">
        <v>387</v>
      </c>
      <c r="K45" s="19" t="s">
        <v>374</v>
      </c>
      <c r="L45" s="19" t="s">
        <v>375</v>
      </c>
      <c r="M45" s="19" t="s">
        <v>280</v>
      </c>
      <c r="N45" s="19" t="s">
        <v>376</v>
      </c>
      <c r="O45" s="19" t="s">
        <v>280</v>
      </c>
      <c r="P45" s="19" t="s">
        <v>383</v>
      </c>
      <c r="Q45" s="20" t="s">
        <v>280</v>
      </c>
      <c r="R45" s="19" t="s">
        <v>1272</v>
      </c>
      <c r="S45" s="20" t="s">
        <v>1273</v>
      </c>
      <c r="T45" s="19" t="s">
        <v>389</v>
      </c>
      <c r="U45" s="19" t="s">
        <v>464</v>
      </c>
    </row>
    <row r="46" spans="1:21" ht="14.5" x14ac:dyDescent="0.35">
      <c r="A46" s="18" t="str">
        <f t="shared" si="0"/>
        <v>Automation/automationAccounts(aa-)</v>
      </c>
      <c r="B46" s="18" t="s">
        <v>390</v>
      </c>
      <c r="C46" s="18" t="s">
        <v>278</v>
      </c>
      <c r="D46" s="18" t="s">
        <v>279</v>
      </c>
      <c r="E46" s="18" t="s">
        <v>280</v>
      </c>
      <c r="F46" s="18" t="str">
        <f t="shared" si="1"/>
        <v>aa-</v>
      </c>
      <c r="G46" s="18" t="s">
        <v>83</v>
      </c>
      <c r="H46" s="18" t="s">
        <v>392</v>
      </c>
      <c r="I46" s="18" t="s">
        <v>286</v>
      </c>
      <c r="J46" s="18" t="s">
        <v>393</v>
      </c>
      <c r="K46" s="18" t="s">
        <v>280</v>
      </c>
      <c r="L46" s="18" t="s">
        <v>280</v>
      </c>
      <c r="M46" s="18" t="s">
        <v>280</v>
      </c>
      <c r="N46" s="18" t="s">
        <v>280</v>
      </c>
      <c r="O46" s="18" t="s">
        <v>280</v>
      </c>
      <c r="P46" s="18" t="s">
        <v>394</v>
      </c>
      <c r="Q46" s="21" t="s">
        <v>280</v>
      </c>
      <c r="R46" s="18" t="s">
        <v>1272</v>
      </c>
      <c r="S46" s="21" t="s">
        <v>1273</v>
      </c>
      <c r="T46" s="18" t="s">
        <v>391</v>
      </c>
      <c r="U46" s="18" t="s">
        <v>464</v>
      </c>
    </row>
    <row r="47" spans="1:21" ht="14.5" x14ac:dyDescent="0.35">
      <c r="A47" s="19" t="str">
        <f t="shared" si="0"/>
        <v>Automation/automationAccounts/certificates(cert-)</v>
      </c>
      <c r="B47" s="19" t="s">
        <v>395</v>
      </c>
      <c r="C47" s="19" t="s">
        <v>278</v>
      </c>
      <c r="D47" s="19" t="s">
        <v>279</v>
      </c>
      <c r="E47" s="19" t="s">
        <v>280</v>
      </c>
      <c r="F47" s="19" t="str">
        <f t="shared" si="1"/>
        <v>cert-</v>
      </c>
      <c r="G47" s="19" t="s">
        <v>397</v>
      </c>
      <c r="H47" s="19" t="s">
        <v>285</v>
      </c>
      <c r="I47" s="19" t="s">
        <v>382</v>
      </c>
      <c r="J47" s="19" t="s">
        <v>280</v>
      </c>
      <c r="K47" s="19" t="s">
        <v>398</v>
      </c>
      <c r="L47" s="19" t="s">
        <v>399</v>
      </c>
      <c r="M47" s="19" t="s">
        <v>280</v>
      </c>
      <c r="N47" s="19" t="s">
        <v>280</v>
      </c>
      <c r="O47" s="19" t="s">
        <v>280</v>
      </c>
      <c r="P47" s="19" t="s">
        <v>400</v>
      </c>
      <c r="Q47" s="20" t="s">
        <v>280</v>
      </c>
      <c r="R47" s="19" t="s">
        <v>1272</v>
      </c>
      <c r="S47" s="20" t="s">
        <v>1273</v>
      </c>
      <c r="T47" s="19" t="s">
        <v>396</v>
      </c>
      <c r="U47" s="19" t="s">
        <v>464</v>
      </c>
    </row>
    <row r="48" spans="1:21" ht="14.5" x14ac:dyDescent="0.35">
      <c r="A48" s="18" t="str">
        <f t="shared" si="0"/>
        <v>Automation/automationAccounts/connections(conn-)</v>
      </c>
      <c r="B48" s="18" t="s">
        <v>401</v>
      </c>
      <c r="C48" s="18" t="s">
        <v>278</v>
      </c>
      <c r="D48" s="18" t="s">
        <v>279</v>
      </c>
      <c r="E48" s="18" t="s">
        <v>280</v>
      </c>
      <c r="F48" s="18" t="str">
        <f t="shared" si="1"/>
        <v>conn-</v>
      </c>
      <c r="G48" s="18" t="s">
        <v>397</v>
      </c>
      <c r="H48" s="18" t="s">
        <v>285</v>
      </c>
      <c r="I48" s="18" t="s">
        <v>382</v>
      </c>
      <c r="J48" s="18" t="s">
        <v>280</v>
      </c>
      <c r="K48" s="18" t="s">
        <v>398</v>
      </c>
      <c r="L48" s="18" t="s">
        <v>399</v>
      </c>
      <c r="M48" s="18" t="s">
        <v>280</v>
      </c>
      <c r="N48" s="18" t="s">
        <v>280</v>
      </c>
      <c r="O48" s="18" t="s">
        <v>280</v>
      </c>
      <c r="P48" s="18" t="s">
        <v>400</v>
      </c>
      <c r="Q48" s="21" t="s">
        <v>280</v>
      </c>
      <c r="R48" s="18" t="s">
        <v>1272</v>
      </c>
      <c r="S48" s="21" t="s">
        <v>1273</v>
      </c>
      <c r="T48" s="18" t="s">
        <v>402</v>
      </c>
      <c r="U48" s="18" t="s">
        <v>464</v>
      </c>
    </row>
    <row r="49" spans="1:21" ht="14.5" x14ac:dyDescent="0.35">
      <c r="A49" s="19" t="str">
        <f t="shared" si="0"/>
        <v>Automation/automationAccounts/credentials(cred-)</v>
      </c>
      <c r="B49" s="19" t="s">
        <v>403</v>
      </c>
      <c r="C49" s="19" t="s">
        <v>278</v>
      </c>
      <c r="D49" s="19" t="s">
        <v>279</v>
      </c>
      <c r="E49" s="19" t="s">
        <v>280</v>
      </c>
      <c r="F49" s="19" t="str">
        <f t="shared" si="1"/>
        <v>cred-</v>
      </c>
      <c r="G49" s="19" t="s">
        <v>397</v>
      </c>
      <c r="H49" s="19" t="s">
        <v>285</v>
      </c>
      <c r="I49" s="19" t="s">
        <v>382</v>
      </c>
      <c r="J49" s="19" t="s">
        <v>280</v>
      </c>
      <c r="K49" s="19" t="s">
        <v>398</v>
      </c>
      <c r="L49" s="19" t="s">
        <v>399</v>
      </c>
      <c r="M49" s="19" t="s">
        <v>280</v>
      </c>
      <c r="N49" s="19" t="s">
        <v>280</v>
      </c>
      <c r="O49" s="19" t="s">
        <v>280</v>
      </c>
      <c r="P49" s="19" t="s">
        <v>400</v>
      </c>
      <c r="Q49" s="20" t="s">
        <v>280</v>
      </c>
      <c r="R49" s="19" t="s">
        <v>1272</v>
      </c>
      <c r="S49" s="20" t="s">
        <v>1273</v>
      </c>
      <c r="T49" s="19" t="s">
        <v>404</v>
      </c>
      <c r="U49" s="19" t="s">
        <v>464</v>
      </c>
    </row>
    <row r="50" spans="1:21" ht="14.5" x14ac:dyDescent="0.35">
      <c r="A50" s="18" t="str">
        <f t="shared" si="0"/>
        <v>Automation/automationAccounts/runbooks(runbk-)</v>
      </c>
      <c r="B50" s="18" t="s">
        <v>405</v>
      </c>
      <c r="C50" s="18" t="s">
        <v>278</v>
      </c>
      <c r="D50" s="18" t="s">
        <v>279</v>
      </c>
      <c r="E50" s="18" t="s">
        <v>280</v>
      </c>
      <c r="F50" s="18" t="str">
        <f t="shared" si="1"/>
        <v>runbk-</v>
      </c>
      <c r="G50" s="18" t="s">
        <v>397</v>
      </c>
      <c r="H50" s="18" t="s">
        <v>285</v>
      </c>
      <c r="I50" s="18" t="s">
        <v>282</v>
      </c>
      <c r="J50" s="18" t="s">
        <v>407</v>
      </c>
      <c r="K50" s="18" t="s">
        <v>280</v>
      </c>
      <c r="L50" s="18" t="s">
        <v>280</v>
      </c>
      <c r="M50" s="18" t="s">
        <v>280</v>
      </c>
      <c r="N50" s="18" t="s">
        <v>280</v>
      </c>
      <c r="O50" s="18" t="s">
        <v>280</v>
      </c>
      <c r="P50" s="18" t="s">
        <v>408</v>
      </c>
      <c r="Q50" s="21" t="s">
        <v>280</v>
      </c>
      <c r="R50" s="18" t="s">
        <v>1272</v>
      </c>
      <c r="S50" s="21" t="s">
        <v>1273</v>
      </c>
      <c r="T50" s="18" t="s">
        <v>406</v>
      </c>
      <c r="U50" s="18" t="s">
        <v>464</v>
      </c>
    </row>
    <row r="51" spans="1:21" ht="14.5" x14ac:dyDescent="0.35">
      <c r="A51" s="19" t="str">
        <f t="shared" si="0"/>
        <v>Automation/automationAccounts/schedules(sched-)</v>
      </c>
      <c r="B51" s="19" t="s">
        <v>409</v>
      </c>
      <c r="C51" s="19" t="s">
        <v>278</v>
      </c>
      <c r="D51" s="19" t="s">
        <v>279</v>
      </c>
      <c r="E51" s="19" t="s">
        <v>280</v>
      </c>
      <c r="F51" s="19" t="str">
        <f t="shared" si="1"/>
        <v>sched-</v>
      </c>
      <c r="G51" s="19" t="s">
        <v>397</v>
      </c>
      <c r="H51" s="19" t="s">
        <v>285</v>
      </c>
      <c r="I51" s="19" t="s">
        <v>382</v>
      </c>
      <c r="J51" s="19" t="s">
        <v>280</v>
      </c>
      <c r="K51" s="19" t="s">
        <v>398</v>
      </c>
      <c r="L51" s="19" t="s">
        <v>399</v>
      </c>
      <c r="M51" s="19" t="s">
        <v>280</v>
      </c>
      <c r="N51" s="19" t="s">
        <v>280</v>
      </c>
      <c r="O51" s="19" t="s">
        <v>280</v>
      </c>
      <c r="P51" s="19" t="s">
        <v>400</v>
      </c>
      <c r="Q51" s="20" t="s">
        <v>280</v>
      </c>
      <c r="R51" s="19" t="s">
        <v>1272</v>
      </c>
      <c r="S51" s="20" t="s">
        <v>1273</v>
      </c>
      <c r="T51" s="19" t="s">
        <v>410</v>
      </c>
      <c r="U51" s="19" t="s">
        <v>464</v>
      </c>
    </row>
    <row r="52" spans="1:21" ht="14.5" x14ac:dyDescent="0.35">
      <c r="A52" s="18" t="str">
        <f t="shared" si="0"/>
        <v>Automation/automationAccounts/variables(var-)</v>
      </c>
      <c r="B52" s="18" t="s">
        <v>411</v>
      </c>
      <c r="C52" s="18" t="s">
        <v>278</v>
      </c>
      <c r="D52" s="18" t="s">
        <v>279</v>
      </c>
      <c r="E52" s="18" t="s">
        <v>280</v>
      </c>
      <c r="F52" s="18" t="str">
        <f t="shared" si="1"/>
        <v>var-</v>
      </c>
      <c r="G52" s="18" t="s">
        <v>397</v>
      </c>
      <c r="H52" s="18" t="s">
        <v>285</v>
      </c>
      <c r="I52" s="18" t="s">
        <v>382</v>
      </c>
      <c r="J52" s="18" t="s">
        <v>280</v>
      </c>
      <c r="K52" s="18" t="s">
        <v>398</v>
      </c>
      <c r="L52" s="18" t="s">
        <v>399</v>
      </c>
      <c r="M52" s="18" t="s">
        <v>280</v>
      </c>
      <c r="N52" s="18" t="s">
        <v>280</v>
      </c>
      <c r="O52" s="18" t="s">
        <v>280</v>
      </c>
      <c r="P52" s="18" t="s">
        <v>400</v>
      </c>
      <c r="Q52" s="21" t="s">
        <v>280</v>
      </c>
      <c r="R52" s="18" t="s">
        <v>1272</v>
      </c>
      <c r="S52" s="21" t="s">
        <v>1273</v>
      </c>
      <c r="T52" s="18" t="s">
        <v>412</v>
      </c>
      <c r="U52" s="18" t="s">
        <v>464</v>
      </c>
    </row>
    <row r="53" spans="1:21" ht="14.5" x14ac:dyDescent="0.35">
      <c r="A53" s="19" t="str">
        <f t="shared" si="0"/>
        <v>Automation/automationAccounts/watchers(watch-)</v>
      </c>
      <c r="B53" s="19" t="s">
        <v>413</v>
      </c>
      <c r="C53" s="19" t="s">
        <v>278</v>
      </c>
      <c r="D53" s="19" t="s">
        <v>279</v>
      </c>
      <c r="E53" s="19" t="s">
        <v>280</v>
      </c>
      <c r="F53" s="19" t="str">
        <f t="shared" si="1"/>
        <v>watch-</v>
      </c>
      <c r="G53" s="19" t="s">
        <v>397</v>
      </c>
      <c r="H53" s="19" t="s">
        <v>285</v>
      </c>
      <c r="I53" s="19" t="s">
        <v>282</v>
      </c>
      <c r="J53" s="19" t="s">
        <v>407</v>
      </c>
      <c r="K53" s="19" t="s">
        <v>280</v>
      </c>
      <c r="L53" s="19" t="s">
        <v>280</v>
      </c>
      <c r="M53" s="19" t="s">
        <v>280</v>
      </c>
      <c r="N53" s="19" t="s">
        <v>280</v>
      </c>
      <c r="O53" s="19" t="s">
        <v>280</v>
      </c>
      <c r="P53" s="19" t="s">
        <v>408</v>
      </c>
      <c r="Q53" s="20" t="s">
        <v>280</v>
      </c>
      <c r="R53" s="19" t="s">
        <v>1272</v>
      </c>
      <c r="S53" s="20" t="s">
        <v>1273</v>
      </c>
      <c r="T53" s="19" t="s">
        <v>414</v>
      </c>
      <c r="U53" s="19" t="s">
        <v>464</v>
      </c>
    </row>
    <row r="54" spans="1:21" ht="14.5" x14ac:dyDescent="0.35">
      <c r="A54" s="18" t="str">
        <f t="shared" si="0"/>
        <v>Automation/automationAccounts/webhooks(wbhk-)</v>
      </c>
      <c r="B54" s="18" t="s">
        <v>415</v>
      </c>
      <c r="C54" s="18" t="s">
        <v>278</v>
      </c>
      <c r="D54" s="18" t="s">
        <v>279</v>
      </c>
      <c r="E54" s="18" t="s">
        <v>280</v>
      </c>
      <c r="F54" s="18" t="str">
        <f t="shared" si="1"/>
        <v>wbhk-</v>
      </c>
      <c r="G54" s="18" t="s">
        <v>397</v>
      </c>
      <c r="H54" s="18" t="s">
        <v>285</v>
      </c>
      <c r="I54" s="18" t="s">
        <v>382</v>
      </c>
      <c r="J54" s="18" t="s">
        <v>280</v>
      </c>
      <c r="K54" s="18" t="s">
        <v>398</v>
      </c>
      <c r="L54" s="18" t="s">
        <v>399</v>
      </c>
      <c r="M54" s="18" t="s">
        <v>280</v>
      </c>
      <c r="N54" s="18" t="s">
        <v>280</v>
      </c>
      <c r="O54" s="18" t="s">
        <v>280</v>
      </c>
      <c r="P54" s="18" t="s">
        <v>400</v>
      </c>
      <c r="Q54" s="21" t="s">
        <v>280</v>
      </c>
      <c r="R54" s="18" t="s">
        <v>1272</v>
      </c>
      <c r="S54" s="21" t="s">
        <v>1273</v>
      </c>
      <c r="T54" s="18" t="s">
        <v>416</v>
      </c>
      <c r="U54" s="18" t="s">
        <v>464</v>
      </c>
    </row>
    <row r="55" spans="1:21" ht="14.5" x14ac:dyDescent="0.35">
      <c r="A55" s="19" t="str">
        <f t="shared" si="0"/>
        <v>Batch/batchAccounts(ba)</v>
      </c>
      <c r="B55" s="19" t="s">
        <v>417</v>
      </c>
      <c r="C55" s="19" t="s">
        <v>278</v>
      </c>
      <c r="D55" s="19" t="s">
        <v>279</v>
      </c>
      <c r="E55" s="19" t="s">
        <v>280</v>
      </c>
      <c r="F55" s="19" t="str">
        <f t="shared" si="1"/>
        <v>ba</v>
      </c>
      <c r="G55" s="19" t="s">
        <v>419</v>
      </c>
      <c r="H55" s="19" t="s">
        <v>281</v>
      </c>
      <c r="I55" s="19" t="s">
        <v>373</v>
      </c>
      <c r="J55" s="19" t="s">
        <v>420</v>
      </c>
      <c r="K55" s="19" t="s">
        <v>280</v>
      </c>
      <c r="L55" s="19" t="s">
        <v>280</v>
      </c>
      <c r="M55" s="19" t="s">
        <v>280</v>
      </c>
      <c r="N55" s="19" t="s">
        <v>280</v>
      </c>
      <c r="O55" s="19" t="s">
        <v>280</v>
      </c>
      <c r="P55" s="19" t="s">
        <v>421</v>
      </c>
      <c r="Q55" s="20" t="s">
        <v>280</v>
      </c>
      <c r="R55" s="19" t="s">
        <v>1272</v>
      </c>
      <c r="S55" s="20" t="s">
        <v>1273</v>
      </c>
      <c r="T55" s="19" t="s">
        <v>418</v>
      </c>
      <c r="U55" s="19"/>
    </row>
    <row r="56" spans="1:21" ht="14.5" x14ac:dyDescent="0.35">
      <c r="A56" s="18" t="str">
        <f t="shared" si="0"/>
        <v>Batch/batchAccounts/applications(appl-)</v>
      </c>
      <c r="B56" s="18" t="s">
        <v>422</v>
      </c>
      <c r="C56" s="18" t="s">
        <v>278</v>
      </c>
      <c r="D56" s="18" t="s">
        <v>279</v>
      </c>
      <c r="E56" s="18" t="s">
        <v>280</v>
      </c>
      <c r="F56" s="18" t="str">
        <f t="shared" si="1"/>
        <v>appl-</v>
      </c>
      <c r="G56" s="18" t="s">
        <v>424</v>
      </c>
      <c r="H56" s="18" t="s">
        <v>285</v>
      </c>
      <c r="I56" s="18" t="s">
        <v>379</v>
      </c>
      <c r="J56" s="18" t="s">
        <v>360</v>
      </c>
      <c r="K56" s="18" t="s">
        <v>280</v>
      </c>
      <c r="L56" s="18" t="s">
        <v>280</v>
      </c>
      <c r="M56" s="18" t="s">
        <v>280</v>
      </c>
      <c r="N56" s="18" t="s">
        <v>280</v>
      </c>
      <c r="O56" s="18" t="s">
        <v>280</v>
      </c>
      <c r="P56" s="18" t="s">
        <v>77</v>
      </c>
      <c r="Q56" s="21" t="s">
        <v>280</v>
      </c>
      <c r="R56" s="18" t="s">
        <v>1272</v>
      </c>
      <c r="S56" s="21" t="s">
        <v>1273</v>
      </c>
      <c r="T56" s="18" t="s">
        <v>423</v>
      </c>
      <c r="U56" s="18" t="s">
        <v>464</v>
      </c>
    </row>
    <row r="57" spans="1:21" ht="14.5" x14ac:dyDescent="0.35">
      <c r="A57" s="19" t="str">
        <f t="shared" si="0"/>
        <v>Batch/batchAccounts/certificates(cert-)</v>
      </c>
      <c r="B57" s="19" t="s">
        <v>425</v>
      </c>
      <c r="C57" s="19" t="s">
        <v>278</v>
      </c>
      <c r="D57" s="19" t="s">
        <v>279</v>
      </c>
      <c r="E57" s="19" t="s">
        <v>280</v>
      </c>
      <c r="F57" s="19" t="str">
        <f t="shared" si="1"/>
        <v>cert-</v>
      </c>
      <c r="G57" s="19" t="s">
        <v>424</v>
      </c>
      <c r="H57" s="19" t="s">
        <v>359</v>
      </c>
      <c r="I57" s="19" t="s">
        <v>426</v>
      </c>
      <c r="J57" s="19" t="s">
        <v>360</v>
      </c>
      <c r="K57" s="19" t="s">
        <v>280</v>
      </c>
      <c r="L57" s="19" t="s">
        <v>280</v>
      </c>
      <c r="M57" s="19" t="s">
        <v>280</v>
      </c>
      <c r="N57" s="19" t="s">
        <v>280</v>
      </c>
      <c r="O57" s="19" t="s">
        <v>280</v>
      </c>
      <c r="P57" s="19" t="s">
        <v>427</v>
      </c>
      <c r="Q57" s="20" t="s">
        <v>280</v>
      </c>
      <c r="R57" s="19" t="s">
        <v>1272</v>
      </c>
      <c r="S57" s="20" t="s">
        <v>1273</v>
      </c>
      <c r="T57" s="19" t="s">
        <v>396</v>
      </c>
      <c r="U57" s="19" t="s">
        <v>464</v>
      </c>
    </row>
    <row r="58" spans="1:21" ht="14.5" x14ac:dyDescent="0.35">
      <c r="A58" s="18" t="str">
        <f t="shared" si="0"/>
        <v>Batch/batchAccounts/pools(pool-)</v>
      </c>
      <c r="B58" s="18" t="s">
        <v>428</v>
      </c>
      <c r="C58" s="18" t="s">
        <v>278</v>
      </c>
      <c r="D58" s="18" t="s">
        <v>279</v>
      </c>
      <c r="E58" s="18" t="s">
        <v>280</v>
      </c>
      <c r="F58" s="18" t="str">
        <f t="shared" si="1"/>
        <v>pool-</v>
      </c>
      <c r="G58" s="18" t="s">
        <v>424</v>
      </c>
      <c r="H58" s="18" t="s">
        <v>285</v>
      </c>
      <c r="I58" s="18" t="s">
        <v>379</v>
      </c>
      <c r="J58" s="18" t="s">
        <v>360</v>
      </c>
      <c r="K58" s="18" t="s">
        <v>280</v>
      </c>
      <c r="L58" s="18" t="s">
        <v>280</v>
      </c>
      <c r="M58" s="18" t="s">
        <v>280</v>
      </c>
      <c r="N58" s="18" t="s">
        <v>280</v>
      </c>
      <c r="O58" s="18" t="s">
        <v>280</v>
      </c>
      <c r="P58" s="18" t="s">
        <v>77</v>
      </c>
      <c r="Q58" s="21" t="s">
        <v>280</v>
      </c>
      <c r="R58" s="18" t="s">
        <v>1272</v>
      </c>
      <c r="S58" s="21" t="s">
        <v>1273</v>
      </c>
      <c r="T58" s="18" t="s">
        <v>429</v>
      </c>
      <c r="U58" s="18" t="s">
        <v>464</v>
      </c>
    </row>
    <row r="59" spans="1:21" ht="14.5" x14ac:dyDescent="0.35">
      <c r="A59" s="19" t="str">
        <f t="shared" si="0"/>
        <v>Blockchain/blockchainMembers(blchm)</v>
      </c>
      <c r="B59" s="19" t="s">
        <v>430</v>
      </c>
      <c r="C59" s="19" t="s">
        <v>278</v>
      </c>
      <c r="D59" s="19" t="s">
        <v>279</v>
      </c>
      <c r="E59" s="19" t="s">
        <v>280</v>
      </c>
      <c r="F59" s="19" t="str">
        <f t="shared" si="1"/>
        <v>blchm</v>
      </c>
      <c r="G59" s="19" t="s">
        <v>80</v>
      </c>
      <c r="H59" s="19" t="s">
        <v>432</v>
      </c>
      <c r="I59" s="19" t="s">
        <v>433</v>
      </c>
      <c r="J59" s="19" t="s">
        <v>283</v>
      </c>
      <c r="K59" s="19" t="s">
        <v>280</v>
      </c>
      <c r="L59" s="19" t="s">
        <v>280</v>
      </c>
      <c r="M59" s="19" t="s">
        <v>280</v>
      </c>
      <c r="N59" s="19" t="s">
        <v>280</v>
      </c>
      <c r="O59" s="19" t="s">
        <v>280</v>
      </c>
      <c r="P59" s="19" t="s">
        <v>434</v>
      </c>
      <c r="Q59" s="20" t="s">
        <v>280</v>
      </c>
      <c r="R59" s="19" t="s">
        <v>1272</v>
      </c>
      <c r="S59" s="20" t="s">
        <v>1273</v>
      </c>
      <c r="T59" s="19" t="s">
        <v>431</v>
      </c>
      <c r="U59" s="19"/>
    </row>
    <row r="60" spans="1:21" ht="14.5" x14ac:dyDescent="0.35">
      <c r="A60" s="18" t="str">
        <f t="shared" si="0"/>
        <v>Blueprint/blueprintAssignments(bpas-)</v>
      </c>
      <c r="B60" s="18" t="s">
        <v>435</v>
      </c>
      <c r="C60" s="18" t="s">
        <v>436</v>
      </c>
      <c r="D60" s="18" t="s">
        <v>228</v>
      </c>
      <c r="E60" s="18" t="s">
        <v>280</v>
      </c>
      <c r="F60" s="18" t="str">
        <f t="shared" si="1"/>
        <v>bpas-</v>
      </c>
      <c r="G60" s="18" t="s">
        <v>438</v>
      </c>
      <c r="H60" s="18" t="s">
        <v>285</v>
      </c>
      <c r="I60" s="18" t="s">
        <v>365</v>
      </c>
      <c r="J60" s="18" t="s">
        <v>439</v>
      </c>
      <c r="K60" s="18" t="s">
        <v>280</v>
      </c>
      <c r="L60" s="18" t="s">
        <v>280</v>
      </c>
      <c r="M60" s="18" t="s">
        <v>280</v>
      </c>
      <c r="N60" s="18" t="s">
        <v>280</v>
      </c>
      <c r="O60" s="18" t="s">
        <v>280</v>
      </c>
      <c r="P60" s="18" t="s">
        <v>440</v>
      </c>
      <c r="Q60" s="21" t="s">
        <v>280</v>
      </c>
      <c r="R60" s="18" t="s">
        <v>1269</v>
      </c>
      <c r="S60" s="21"/>
      <c r="T60" s="18" t="s">
        <v>437</v>
      </c>
      <c r="U60" s="18" t="s">
        <v>464</v>
      </c>
    </row>
    <row r="61" spans="1:21" ht="14.5" x14ac:dyDescent="0.35">
      <c r="A61" s="19" t="str">
        <f t="shared" si="0"/>
        <v>Blueprint/blueprints(bp-)</v>
      </c>
      <c r="B61" s="19" t="s">
        <v>441</v>
      </c>
      <c r="C61" s="19" t="s">
        <v>436</v>
      </c>
      <c r="D61" s="19" t="s">
        <v>228</v>
      </c>
      <c r="E61" s="19" t="s">
        <v>280</v>
      </c>
      <c r="F61" s="19" t="str">
        <f t="shared" si="1"/>
        <v>bp-</v>
      </c>
      <c r="G61" s="19" t="s">
        <v>438</v>
      </c>
      <c r="H61" s="19" t="s">
        <v>285</v>
      </c>
      <c r="I61" s="19" t="s">
        <v>443</v>
      </c>
      <c r="J61" s="19" t="s">
        <v>439</v>
      </c>
      <c r="K61" s="19" t="s">
        <v>280</v>
      </c>
      <c r="L61" s="19" t="s">
        <v>280</v>
      </c>
      <c r="M61" s="19" t="s">
        <v>280</v>
      </c>
      <c r="N61" s="19" t="s">
        <v>280</v>
      </c>
      <c r="O61" s="19" t="s">
        <v>280</v>
      </c>
      <c r="P61" s="19" t="s">
        <v>444</v>
      </c>
      <c r="Q61" s="20" t="s">
        <v>280</v>
      </c>
      <c r="R61" s="19" t="s">
        <v>1269</v>
      </c>
      <c r="S61" s="20"/>
      <c r="T61" s="19" t="s">
        <v>442</v>
      </c>
      <c r="U61" s="19" t="s">
        <v>464</v>
      </c>
    </row>
    <row r="62" spans="1:21" ht="14.5" x14ac:dyDescent="0.35">
      <c r="A62" s="18" t="str">
        <f t="shared" si="0"/>
        <v>Blueprint/blueprints/artifacts(bpa-)</v>
      </c>
      <c r="B62" s="18" t="s">
        <v>445</v>
      </c>
      <c r="C62" s="18" t="s">
        <v>436</v>
      </c>
      <c r="D62" s="18" t="s">
        <v>228</v>
      </c>
      <c r="E62" s="18" t="s">
        <v>280</v>
      </c>
      <c r="F62" s="18" t="str">
        <f t="shared" si="1"/>
        <v>bpa-</v>
      </c>
      <c r="G62" s="18" t="s">
        <v>438</v>
      </c>
      <c r="H62" s="18" t="s">
        <v>285</v>
      </c>
      <c r="I62" s="18" t="s">
        <v>443</v>
      </c>
      <c r="J62" s="18" t="s">
        <v>439</v>
      </c>
      <c r="K62" s="18" t="s">
        <v>280</v>
      </c>
      <c r="L62" s="18" t="s">
        <v>280</v>
      </c>
      <c r="M62" s="18" t="s">
        <v>280</v>
      </c>
      <c r="N62" s="18" t="s">
        <v>280</v>
      </c>
      <c r="O62" s="18" t="s">
        <v>280</v>
      </c>
      <c r="P62" s="18" t="s">
        <v>444</v>
      </c>
      <c r="Q62" s="21" t="s">
        <v>280</v>
      </c>
      <c r="R62" s="18" t="s">
        <v>1269</v>
      </c>
      <c r="S62" s="21"/>
      <c r="T62" s="18" t="s">
        <v>446</v>
      </c>
      <c r="U62" s="18" t="s">
        <v>464</v>
      </c>
    </row>
    <row r="63" spans="1:21" ht="14.5" x14ac:dyDescent="0.35">
      <c r="A63" s="19" t="str">
        <f t="shared" si="0"/>
        <v>Blueprint/blueprints/versions(bpv-)</v>
      </c>
      <c r="B63" s="19" t="s">
        <v>447</v>
      </c>
      <c r="C63" s="19" t="s">
        <v>436</v>
      </c>
      <c r="D63" s="19" t="s">
        <v>228</v>
      </c>
      <c r="E63" s="19" t="s">
        <v>280</v>
      </c>
      <c r="F63" s="19" t="str">
        <f t="shared" si="1"/>
        <v>bpv-</v>
      </c>
      <c r="G63" s="19" t="s">
        <v>438</v>
      </c>
      <c r="H63" s="19" t="s">
        <v>285</v>
      </c>
      <c r="I63" s="19" t="s">
        <v>433</v>
      </c>
      <c r="J63" s="19" t="s">
        <v>439</v>
      </c>
      <c r="K63" s="19" t="s">
        <v>280</v>
      </c>
      <c r="L63" s="19" t="s">
        <v>280</v>
      </c>
      <c r="M63" s="19" t="s">
        <v>280</v>
      </c>
      <c r="N63" s="19" t="s">
        <v>280</v>
      </c>
      <c r="O63" s="19" t="s">
        <v>280</v>
      </c>
      <c r="P63" s="19" t="s">
        <v>449</v>
      </c>
      <c r="Q63" s="20" t="s">
        <v>280</v>
      </c>
      <c r="R63" s="19" t="s">
        <v>1269</v>
      </c>
      <c r="S63" s="20"/>
      <c r="T63" s="19" t="s">
        <v>448</v>
      </c>
      <c r="U63" s="19" t="s">
        <v>464</v>
      </c>
    </row>
    <row r="64" spans="1:21" ht="14.5" x14ac:dyDescent="0.35">
      <c r="A64" s="18" t="str">
        <f t="shared" si="0"/>
        <v>BotService/botServices(botsvc-)</v>
      </c>
      <c r="B64" s="18" t="s">
        <v>450</v>
      </c>
      <c r="C64" s="18" t="s">
        <v>278</v>
      </c>
      <c r="D64" s="18" t="s">
        <v>279</v>
      </c>
      <c r="E64" s="18" t="s">
        <v>280</v>
      </c>
      <c r="F64" s="18" t="str">
        <f t="shared" si="1"/>
        <v>botsvc-</v>
      </c>
      <c r="G64" s="18" t="s">
        <v>80</v>
      </c>
      <c r="H64" s="18" t="s">
        <v>432</v>
      </c>
      <c r="I64" s="18" t="s">
        <v>379</v>
      </c>
      <c r="J64" s="18" t="s">
        <v>452</v>
      </c>
      <c r="K64" s="18" t="s">
        <v>280</v>
      </c>
      <c r="L64" s="18" t="s">
        <v>280</v>
      </c>
      <c r="M64" s="18" t="s">
        <v>280</v>
      </c>
      <c r="N64" s="18" t="s">
        <v>280</v>
      </c>
      <c r="O64" s="18" t="s">
        <v>280</v>
      </c>
      <c r="P64" s="18" t="s">
        <v>453</v>
      </c>
      <c r="Q64" s="21" t="s">
        <v>280</v>
      </c>
      <c r="R64" s="18" t="s">
        <v>1272</v>
      </c>
      <c r="S64" s="21" t="s">
        <v>1273</v>
      </c>
      <c r="T64" s="18" t="s">
        <v>451</v>
      </c>
      <c r="U64" s="18" t="s">
        <v>464</v>
      </c>
    </row>
    <row r="65" spans="1:21" ht="14.5" x14ac:dyDescent="0.35">
      <c r="A65" s="19" t="str">
        <f t="shared" si="0"/>
        <v>BotService/botServices/channels(chan-)</v>
      </c>
      <c r="B65" s="19" t="s">
        <v>454</v>
      </c>
      <c r="C65" s="19" t="s">
        <v>278</v>
      </c>
      <c r="D65" s="19" t="s">
        <v>279</v>
      </c>
      <c r="E65" s="19" t="s">
        <v>280</v>
      </c>
      <c r="F65" s="19" t="str">
        <f t="shared" si="1"/>
        <v>chan-</v>
      </c>
      <c r="G65" s="19" t="s">
        <v>456</v>
      </c>
      <c r="H65" s="19" t="s">
        <v>432</v>
      </c>
      <c r="I65" s="19" t="s">
        <v>379</v>
      </c>
      <c r="J65" s="19" t="s">
        <v>452</v>
      </c>
      <c r="K65" s="19" t="s">
        <v>280</v>
      </c>
      <c r="L65" s="19" t="s">
        <v>280</v>
      </c>
      <c r="M65" s="19" t="s">
        <v>280</v>
      </c>
      <c r="N65" s="19" t="s">
        <v>280</v>
      </c>
      <c r="O65" s="19" t="s">
        <v>280</v>
      </c>
      <c r="P65" s="19" t="s">
        <v>453</v>
      </c>
      <c r="Q65" s="20" t="s">
        <v>280</v>
      </c>
      <c r="R65" s="19" t="s">
        <v>1272</v>
      </c>
      <c r="S65" s="20" t="s">
        <v>1273</v>
      </c>
      <c r="T65" s="19" t="s">
        <v>455</v>
      </c>
      <c r="U65" s="19" t="s">
        <v>464</v>
      </c>
    </row>
    <row r="66" spans="1:21" ht="14.5" x14ac:dyDescent="0.35">
      <c r="A66" s="18" t="str">
        <f t="shared" si="0"/>
        <v>BotService/botServices/Connections(conn-)</v>
      </c>
      <c r="B66" s="18" t="s">
        <v>457</v>
      </c>
      <c r="C66" s="18" t="s">
        <v>278</v>
      </c>
      <c r="D66" s="18" t="s">
        <v>279</v>
      </c>
      <c r="E66" s="18" t="s">
        <v>280</v>
      </c>
      <c r="F66" s="18" t="str">
        <f t="shared" si="1"/>
        <v>conn-</v>
      </c>
      <c r="G66" s="18" t="s">
        <v>456</v>
      </c>
      <c r="H66" s="18" t="s">
        <v>432</v>
      </c>
      <c r="I66" s="18" t="s">
        <v>379</v>
      </c>
      <c r="J66" s="18" t="s">
        <v>452</v>
      </c>
      <c r="K66" s="18" t="s">
        <v>280</v>
      </c>
      <c r="L66" s="18" t="s">
        <v>280</v>
      </c>
      <c r="M66" s="18" t="s">
        <v>280</v>
      </c>
      <c r="N66" s="18" t="s">
        <v>280</v>
      </c>
      <c r="O66" s="18" t="s">
        <v>280</v>
      </c>
      <c r="P66" s="18" t="s">
        <v>453</v>
      </c>
      <c r="Q66" s="21" t="s">
        <v>280</v>
      </c>
      <c r="R66" s="18" t="s">
        <v>1272</v>
      </c>
      <c r="S66" s="21" t="s">
        <v>1273</v>
      </c>
      <c r="T66" s="18" t="s">
        <v>402</v>
      </c>
      <c r="U66" s="18" t="s">
        <v>464</v>
      </c>
    </row>
    <row r="67" spans="1:21" ht="14.5" x14ac:dyDescent="0.35">
      <c r="A67" s="19" t="str">
        <f t="shared" ref="A67:A130" si="2">_xlfn.CONCAT(B67, E67,"(",F67,")")</f>
        <v>BotService/enterpriseChannels(botec-)</v>
      </c>
      <c r="B67" s="19" t="s">
        <v>458</v>
      </c>
      <c r="C67" s="19" t="s">
        <v>278</v>
      </c>
      <c r="D67" s="19" t="s">
        <v>279</v>
      </c>
      <c r="E67" s="19" t="s">
        <v>280</v>
      </c>
      <c r="F67" s="19" t="str">
        <f t="shared" ref="F67:F130" si="3">_xlfn.CONCAT(T67,U67)</f>
        <v>botec-</v>
      </c>
      <c r="G67" s="19" t="s">
        <v>78</v>
      </c>
      <c r="H67" s="19" t="s">
        <v>432</v>
      </c>
      <c r="I67" s="19" t="s">
        <v>379</v>
      </c>
      <c r="J67" s="19" t="s">
        <v>452</v>
      </c>
      <c r="K67" s="19" t="s">
        <v>280</v>
      </c>
      <c r="L67" s="19" t="s">
        <v>280</v>
      </c>
      <c r="M67" s="19" t="s">
        <v>280</v>
      </c>
      <c r="N67" s="19" t="s">
        <v>280</v>
      </c>
      <c r="O67" s="19" t="s">
        <v>280</v>
      </c>
      <c r="P67" s="19" t="s">
        <v>453</v>
      </c>
      <c r="Q67" s="20" t="s">
        <v>280</v>
      </c>
      <c r="R67" s="19" t="s">
        <v>1272</v>
      </c>
      <c r="S67" s="20" t="s">
        <v>1273</v>
      </c>
      <c r="T67" s="19" t="s">
        <v>459</v>
      </c>
      <c r="U67" s="19" t="s">
        <v>464</v>
      </c>
    </row>
    <row r="68" spans="1:21" ht="14.5" x14ac:dyDescent="0.35">
      <c r="A68" s="18" t="str">
        <f t="shared" si="2"/>
        <v>Cache/Redis(redis-)</v>
      </c>
      <c r="B68" s="18" t="s">
        <v>460</v>
      </c>
      <c r="C68" s="18" t="s">
        <v>278</v>
      </c>
      <c r="D68" s="18" t="s">
        <v>279</v>
      </c>
      <c r="E68" s="18" t="s">
        <v>280</v>
      </c>
      <c r="F68" s="18" t="str">
        <f t="shared" si="3"/>
        <v>redis-</v>
      </c>
      <c r="G68" s="18" t="s">
        <v>80</v>
      </c>
      <c r="H68" s="18" t="s">
        <v>285</v>
      </c>
      <c r="I68" s="18" t="s">
        <v>282</v>
      </c>
      <c r="J68" s="18" t="s">
        <v>462</v>
      </c>
      <c r="K68" s="18" t="s">
        <v>463</v>
      </c>
      <c r="L68" s="18" t="s">
        <v>280</v>
      </c>
      <c r="M68" s="18" t="s">
        <v>280</v>
      </c>
      <c r="N68" s="18" t="s">
        <v>280</v>
      </c>
      <c r="O68" s="18" t="s">
        <v>464</v>
      </c>
      <c r="P68" s="18" t="s">
        <v>465</v>
      </c>
      <c r="Q68" s="21" t="s">
        <v>280</v>
      </c>
      <c r="R68" s="18" t="s">
        <v>1272</v>
      </c>
      <c r="S68" s="21" t="s">
        <v>1273</v>
      </c>
      <c r="T68" s="18" t="s">
        <v>461</v>
      </c>
      <c r="U68" s="18" t="s">
        <v>464</v>
      </c>
    </row>
    <row r="69" spans="1:21" ht="14.5" x14ac:dyDescent="0.35">
      <c r="A69" s="19" t="str">
        <f t="shared" si="2"/>
        <v>Cache/Redis/firewallRules(rule-)</v>
      </c>
      <c r="B69" s="19" t="s">
        <v>466</v>
      </c>
      <c r="C69" s="19" t="s">
        <v>278</v>
      </c>
      <c r="D69" s="19" t="s">
        <v>279</v>
      </c>
      <c r="E69" s="19" t="s">
        <v>280</v>
      </c>
      <c r="F69" s="19" t="str">
        <f t="shared" si="3"/>
        <v>rule-</v>
      </c>
      <c r="G69" s="19" t="s">
        <v>468</v>
      </c>
      <c r="H69" s="19" t="s">
        <v>285</v>
      </c>
      <c r="I69" s="19" t="s">
        <v>289</v>
      </c>
      <c r="J69" s="19" t="s">
        <v>469</v>
      </c>
      <c r="K69" s="19" t="s">
        <v>280</v>
      </c>
      <c r="L69" s="19" t="s">
        <v>280</v>
      </c>
      <c r="M69" s="19" t="s">
        <v>280</v>
      </c>
      <c r="N69" s="19" t="s">
        <v>280</v>
      </c>
      <c r="O69" s="19" t="s">
        <v>280</v>
      </c>
      <c r="P69" s="19" t="s">
        <v>470</v>
      </c>
      <c r="Q69" s="20" t="s">
        <v>280</v>
      </c>
      <c r="R69" s="19" t="s">
        <v>1272</v>
      </c>
      <c r="S69" s="20" t="s">
        <v>1273</v>
      </c>
      <c r="T69" s="19" t="s">
        <v>467</v>
      </c>
      <c r="U69" s="19" t="s">
        <v>464</v>
      </c>
    </row>
    <row r="70" spans="1:21" ht="14.5" x14ac:dyDescent="0.35">
      <c r="A70" s="18" t="str">
        <f t="shared" si="2"/>
        <v>Cdn/profiles(cdnp-)</v>
      </c>
      <c r="B70" s="18" t="s">
        <v>471</v>
      </c>
      <c r="C70" s="18" t="s">
        <v>278</v>
      </c>
      <c r="D70" s="18" t="s">
        <v>279</v>
      </c>
      <c r="E70" s="18" t="s">
        <v>280</v>
      </c>
      <c r="F70" s="18" t="str">
        <f t="shared" si="3"/>
        <v>cdnp-</v>
      </c>
      <c r="G70" s="18" t="s">
        <v>78</v>
      </c>
      <c r="H70" s="18" t="s">
        <v>285</v>
      </c>
      <c r="I70" s="18" t="s">
        <v>473</v>
      </c>
      <c r="J70" s="18" t="s">
        <v>462</v>
      </c>
      <c r="K70" s="18" t="s">
        <v>280</v>
      </c>
      <c r="L70" s="18" t="s">
        <v>280</v>
      </c>
      <c r="M70" s="18" t="s">
        <v>280</v>
      </c>
      <c r="N70" s="18" t="s">
        <v>280</v>
      </c>
      <c r="O70" s="18" t="s">
        <v>280</v>
      </c>
      <c r="P70" s="18" t="s">
        <v>474</v>
      </c>
      <c r="Q70" s="21" t="s">
        <v>280</v>
      </c>
      <c r="R70" s="18" t="s">
        <v>1272</v>
      </c>
      <c r="S70" s="21" t="s">
        <v>1273</v>
      </c>
      <c r="T70" s="18" t="s">
        <v>472</v>
      </c>
      <c r="U70" s="18" t="s">
        <v>464</v>
      </c>
    </row>
    <row r="71" spans="1:21" ht="14.5" x14ac:dyDescent="0.35">
      <c r="A71" s="19" t="str">
        <f t="shared" si="2"/>
        <v>Cdn/profiles/endpoints(cdne-)</v>
      </c>
      <c r="B71" s="19" t="s">
        <v>475</v>
      </c>
      <c r="C71" s="19" t="s">
        <v>278</v>
      </c>
      <c r="D71" s="19" t="s">
        <v>279</v>
      </c>
      <c r="E71" s="19" t="s">
        <v>280</v>
      </c>
      <c r="F71" s="19" t="str">
        <f t="shared" si="3"/>
        <v>cdne-</v>
      </c>
      <c r="G71" s="19" t="s">
        <v>80</v>
      </c>
      <c r="H71" s="19" t="s">
        <v>285</v>
      </c>
      <c r="I71" s="19" t="s">
        <v>286</v>
      </c>
      <c r="J71" s="19" t="s">
        <v>462</v>
      </c>
      <c r="K71" s="19" t="s">
        <v>280</v>
      </c>
      <c r="L71" s="19" t="s">
        <v>280</v>
      </c>
      <c r="M71" s="19" t="s">
        <v>280</v>
      </c>
      <c r="N71" s="19" t="s">
        <v>280</v>
      </c>
      <c r="O71" s="19" t="s">
        <v>280</v>
      </c>
      <c r="P71" s="19" t="s">
        <v>477</v>
      </c>
      <c r="Q71" s="20" t="s">
        <v>280</v>
      </c>
      <c r="R71" s="19" t="s">
        <v>1272</v>
      </c>
      <c r="S71" s="20" t="s">
        <v>1273</v>
      </c>
      <c r="T71" s="19" t="s">
        <v>476</v>
      </c>
      <c r="U71" s="19" t="s">
        <v>464</v>
      </c>
    </row>
    <row r="72" spans="1:21" ht="14.5" x14ac:dyDescent="0.35">
      <c r="A72" s="18" t="str">
        <f t="shared" si="2"/>
        <v>CertificateRegistration/certificateOrders(cerco)</v>
      </c>
      <c r="B72" s="18" t="s">
        <v>478</v>
      </c>
      <c r="C72" s="18" t="s">
        <v>278</v>
      </c>
      <c r="D72" s="18" t="s">
        <v>279</v>
      </c>
      <c r="E72" s="18" t="s">
        <v>280</v>
      </c>
      <c r="F72" s="18" t="str">
        <f t="shared" si="3"/>
        <v>cerco</v>
      </c>
      <c r="G72" s="18" t="s">
        <v>78</v>
      </c>
      <c r="H72" s="18" t="s">
        <v>281</v>
      </c>
      <c r="I72" s="18" t="s">
        <v>480</v>
      </c>
      <c r="J72" s="18" t="s">
        <v>481</v>
      </c>
      <c r="K72" s="18" t="s">
        <v>280</v>
      </c>
      <c r="L72" s="18" t="s">
        <v>280</v>
      </c>
      <c r="M72" s="18" t="s">
        <v>280</v>
      </c>
      <c r="N72" s="18" t="s">
        <v>280</v>
      </c>
      <c r="O72" s="18" t="s">
        <v>280</v>
      </c>
      <c r="P72" s="18" t="s">
        <v>482</v>
      </c>
      <c r="Q72" s="21" t="s">
        <v>280</v>
      </c>
      <c r="R72" s="18" t="s">
        <v>1272</v>
      </c>
      <c r="S72" s="21" t="s">
        <v>1273</v>
      </c>
      <c r="T72" s="18" t="s">
        <v>479</v>
      </c>
      <c r="U72" s="18"/>
    </row>
    <row r="73" spans="1:21" ht="14.5" x14ac:dyDescent="0.35">
      <c r="A73" s="19" t="str">
        <f t="shared" si="2"/>
        <v>CognitiveServices/accounts(cog-)</v>
      </c>
      <c r="B73" s="19" t="s">
        <v>483</v>
      </c>
      <c r="C73" s="19" t="s">
        <v>278</v>
      </c>
      <c r="D73" s="19" t="s">
        <v>279</v>
      </c>
      <c r="E73" s="19" t="s">
        <v>280</v>
      </c>
      <c r="F73" s="19" t="str">
        <f t="shared" si="3"/>
        <v>cog-</v>
      </c>
      <c r="G73" s="19" t="s">
        <v>78</v>
      </c>
      <c r="H73" s="19" t="s">
        <v>432</v>
      </c>
      <c r="I73" s="19" t="s">
        <v>379</v>
      </c>
      <c r="J73" s="19" t="s">
        <v>462</v>
      </c>
      <c r="K73" s="19" t="s">
        <v>280</v>
      </c>
      <c r="L73" s="19" t="s">
        <v>280</v>
      </c>
      <c r="M73" s="19" t="s">
        <v>280</v>
      </c>
      <c r="N73" s="19" t="s">
        <v>280</v>
      </c>
      <c r="O73" s="19" t="s">
        <v>280</v>
      </c>
      <c r="P73" s="19" t="s">
        <v>485</v>
      </c>
      <c r="Q73" s="20" t="s">
        <v>280</v>
      </c>
      <c r="R73" s="19" t="s">
        <v>1272</v>
      </c>
      <c r="S73" s="20" t="s">
        <v>1273</v>
      </c>
      <c r="T73" s="19" t="s">
        <v>484</v>
      </c>
      <c r="U73" s="19" t="s">
        <v>464</v>
      </c>
    </row>
    <row r="74" spans="1:21" ht="14.5" x14ac:dyDescent="0.35">
      <c r="A74" s="18" t="str">
        <f t="shared" si="2"/>
        <v>Compute/availabilitySets(avail-)</v>
      </c>
      <c r="B74" s="18" t="s">
        <v>486</v>
      </c>
      <c r="C74" s="18" t="s">
        <v>487</v>
      </c>
      <c r="D74" s="18" t="s">
        <v>221</v>
      </c>
      <c r="E74" s="18" t="s">
        <v>280</v>
      </c>
      <c r="F74" s="18" t="str">
        <f t="shared" si="3"/>
        <v>avail-</v>
      </c>
      <c r="G74" s="18" t="s">
        <v>78</v>
      </c>
      <c r="H74" s="18" t="s">
        <v>285</v>
      </c>
      <c r="I74" s="18" t="s">
        <v>306</v>
      </c>
      <c r="J74" s="18" t="s">
        <v>489</v>
      </c>
      <c r="K74" s="18" t="s">
        <v>280</v>
      </c>
      <c r="L74" s="18" t="s">
        <v>280</v>
      </c>
      <c r="M74" s="18" t="s">
        <v>280</v>
      </c>
      <c r="N74" s="18" t="s">
        <v>280</v>
      </c>
      <c r="O74" s="18" t="s">
        <v>280</v>
      </c>
      <c r="P74" s="18" t="s">
        <v>490</v>
      </c>
      <c r="Q74" s="21" t="s">
        <v>280</v>
      </c>
      <c r="R74" s="18" t="s">
        <v>1270</v>
      </c>
      <c r="S74" s="21"/>
      <c r="T74" s="18" t="s">
        <v>488</v>
      </c>
      <c r="U74" s="18" t="s">
        <v>464</v>
      </c>
    </row>
    <row r="75" spans="1:21" ht="14.5" x14ac:dyDescent="0.35">
      <c r="A75" s="19" t="str">
        <f t="shared" si="2"/>
        <v>Compute/cloudServices(cld-)</v>
      </c>
      <c r="B75" s="19" t="s">
        <v>491</v>
      </c>
      <c r="C75" s="19" t="s">
        <v>280</v>
      </c>
      <c r="D75" s="19" t="s">
        <v>280</v>
      </c>
      <c r="E75" s="19" t="s">
        <v>280</v>
      </c>
      <c r="F75" s="19" t="str">
        <f t="shared" si="3"/>
        <v>cld-</v>
      </c>
      <c r="G75" s="19" t="s">
        <v>280</v>
      </c>
      <c r="H75" s="19" t="s">
        <v>280</v>
      </c>
      <c r="I75" s="19" t="s">
        <v>280</v>
      </c>
      <c r="J75" s="19" t="s">
        <v>280</v>
      </c>
      <c r="K75" s="19" t="s">
        <v>280</v>
      </c>
      <c r="L75" s="19" t="s">
        <v>280</v>
      </c>
      <c r="M75" s="19" t="s">
        <v>280</v>
      </c>
      <c r="N75" s="19" t="s">
        <v>280</v>
      </c>
      <c r="O75" s="19" t="s">
        <v>280</v>
      </c>
      <c r="P75" s="19" t="s">
        <v>280</v>
      </c>
      <c r="Q75" s="20" t="s">
        <v>280</v>
      </c>
      <c r="R75" s="19" t="s">
        <v>1268</v>
      </c>
      <c r="S75" s="20"/>
      <c r="T75" s="19" t="s">
        <v>492</v>
      </c>
      <c r="U75" s="19" t="s">
        <v>464</v>
      </c>
    </row>
    <row r="76" spans="1:21" ht="14.5" x14ac:dyDescent="0.35">
      <c r="A76" s="18" t="str">
        <f t="shared" si="2"/>
        <v>Compute/diskEncryptionSets(des-)</v>
      </c>
      <c r="B76" s="18" t="s">
        <v>493</v>
      </c>
      <c r="C76" s="18" t="s">
        <v>278</v>
      </c>
      <c r="D76" s="18" t="s">
        <v>279</v>
      </c>
      <c r="E76" s="18" t="s">
        <v>280</v>
      </c>
      <c r="F76" s="18" t="str">
        <f t="shared" si="3"/>
        <v>des-</v>
      </c>
      <c r="G76" s="18" t="s">
        <v>78</v>
      </c>
      <c r="H76" s="18" t="s">
        <v>285</v>
      </c>
      <c r="I76" s="18" t="s">
        <v>306</v>
      </c>
      <c r="J76" s="18" t="s">
        <v>494</v>
      </c>
      <c r="K76" s="18" t="s">
        <v>280</v>
      </c>
      <c r="L76" s="18" t="s">
        <v>280</v>
      </c>
      <c r="M76" s="18" t="s">
        <v>280</v>
      </c>
      <c r="N76" s="18" t="s">
        <v>280</v>
      </c>
      <c r="O76" s="18" t="s">
        <v>280</v>
      </c>
      <c r="P76" s="18" t="s">
        <v>495</v>
      </c>
      <c r="Q76" s="21" t="s">
        <v>280</v>
      </c>
      <c r="R76" s="18" t="s">
        <v>1272</v>
      </c>
      <c r="S76" s="21" t="s">
        <v>1273</v>
      </c>
      <c r="T76" s="18" t="s">
        <v>55</v>
      </c>
      <c r="U76" s="18" t="s">
        <v>464</v>
      </c>
    </row>
    <row r="77" spans="1:21" ht="14.5" x14ac:dyDescent="0.35">
      <c r="A77" s="19" t="str">
        <f t="shared" si="2"/>
        <v>Compute/disksOS Disk(osdisk)</v>
      </c>
      <c r="B77" s="19" t="s">
        <v>496</v>
      </c>
      <c r="C77" s="19" t="s">
        <v>278</v>
      </c>
      <c r="D77" s="19" t="s">
        <v>221</v>
      </c>
      <c r="E77" s="19" t="s">
        <v>497</v>
      </c>
      <c r="F77" s="19" t="str">
        <f t="shared" si="3"/>
        <v>osdisk</v>
      </c>
      <c r="G77" s="19" t="s">
        <v>78</v>
      </c>
      <c r="H77" s="19" t="s">
        <v>285</v>
      </c>
      <c r="I77" s="19" t="s">
        <v>306</v>
      </c>
      <c r="J77" s="19" t="s">
        <v>494</v>
      </c>
      <c r="K77" s="19" t="s">
        <v>280</v>
      </c>
      <c r="L77" s="19" t="s">
        <v>280</v>
      </c>
      <c r="M77" s="19" t="s">
        <v>280</v>
      </c>
      <c r="N77" s="19" t="s">
        <v>280</v>
      </c>
      <c r="O77" s="19" t="s">
        <v>280</v>
      </c>
      <c r="P77" s="19" t="s">
        <v>495</v>
      </c>
      <c r="Q77" s="20" t="s">
        <v>280</v>
      </c>
      <c r="R77" s="19" t="s">
        <v>1270</v>
      </c>
      <c r="S77" s="20"/>
      <c r="T77" s="19" t="s">
        <v>216</v>
      </c>
      <c r="U77" s="19"/>
    </row>
    <row r="78" spans="1:21" ht="14.5" x14ac:dyDescent="0.35">
      <c r="A78" s="18" t="str">
        <f t="shared" si="2"/>
        <v>Compute/disksData Disk(disk)</v>
      </c>
      <c r="B78" s="18" t="s">
        <v>496</v>
      </c>
      <c r="C78" s="18" t="s">
        <v>278</v>
      </c>
      <c r="D78" s="18" t="s">
        <v>221</v>
      </c>
      <c r="E78" s="18" t="s">
        <v>498</v>
      </c>
      <c r="F78" s="18" t="str">
        <f t="shared" si="3"/>
        <v>disk</v>
      </c>
      <c r="G78" s="18" t="s">
        <v>78</v>
      </c>
      <c r="H78" s="18" t="s">
        <v>285</v>
      </c>
      <c r="I78" s="18" t="s">
        <v>306</v>
      </c>
      <c r="J78" s="18" t="s">
        <v>494</v>
      </c>
      <c r="K78" s="18" t="s">
        <v>280</v>
      </c>
      <c r="L78" s="18" t="s">
        <v>280</v>
      </c>
      <c r="M78" s="18" t="s">
        <v>280</v>
      </c>
      <c r="N78" s="18" t="s">
        <v>280</v>
      </c>
      <c r="O78" s="18" t="s">
        <v>280</v>
      </c>
      <c r="P78" s="18" t="s">
        <v>495</v>
      </c>
      <c r="Q78" s="21" t="s">
        <v>280</v>
      </c>
      <c r="R78" s="18" t="s">
        <v>1270</v>
      </c>
      <c r="S78" s="21"/>
      <c r="T78" s="18" t="s">
        <v>217</v>
      </c>
      <c r="U78" s="18"/>
    </row>
    <row r="79" spans="1:21" ht="14.5" x14ac:dyDescent="0.35">
      <c r="A79" s="19" t="str">
        <f t="shared" si="2"/>
        <v>Compute/galleries(gal)</v>
      </c>
      <c r="B79" s="19" t="s">
        <v>499</v>
      </c>
      <c r="C79" s="19" t="s">
        <v>278</v>
      </c>
      <c r="D79" s="19" t="s">
        <v>279</v>
      </c>
      <c r="E79" s="19" t="s">
        <v>280</v>
      </c>
      <c r="F79" s="19" t="str">
        <f t="shared" si="3"/>
        <v>gal</v>
      </c>
      <c r="G79" s="19" t="s">
        <v>78</v>
      </c>
      <c r="H79" s="19" t="s">
        <v>285</v>
      </c>
      <c r="I79" s="19" t="s">
        <v>306</v>
      </c>
      <c r="J79" s="19" t="s">
        <v>500</v>
      </c>
      <c r="K79" s="19" t="s">
        <v>280</v>
      </c>
      <c r="L79" s="19" t="s">
        <v>280</v>
      </c>
      <c r="M79" s="19" t="s">
        <v>280</v>
      </c>
      <c r="N79" s="19" t="s">
        <v>280</v>
      </c>
      <c r="O79" s="19" t="s">
        <v>280</v>
      </c>
      <c r="P79" s="19" t="s">
        <v>501</v>
      </c>
      <c r="Q79" s="20" t="s">
        <v>280</v>
      </c>
      <c r="R79" s="19" t="s">
        <v>1272</v>
      </c>
      <c r="S79" s="20" t="s">
        <v>1273</v>
      </c>
      <c r="T79" s="19" t="s">
        <v>56</v>
      </c>
      <c r="U79" s="19"/>
    </row>
    <row r="80" spans="1:21" ht="14.5" x14ac:dyDescent="0.35">
      <c r="A80" s="18" t="str">
        <f t="shared" si="2"/>
        <v>Compute/galleries/applications(app-)</v>
      </c>
      <c r="B80" s="18" t="s">
        <v>502</v>
      </c>
      <c r="C80" s="18" t="s">
        <v>278</v>
      </c>
      <c r="D80" s="18" t="s">
        <v>279</v>
      </c>
      <c r="E80" s="18" t="s">
        <v>280</v>
      </c>
      <c r="F80" s="18" t="str">
        <f t="shared" si="3"/>
        <v>app-</v>
      </c>
      <c r="G80" s="18" t="s">
        <v>504</v>
      </c>
      <c r="H80" s="18" t="s">
        <v>285</v>
      </c>
      <c r="I80" s="18" t="s">
        <v>306</v>
      </c>
      <c r="J80" s="18" t="s">
        <v>505</v>
      </c>
      <c r="K80" s="18" t="s">
        <v>280</v>
      </c>
      <c r="L80" s="18" t="s">
        <v>280</v>
      </c>
      <c r="M80" s="18" t="s">
        <v>280</v>
      </c>
      <c r="N80" s="18" t="s">
        <v>280</v>
      </c>
      <c r="O80" s="18" t="s">
        <v>280</v>
      </c>
      <c r="P80" s="18" t="s">
        <v>506</v>
      </c>
      <c r="Q80" s="21" t="s">
        <v>280</v>
      </c>
      <c r="R80" s="18" t="s">
        <v>1272</v>
      </c>
      <c r="S80" s="21" t="s">
        <v>1273</v>
      </c>
      <c r="T80" s="18" t="s">
        <v>503</v>
      </c>
      <c r="U80" s="18" t="s">
        <v>464</v>
      </c>
    </row>
    <row r="81" spans="1:21" ht="14.5" x14ac:dyDescent="0.35">
      <c r="A81" s="19" t="str">
        <f t="shared" si="2"/>
        <v>Compute/galleries/applications/versions(apver-)</v>
      </c>
      <c r="B81" s="19" t="s">
        <v>507</v>
      </c>
      <c r="C81" s="19" t="s">
        <v>278</v>
      </c>
      <c r="D81" s="19" t="s">
        <v>279</v>
      </c>
      <c r="E81" s="19" t="s">
        <v>280</v>
      </c>
      <c r="F81" s="19" t="str">
        <f t="shared" si="3"/>
        <v>apver-</v>
      </c>
      <c r="G81" s="19" t="s">
        <v>509</v>
      </c>
      <c r="H81" s="19" t="s">
        <v>280</v>
      </c>
      <c r="I81" s="19" t="s">
        <v>280</v>
      </c>
      <c r="J81" s="19" t="s">
        <v>510</v>
      </c>
      <c r="K81" s="19" t="s">
        <v>280</v>
      </c>
      <c r="L81" s="19" t="s">
        <v>280</v>
      </c>
      <c r="M81" s="19" t="s">
        <v>280</v>
      </c>
      <c r="N81" s="19" t="s">
        <v>280</v>
      </c>
      <c r="O81" s="19" t="s">
        <v>280</v>
      </c>
      <c r="P81" s="19" t="s">
        <v>511</v>
      </c>
      <c r="Q81" s="20" t="s">
        <v>512</v>
      </c>
      <c r="R81" s="19" t="s">
        <v>1272</v>
      </c>
      <c r="S81" s="20" t="s">
        <v>1273</v>
      </c>
      <c r="T81" s="19" t="s">
        <v>508</v>
      </c>
      <c r="U81" s="19" t="s">
        <v>464</v>
      </c>
    </row>
    <row r="82" spans="1:21" ht="14.5" x14ac:dyDescent="0.35">
      <c r="A82" s="18" t="str">
        <f t="shared" si="2"/>
        <v>Compute/galleries/images(gimg-)</v>
      </c>
      <c r="B82" s="18" t="s">
        <v>513</v>
      </c>
      <c r="C82" s="18" t="s">
        <v>278</v>
      </c>
      <c r="D82" s="18" t="s">
        <v>279</v>
      </c>
      <c r="E82" s="18" t="s">
        <v>280</v>
      </c>
      <c r="F82" s="18" t="str">
        <f t="shared" si="3"/>
        <v>gimg-</v>
      </c>
      <c r="G82" s="18" t="s">
        <v>504</v>
      </c>
      <c r="H82" s="18" t="s">
        <v>285</v>
      </c>
      <c r="I82" s="18" t="s">
        <v>306</v>
      </c>
      <c r="J82" s="18" t="s">
        <v>515</v>
      </c>
      <c r="K82" s="18" t="s">
        <v>280</v>
      </c>
      <c r="L82" s="18" t="s">
        <v>280</v>
      </c>
      <c r="M82" s="18" t="s">
        <v>280</v>
      </c>
      <c r="N82" s="18" t="s">
        <v>280</v>
      </c>
      <c r="O82" s="18" t="s">
        <v>280</v>
      </c>
      <c r="P82" s="18" t="s">
        <v>516</v>
      </c>
      <c r="Q82" s="21" t="s">
        <v>280</v>
      </c>
      <c r="R82" s="18" t="s">
        <v>1272</v>
      </c>
      <c r="S82" s="21" t="s">
        <v>1273</v>
      </c>
      <c r="T82" s="18" t="s">
        <v>514</v>
      </c>
      <c r="U82" s="18" t="s">
        <v>464</v>
      </c>
    </row>
    <row r="83" spans="1:21" ht="14.5" x14ac:dyDescent="0.35">
      <c r="A83" s="19" t="str">
        <f t="shared" si="2"/>
        <v>Compute/galleries/images/versions(ver-)</v>
      </c>
      <c r="B83" s="19" t="s">
        <v>517</v>
      </c>
      <c r="C83" s="19" t="s">
        <v>278</v>
      </c>
      <c r="D83" s="19" t="s">
        <v>279</v>
      </c>
      <c r="E83" s="19" t="s">
        <v>280</v>
      </c>
      <c r="F83" s="19" t="str">
        <f t="shared" si="3"/>
        <v>ver-</v>
      </c>
      <c r="G83" s="19" t="s">
        <v>519</v>
      </c>
      <c r="H83" s="19" t="s">
        <v>280</v>
      </c>
      <c r="I83" s="19" t="s">
        <v>280</v>
      </c>
      <c r="J83" s="19" t="s">
        <v>510</v>
      </c>
      <c r="K83" s="19" t="s">
        <v>280</v>
      </c>
      <c r="L83" s="19" t="s">
        <v>280</v>
      </c>
      <c r="M83" s="19" t="s">
        <v>280</v>
      </c>
      <c r="N83" s="19" t="s">
        <v>280</v>
      </c>
      <c r="O83" s="19" t="s">
        <v>280</v>
      </c>
      <c r="P83" s="19" t="s">
        <v>511</v>
      </c>
      <c r="Q83" s="20" t="s">
        <v>512</v>
      </c>
      <c r="R83" s="19" t="s">
        <v>1272</v>
      </c>
      <c r="S83" s="20" t="s">
        <v>1273</v>
      </c>
      <c r="T83" s="19" t="s">
        <v>518</v>
      </c>
      <c r="U83" s="19" t="s">
        <v>464</v>
      </c>
    </row>
    <row r="84" spans="1:21" ht="14.5" x14ac:dyDescent="0.35">
      <c r="A84" s="18" t="str">
        <f t="shared" si="2"/>
        <v>Compute/images(cimg-)</v>
      </c>
      <c r="B84" s="18" t="s">
        <v>520</v>
      </c>
      <c r="C84" s="18" t="s">
        <v>278</v>
      </c>
      <c r="D84" s="18" t="s">
        <v>279</v>
      </c>
      <c r="E84" s="18" t="s">
        <v>280</v>
      </c>
      <c r="F84" s="18" t="str">
        <f t="shared" si="3"/>
        <v>cimg-</v>
      </c>
      <c r="G84" s="18" t="s">
        <v>78</v>
      </c>
      <c r="H84" s="18" t="s">
        <v>285</v>
      </c>
      <c r="I84" s="18" t="s">
        <v>306</v>
      </c>
      <c r="J84" s="18" t="s">
        <v>489</v>
      </c>
      <c r="K84" s="18" t="s">
        <v>280</v>
      </c>
      <c r="L84" s="18" t="s">
        <v>280</v>
      </c>
      <c r="M84" s="18" t="s">
        <v>280</v>
      </c>
      <c r="N84" s="18" t="s">
        <v>280</v>
      </c>
      <c r="O84" s="18" t="s">
        <v>280</v>
      </c>
      <c r="P84" s="18" t="s">
        <v>490</v>
      </c>
      <c r="Q84" s="21" t="s">
        <v>280</v>
      </c>
      <c r="R84" s="18" t="s">
        <v>1272</v>
      </c>
      <c r="S84" s="21" t="s">
        <v>1273</v>
      </c>
      <c r="T84" s="18" t="s">
        <v>521</v>
      </c>
      <c r="U84" s="18" t="s">
        <v>464</v>
      </c>
    </row>
    <row r="85" spans="1:21" ht="14.5" x14ac:dyDescent="0.35">
      <c r="A85" s="19" t="str">
        <f t="shared" si="2"/>
        <v>Compute/snapshots(snap-)</v>
      </c>
      <c r="B85" s="19" t="s">
        <v>522</v>
      </c>
      <c r="C85" s="19" t="s">
        <v>278</v>
      </c>
      <c r="D85" s="19" t="s">
        <v>221</v>
      </c>
      <c r="E85" s="19" t="s">
        <v>280</v>
      </c>
      <c r="F85" s="19" t="str">
        <f t="shared" si="3"/>
        <v>snap-</v>
      </c>
      <c r="G85" s="19" t="s">
        <v>78</v>
      </c>
      <c r="H85" s="19" t="s">
        <v>285</v>
      </c>
      <c r="I85" s="19" t="s">
        <v>306</v>
      </c>
      <c r="J85" s="19" t="s">
        <v>489</v>
      </c>
      <c r="K85" s="19" t="s">
        <v>280</v>
      </c>
      <c r="L85" s="19" t="s">
        <v>280</v>
      </c>
      <c r="M85" s="19" t="s">
        <v>280</v>
      </c>
      <c r="N85" s="19" t="s">
        <v>280</v>
      </c>
      <c r="O85" s="19" t="s">
        <v>280</v>
      </c>
      <c r="P85" s="19" t="s">
        <v>490</v>
      </c>
      <c r="Q85" s="20" t="s">
        <v>280</v>
      </c>
      <c r="R85" s="19" t="s">
        <v>1270</v>
      </c>
      <c r="S85" s="20"/>
      <c r="T85" s="19" t="s">
        <v>523</v>
      </c>
      <c r="U85" s="19" t="s">
        <v>464</v>
      </c>
    </row>
    <row r="86" spans="1:21" ht="14.5" x14ac:dyDescent="0.35">
      <c r="A86" s="18" t="str">
        <f t="shared" si="2"/>
        <v>Compute/virtualMachinesLinux(vm-)</v>
      </c>
      <c r="B86" s="18" t="s">
        <v>524</v>
      </c>
      <c r="C86" s="18" t="s">
        <v>278</v>
      </c>
      <c r="D86" s="18" t="s">
        <v>221</v>
      </c>
      <c r="E86" s="18" t="s">
        <v>525</v>
      </c>
      <c r="F86" s="18" t="str">
        <f t="shared" si="3"/>
        <v>vm-</v>
      </c>
      <c r="G86" s="18" t="s">
        <v>78</v>
      </c>
      <c r="H86" s="18" t="s">
        <v>285</v>
      </c>
      <c r="I86" s="18" t="s">
        <v>379</v>
      </c>
      <c r="J86" s="18" t="s">
        <v>280</v>
      </c>
      <c r="K86" s="18" t="s">
        <v>527</v>
      </c>
      <c r="L86" s="18" t="s">
        <v>528</v>
      </c>
      <c r="M86" s="18" t="s">
        <v>280</v>
      </c>
      <c r="N86" s="18" t="s">
        <v>529</v>
      </c>
      <c r="O86" s="18" t="s">
        <v>280</v>
      </c>
      <c r="P86" s="18" t="s">
        <v>530</v>
      </c>
      <c r="Q86" s="21" t="s">
        <v>280</v>
      </c>
      <c r="R86" s="18" t="s">
        <v>1270</v>
      </c>
      <c r="S86" s="21"/>
      <c r="T86" s="18" t="s">
        <v>526</v>
      </c>
      <c r="U86" s="18" t="s">
        <v>464</v>
      </c>
    </row>
    <row r="87" spans="1:21" ht="14.5" x14ac:dyDescent="0.35">
      <c r="A87" s="19" t="str">
        <f t="shared" si="2"/>
        <v>Compute/virtualMachinesWindows(vm)</v>
      </c>
      <c r="B87" s="19" t="s">
        <v>524</v>
      </c>
      <c r="C87" s="19" t="s">
        <v>278</v>
      </c>
      <c r="D87" s="19" t="s">
        <v>221</v>
      </c>
      <c r="E87" s="19" t="s">
        <v>531</v>
      </c>
      <c r="F87" s="19" t="str">
        <f t="shared" si="3"/>
        <v>vm</v>
      </c>
      <c r="G87" s="19" t="s">
        <v>78</v>
      </c>
      <c r="H87" s="19" t="s">
        <v>285</v>
      </c>
      <c r="I87" s="19" t="s">
        <v>532</v>
      </c>
      <c r="J87" s="19" t="s">
        <v>280</v>
      </c>
      <c r="K87" s="19" t="s">
        <v>533</v>
      </c>
      <c r="L87" s="19" t="s">
        <v>534</v>
      </c>
      <c r="M87" s="19" t="s">
        <v>280</v>
      </c>
      <c r="N87" s="19" t="s">
        <v>464</v>
      </c>
      <c r="O87" s="19" t="s">
        <v>280</v>
      </c>
      <c r="P87" s="19" t="s">
        <v>535</v>
      </c>
      <c r="Q87" s="20" t="s">
        <v>280</v>
      </c>
      <c r="R87" s="19" t="s">
        <v>1270</v>
      </c>
      <c r="S87" s="20"/>
      <c r="T87" s="19" t="s">
        <v>526</v>
      </c>
      <c r="U87" s="19"/>
    </row>
    <row r="88" spans="1:21" ht="14.5" x14ac:dyDescent="0.35">
      <c r="A88" s="18" t="str">
        <f t="shared" si="2"/>
        <v>Compute/virtualMachineScaleSetsLinux(vmss-)</v>
      </c>
      <c r="B88" s="18" t="s">
        <v>536</v>
      </c>
      <c r="C88" s="18" t="s">
        <v>278</v>
      </c>
      <c r="D88" s="18" t="s">
        <v>221</v>
      </c>
      <c r="E88" s="18" t="s">
        <v>525</v>
      </c>
      <c r="F88" s="18" t="str">
        <f t="shared" si="3"/>
        <v>vmss-</v>
      </c>
      <c r="G88" s="18" t="s">
        <v>78</v>
      </c>
      <c r="H88" s="18" t="s">
        <v>285</v>
      </c>
      <c r="I88" s="18" t="s">
        <v>379</v>
      </c>
      <c r="J88" s="18" t="s">
        <v>280</v>
      </c>
      <c r="K88" s="18" t="s">
        <v>538</v>
      </c>
      <c r="L88" s="18" t="s">
        <v>539</v>
      </c>
      <c r="M88" s="18" t="s">
        <v>540</v>
      </c>
      <c r="N88" s="18" t="s">
        <v>529</v>
      </c>
      <c r="O88" s="18" t="s">
        <v>280</v>
      </c>
      <c r="P88" s="18" t="s">
        <v>541</v>
      </c>
      <c r="Q88" s="21" t="s">
        <v>280</v>
      </c>
      <c r="R88" s="18" t="s">
        <v>1270</v>
      </c>
      <c r="S88" s="21"/>
      <c r="T88" s="18" t="s">
        <v>537</v>
      </c>
      <c r="U88" s="18" t="s">
        <v>464</v>
      </c>
    </row>
    <row r="89" spans="1:21" ht="14.5" x14ac:dyDescent="0.35">
      <c r="A89" s="19" t="str">
        <f t="shared" si="2"/>
        <v>Compute/virtualMachineScaleSetsWindows(vmss)</v>
      </c>
      <c r="B89" s="19" t="s">
        <v>536</v>
      </c>
      <c r="C89" s="19" t="s">
        <v>278</v>
      </c>
      <c r="D89" s="19" t="s">
        <v>221</v>
      </c>
      <c r="E89" s="19" t="s">
        <v>531</v>
      </c>
      <c r="F89" s="19" t="str">
        <f t="shared" si="3"/>
        <v>vmss</v>
      </c>
      <c r="G89" s="19" t="s">
        <v>78</v>
      </c>
      <c r="H89" s="19" t="s">
        <v>285</v>
      </c>
      <c r="I89" s="19" t="s">
        <v>532</v>
      </c>
      <c r="J89" s="19" t="s">
        <v>280</v>
      </c>
      <c r="K89" s="19" t="s">
        <v>538</v>
      </c>
      <c r="L89" s="19" t="s">
        <v>539</v>
      </c>
      <c r="M89" s="19" t="s">
        <v>540</v>
      </c>
      <c r="N89" s="19" t="s">
        <v>529</v>
      </c>
      <c r="O89" s="19" t="s">
        <v>280</v>
      </c>
      <c r="P89" s="19" t="s">
        <v>542</v>
      </c>
      <c r="Q89" s="20" t="s">
        <v>280</v>
      </c>
      <c r="R89" s="19" t="s">
        <v>1270</v>
      </c>
      <c r="S89" s="20"/>
      <c r="T89" s="19" t="s">
        <v>537</v>
      </c>
      <c r="U89" s="19"/>
    </row>
    <row r="90" spans="1:21" ht="14.5" x14ac:dyDescent="0.35">
      <c r="A90" s="18" t="str">
        <f t="shared" si="2"/>
        <v>ContainerInstance/containerGroups(ci-)</v>
      </c>
      <c r="B90" s="18" t="s">
        <v>543</v>
      </c>
      <c r="C90" s="18" t="s">
        <v>278</v>
      </c>
      <c r="D90" s="18" t="s">
        <v>279</v>
      </c>
      <c r="E90" s="18" t="s">
        <v>280</v>
      </c>
      <c r="F90" s="18" t="str">
        <f t="shared" si="3"/>
        <v>ci-</v>
      </c>
      <c r="G90" s="18" t="s">
        <v>78</v>
      </c>
      <c r="H90" s="18" t="s">
        <v>285</v>
      </c>
      <c r="I90" s="18" t="s">
        <v>282</v>
      </c>
      <c r="J90" s="18" t="s">
        <v>544</v>
      </c>
      <c r="K90" s="18" t="s">
        <v>545</v>
      </c>
      <c r="L90" s="18" t="s">
        <v>280</v>
      </c>
      <c r="M90" s="18" t="s">
        <v>464</v>
      </c>
      <c r="N90" s="18" t="s">
        <v>464</v>
      </c>
      <c r="O90" s="18" t="s">
        <v>464</v>
      </c>
      <c r="P90" s="18" t="s">
        <v>546</v>
      </c>
      <c r="Q90" s="21" t="s">
        <v>280</v>
      </c>
      <c r="R90" s="18" t="s">
        <v>1272</v>
      </c>
      <c r="S90" s="21" t="s">
        <v>1273</v>
      </c>
      <c r="T90" s="18" t="s">
        <v>59</v>
      </c>
      <c r="U90" s="18" t="s">
        <v>464</v>
      </c>
    </row>
    <row r="91" spans="1:21" ht="14.5" x14ac:dyDescent="0.35">
      <c r="A91" s="19" t="str">
        <f t="shared" si="2"/>
        <v>ContainerRegistry/registries(cr)</v>
      </c>
      <c r="B91" s="19" t="s">
        <v>547</v>
      </c>
      <c r="C91" s="19" t="s">
        <v>278</v>
      </c>
      <c r="D91" s="19" t="s">
        <v>279</v>
      </c>
      <c r="E91" s="19" t="s">
        <v>280</v>
      </c>
      <c r="F91" s="19" t="str">
        <f t="shared" si="3"/>
        <v>cr</v>
      </c>
      <c r="G91" s="19" t="s">
        <v>80</v>
      </c>
      <c r="H91" s="19" t="s">
        <v>359</v>
      </c>
      <c r="I91" s="19" t="s">
        <v>286</v>
      </c>
      <c r="J91" s="19" t="s">
        <v>481</v>
      </c>
      <c r="K91" s="19" t="s">
        <v>280</v>
      </c>
      <c r="L91" s="19" t="s">
        <v>280</v>
      </c>
      <c r="M91" s="19" t="s">
        <v>280</v>
      </c>
      <c r="N91" s="19" t="s">
        <v>280</v>
      </c>
      <c r="O91" s="19" t="s">
        <v>280</v>
      </c>
      <c r="P91" s="19" t="s">
        <v>548</v>
      </c>
      <c r="Q91" s="20" t="s">
        <v>280</v>
      </c>
      <c r="R91" s="19" t="s">
        <v>1272</v>
      </c>
      <c r="S91" s="20" t="s">
        <v>1273</v>
      </c>
      <c r="T91" s="19" t="s">
        <v>58</v>
      </c>
      <c r="U91" s="19"/>
    </row>
    <row r="92" spans="1:21" ht="14.5" x14ac:dyDescent="0.35">
      <c r="A92" s="18" t="str">
        <f t="shared" si="2"/>
        <v>ContainerRegistry/registries/buildTasks(btsk-)</v>
      </c>
      <c r="B92" s="18" t="s">
        <v>549</v>
      </c>
      <c r="C92" s="18" t="s">
        <v>278</v>
      </c>
      <c r="D92" s="18" t="s">
        <v>279</v>
      </c>
      <c r="E92" s="18" t="s">
        <v>280</v>
      </c>
      <c r="F92" s="18" t="str">
        <f t="shared" si="3"/>
        <v>btsk-</v>
      </c>
      <c r="G92" s="18" t="s">
        <v>551</v>
      </c>
      <c r="H92" s="18" t="s">
        <v>359</v>
      </c>
      <c r="I92" s="18" t="s">
        <v>286</v>
      </c>
      <c r="J92" s="18" t="s">
        <v>481</v>
      </c>
      <c r="K92" s="18" t="s">
        <v>280</v>
      </c>
      <c r="L92" s="18" t="s">
        <v>280</v>
      </c>
      <c r="M92" s="18" t="s">
        <v>280</v>
      </c>
      <c r="N92" s="18" t="s">
        <v>280</v>
      </c>
      <c r="O92" s="18" t="s">
        <v>280</v>
      </c>
      <c r="P92" s="18" t="s">
        <v>548</v>
      </c>
      <c r="Q92" s="21" t="s">
        <v>280</v>
      </c>
      <c r="R92" s="18" t="s">
        <v>1272</v>
      </c>
      <c r="S92" s="21" t="s">
        <v>1273</v>
      </c>
      <c r="T92" s="18" t="s">
        <v>550</v>
      </c>
      <c r="U92" s="18" t="s">
        <v>464</v>
      </c>
    </row>
    <row r="93" spans="1:21" ht="14.5" x14ac:dyDescent="0.35">
      <c r="A93" s="19" t="str">
        <f t="shared" si="2"/>
        <v>ContainerRegistry/registries/buildTasks/steps(step-)</v>
      </c>
      <c r="B93" s="19" t="s">
        <v>552</v>
      </c>
      <c r="C93" s="19" t="s">
        <v>278</v>
      </c>
      <c r="D93" s="19" t="s">
        <v>279</v>
      </c>
      <c r="E93" s="19" t="s">
        <v>280</v>
      </c>
      <c r="F93" s="19" t="str">
        <f t="shared" si="3"/>
        <v>step-</v>
      </c>
      <c r="G93" s="19" t="s">
        <v>554</v>
      </c>
      <c r="H93" s="19" t="s">
        <v>359</v>
      </c>
      <c r="I93" s="19" t="s">
        <v>286</v>
      </c>
      <c r="J93" s="19" t="s">
        <v>481</v>
      </c>
      <c r="K93" s="19" t="s">
        <v>280</v>
      </c>
      <c r="L93" s="19" t="s">
        <v>280</v>
      </c>
      <c r="M93" s="19" t="s">
        <v>280</v>
      </c>
      <c r="N93" s="19" t="s">
        <v>280</v>
      </c>
      <c r="O93" s="19" t="s">
        <v>280</v>
      </c>
      <c r="P93" s="19" t="s">
        <v>548</v>
      </c>
      <c r="Q93" s="20" t="s">
        <v>280</v>
      </c>
      <c r="R93" s="19" t="s">
        <v>1272</v>
      </c>
      <c r="S93" s="20" t="s">
        <v>1273</v>
      </c>
      <c r="T93" s="19" t="s">
        <v>553</v>
      </c>
      <c r="U93" s="19" t="s">
        <v>464</v>
      </c>
    </row>
    <row r="94" spans="1:21" ht="14.5" x14ac:dyDescent="0.35">
      <c r="A94" s="18" t="str">
        <f t="shared" si="2"/>
        <v>ContainerRegistry/registries/replications(rep-)</v>
      </c>
      <c r="B94" s="18" t="s">
        <v>555</v>
      </c>
      <c r="C94" s="18" t="s">
        <v>278</v>
      </c>
      <c r="D94" s="18" t="s">
        <v>279</v>
      </c>
      <c r="E94" s="18" t="s">
        <v>280</v>
      </c>
      <c r="F94" s="18" t="str">
        <f t="shared" si="3"/>
        <v>rep-</v>
      </c>
      <c r="G94" s="18" t="s">
        <v>551</v>
      </c>
      <c r="H94" s="18" t="s">
        <v>359</v>
      </c>
      <c r="I94" s="18" t="s">
        <v>286</v>
      </c>
      <c r="J94" s="18" t="s">
        <v>481</v>
      </c>
      <c r="K94" s="18" t="s">
        <v>280</v>
      </c>
      <c r="L94" s="18" t="s">
        <v>280</v>
      </c>
      <c r="M94" s="18" t="s">
        <v>280</v>
      </c>
      <c r="N94" s="18" t="s">
        <v>280</v>
      </c>
      <c r="O94" s="18" t="s">
        <v>280</v>
      </c>
      <c r="P94" s="18" t="s">
        <v>548</v>
      </c>
      <c r="Q94" s="21" t="s">
        <v>280</v>
      </c>
      <c r="R94" s="18" t="s">
        <v>1272</v>
      </c>
      <c r="S94" s="21" t="s">
        <v>1273</v>
      </c>
      <c r="T94" s="18" t="s">
        <v>556</v>
      </c>
      <c r="U94" s="18" t="s">
        <v>464</v>
      </c>
    </row>
    <row r="95" spans="1:21" ht="14.5" x14ac:dyDescent="0.35">
      <c r="A95" s="19" t="str">
        <f t="shared" si="2"/>
        <v>ContainerRegistry/registries/scopeMaps(scmap-)</v>
      </c>
      <c r="B95" s="19" t="s">
        <v>557</v>
      </c>
      <c r="C95" s="19" t="s">
        <v>278</v>
      </c>
      <c r="D95" s="19" t="s">
        <v>279</v>
      </c>
      <c r="E95" s="19" t="s">
        <v>280</v>
      </c>
      <c r="F95" s="19" t="str">
        <f t="shared" si="3"/>
        <v>scmap-</v>
      </c>
      <c r="G95" s="19" t="s">
        <v>551</v>
      </c>
      <c r="H95" s="19" t="s">
        <v>359</v>
      </c>
      <c r="I95" s="19" t="s">
        <v>286</v>
      </c>
      <c r="J95" s="19" t="s">
        <v>559</v>
      </c>
      <c r="K95" s="19" t="s">
        <v>280</v>
      </c>
      <c r="L95" s="19" t="s">
        <v>280</v>
      </c>
      <c r="M95" s="19" t="s">
        <v>280</v>
      </c>
      <c r="N95" s="19" t="s">
        <v>280</v>
      </c>
      <c r="O95" s="19" t="s">
        <v>280</v>
      </c>
      <c r="P95" s="19" t="s">
        <v>361</v>
      </c>
      <c r="Q95" s="20" t="s">
        <v>280</v>
      </c>
      <c r="R95" s="19" t="s">
        <v>1272</v>
      </c>
      <c r="S95" s="20" t="s">
        <v>1273</v>
      </c>
      <c r="T95" s="19" t="s">
        <v>558</v>
      </c>
      <c r="U95" s="19" t="s">
        <v>464</v>
      </c>
    </row>
    <row r="96" spans="1:21" ht="14.5" x14ac:dyDescent="0.35">
      <c r="A96" s="18" t="str">
        <f t="shared" si="2"/>
        <v>ContainerRegistry/registries/tasks(task-)</v>
      </c>
      <c r="B96" s="18" t="s">
        <v>560</v>
      </c>
      <c r="C96" s="18" t="s">
        <v>278</v>
      </c>
      <c r="D96" s="18" t="s">
        <v>279</v>
      </c>
      <c r="E96" s="18" t="s">
        <v>280</v>
      </c>
      <c r="F96" s="18" t="str">
        <f t="shared" si="3"/>
        <v>task-</v>
      </c>
      <c r="G96" s="18" t="s">
        <v>551</v>
      </c>
      <c r="H96" s="18" t="s">
        <v>359</v>
      </c>
      <c r="I96" s="18" t="s">
        <v>286</v>
      </c>
      <c r="J96" s="18" t="s">
        <v>559</v>
      </c>
      <c r="K96" s="18" t="s">
        <v>280</v>
      </c>
      <c r="L96" s="18" t="s">
        <v>280</v>
      </c>
      <c r="M96" s="18" t="s">
        <v>280</v>
      </c>
      <c r="N96" s="18" t="s">
        <v>280</v>
      </c>
      <c r="O96" s="18" t="s">
        <v>280</v>
      </c>
      <c r="P96" s="18" t="s">
        <v>361</v>
      </c>
      <c r="Q96" s="21" t="s">
        <v>280</v>
      </c>
      <c r="R96" s="18" t="s">
        <v>1272</v>
      </c>
      <c r="S96" s="21" t="s">
        <v>1273</v>
      </c>
      <c r="T96" s="18" t="s">
        <v>561</v>
      </c>
      <c r="U96" s="18" t="s">
        <v>464</v>
      </c>
    </row>
    <row r="97" spans="1:21" ht="14.5" x14ac:dyDescent="0.35">
      <c r="A97" s="19" t="str">
        <f t="shared" si="2"/>
        <v>ContainerRegistry/registries/tokens(tokn-)</v>
      </c>
      <c r="B97" s="19" t="s">
        <v>562</v>
      </c>
      <c r="C97" s="19" t="s">
        <v>278</v>
      </c>
      <c r="D97" s="19" t="s">
        <v>279</v>
      </c>
      <c r="E97" s="19" t="s">
        <v>280</v>
      </c>
      <c r="F97" s="19" t="str">
        <f t="shared" si="3"/>
        <v>tokn-</v>
      </c>
      <c r="G97" s="19" t="s">
        <v>551</v>
      </c>
      <c r="H97" s="19" t="s">
        <v>359</v>
      </c>
      <c r="I97" s="19" t="s">
        <v>286</v>
      </c>
      <c r="J97" s="19" t="s">
        <v>559</v>
      </c>
      <c r="K97" s="19" t="s">
        <v>280</v>
      </c>
      <c r="L97" s="19" t="s">
        <v>280</v>
      </c>
      <c r="M97" s="19" t="s">
        <v>280</v>
      </c>
      <c r="N97" s="19" t="s">
        <v>280</v>
      </c>
      <c r="O97" s="19" t="s">
        <v>280</v>
      </c>
      <c r="P97" s="19" t="s">
        <v>361</v>
      </c>
      <c r="Q97" s="20" t="s">
        <v>280</v>
      </c>
      <c r="R97" s="19" t="s">
        <v>1272</v>
      </c>
      <c r="S97" s="20" t="s">
        <v>1273</v>
      </c>
      <c r="T97" s="19" t="s">
        <v>563</v>
      </c>
      <c r="U97" s="19" t="s">
        <v>464</v>
      </c>
    </row>
    <row r="98" spans="1:21" ht="14.5" x14ac:dyDescent="0.35">
      <c r="A98" s="18" t="str">
        <f t="shared" si="2"/>
        <v>ContainerRegistry/registries/webhooks(webhk-)</v>
      </c>
      <c r="B98" s="18" t="s">
        <v>564</v>
      </c>
      <c r="C98" s="18" t="s">
        <v>278</v>
      </c>
      <c r="D98" s="18" t="s">
        <v>279</v>
      </c>
      <c r="E98" s="18" t="s">
        <v>280</v>
      </c>
      <c r="F98" s="18" t="str">
        <f t="shared" si="3"/>
        <v>webhk-</v>
      </c>
      <c r="G98" s="18" t="s">
        <v>551</v>
      </c>
      <c r="H98" s="18" t="s">
        <v>359</v>
      </c>
      <c r="I98" s="18" t="s">
        <v>286</v>
      </c>
      <c r="J98" s="18" t="s">
        <v>481</v>
      </c>
      <c r="K98" s="18" t="s">
        <v>280</v>
      </c>
      <c r="L98" s="18" t="s">
        <v>280</v>
      </c>
      <c r="M98" s="18" t="s">
        <v>280</v>
      </c>
      <c r="N98" s="18" t="s">
        <v>280</v>
      </c>
      <c r="O98" s="18" t="s">
        <v>280</v>
      </c>
      <c r="P98" s="18" t="s">
        <v>548</v>
      </c>
      <c r="Q98" s="21" t="s">
        <v>280</v>
      </c>
      <c r="R98" s="18" t="s">
        <v>1272</v>
      </c>
      <c r="S98" s="21" t="s">
        <v>1273</v>
      </c>
      <c r="T98" s="18" t="s">
        <v>565</v>
      </c>
      <c r="U98" s="18" t="s">
        <v>464</v>
      </c>
    </row>
    <row r="99" spans="1:21" ht="14.5" x14ac:dyDescent="0.35">
      <c r="A99" s="19" t="str">
        <f t="shared" si="2"/>
        <v>ContainerService/managedClusters(aks-)</v>
      </c>
      <c r="B99" s="19" t="s">
        <v>566</v>
      </c>
      <c r="C99" s="19" t="s">
        <v>278</v>
      </c>
      <c r="D99" s="19" t="s">
        <v>279</v>
      </c>
      <c r="E99" s="19" t="s">
        <v>280</v>
      </c>
      <c r="F99" s="19" t="str">
        <f t="shared" si="3"/>
        <v>aks-</v>
      </c>
      <c r="G99" s="19" t="s">
        <v>78</v>
      </c>
      <c r="H99" s="19" t="s">
        <v>285</v>
      </c>
      <c r="I99" s="19" t="s">
        <v>282</v>
      </c>
      <c r="J99" s="19" t="s">
        <v>568</v>
      </c>
      <c r="K99" s="19" t="s">
        <v>280</v>
      </c>
      <c r="L99" s="19" t="s">
        <v>280</v>
      </c>
      <c r="M99" s="19" t="s">
        <v>280</v>
      </c>
      <c r="N99" s="19" t="s">
        <v>280</v>
      </c>
      <c r="O99" s="19" t="s">
        <v>280</v>
      </c>
      <c r="P99" s="19" t="s">
        <v>569</v>
      </c>
      <c r="Q99" s="20" t="s">
        <v>280</v>
      </c>
      <c r="R99" s="19" t="s">
        <v>1272</v>
      </c>
      <c r="S99" s="20" t="s">
        <v>1273</v>
      </c>
      <c r="T99" s="19" t="s">
        <v>567</v>
      </c>
      <c r="U99" s="19" t="s">
        <v>464</v>
      </c>
    </row>
    <row r="100" spans="1:21" ht="14.5" x14ac:dyDescent="0.35">
      <c r="A100" s="18" t="str">
        <f t="shared" si="2"/>
        <v>ContainerServiceopenShiftManagedClusters(osmc)</v>
      </c>
      <c r="B100" s="18" t="s">
        <v>570</v>
      </c>
      <c r="C100" s="18" t="s">
        <v>278</v>
      </c>
      <c r="D100" s="18" t="s">
        <v>279</v>
      </c>
      <c r="E100" s="18" t="s">
        <v>280</v>
      </c>
      <c r="F100" s="18" t="str">
        <f t="shared" si="3"/>
        <v>osmc</v>
      </c>
      <c r="G100" s="18" t="s">
        <v>78</v>
      </c>
      <c r="H100" s="18" t="s">
        <v>285</v>
      </c>
      <c r="I100" s="18" t="s">
        <v>480</v>
      </c>
      <c r="J100" s="18" t="s">
        <v>481</v>
      </c>
      <c r="K100" s="18" t="s">
        <v>280</v>
      </c>
      <c r="L100" s="18" t="s">
        <v>280</v>
      </c>
      <c r="M100" s="18" t="s">
        <v>280</v>
      </c>
      <c r="N100" s="18" t="s">
        <v>280</v>
      </c>
      <c r="O100" s="18" t="s">
        <v>280</v>
      </c>
      <c r="P100" s="18" t="s">
        <v>572</v>
      </c>
      <c r="Q100" s="21" t="s">
        <v>280</v>
      </c>
      <c r="R100" s="18" t="s">
        <v>1272</v>
      </c>
      <c r="S100" s="21" t="s">
        <v>1273</v>
      </c>
      <c r="T100" s="18" t="s">
        <v>571</v>
      </c>
      <c r="U100" s="18"/>
    </row>
    <row r="101" spans="1:21" ht="14.5" x14ac:dyDescent="0.35">
      <c r="A101" s="19" t="str">
        <f t="shared" si="2"/>
        <v>CustomerInsights/hubs(cihub)</v>
      </c>
      <c r="B101" s="19" t="s">
        <v>573</v>
      </c>
      <c r="C101" s="19" t="s">
        <v>278</v>
      </c>
      <c r="D101" s="19" t="s">
        <v>279</v>
      </c>
      <c r="E101" s="19" t="s">
        <v>280</v>
      </c>
      <c r="F101" s="19" t="str">
        <f t="shared" si="3"/>
        <v>cihub</v>
      </c>
      <c r="G101" s="19" t="s">
        <v>78</v>
      </c>
      <c r="H101" s="19" t="s">
        <v>285</v>
      </c>
      <c r="I101" s="19" t="s">
        <v>379</v>
      </c>
      <c r="J101" s="19" t="s">
        <v>575</v>
      </c>
      <c r="K101" s="19" t="s">
        <v>280</v>
      </c>
      <c r="L101" s="19" t="s">
        <v>280</v>
      </c>
      <c r="M101" s="19" t="s">
        <v>280</v>
      </c>
      <c r="N101" s="19" t="s">
        <v>280</v>
      </c>
      <c r="O101" s="19" t="s">
        <v>280</v>
      </c>
      <c r="P101" s="19" t="s">
        <v>576</v>
      </c>
      <c r="Q101" s="20" t="s">
        <v>280</v>
      </c>
      <c r="R101" s="19" t="s">
        <v>1272</v>
      </c>
      <c r="S101" s="20" t="s">
        <v>1273</v>
      </c>
      <c r="T101" s="19" t="s">
        <v>574</v>
      </c>
      <c r="U101" s="19"/>
    </row>
    <row r="102" spans="1:21" ht="14.5" x14ac:dyDescent="0.35">
      <c r="A102" s="18" t="str">
        <f t="shared" si="2"/>
        <v>CustomerInsights/hubs/authorizationPolicies(authp)</v>
      </c>
      <c r="B102" s="18" t="s">
        <v>577</v>
      </c>
      <c r="C102" s="18" t="s">
        <v>278</v>
      </c>
      <c r="D102" s="18" t="s">
        <v>279</v>
      </c>
      <c r="E102" s="18" t="s">
        <v>280</v>
      </c>
      <c r="F102" s="18" t="str">
        <f t="shared" si="3"/>
        <v>authp</v>
      </c>
      <c r="G102" s="18" t="s">
        <v>579</v>
      </c>
      <c r="H102" s="18" t="s">
        <v>285</v>
      </c>
      <c r="I102" s="18" t="s">
        <v>286</v>
      </c>
      <c r="J102" s="18" t="s">
        <v>580</v>
      </c>
      <c r="K102" s="18" t="s">
        <v>280</v>
      </c>
      <c r="L102" s="18" t="s">
        <v>280</v>
      </c>
      <c r="M102" s="18" t="s">
        <v>280</v>
      </c>
      <c r="N102" s="18" t="s">
        <v>280</v>
      </c>
      <c r="O102" s="18" t="s">
        <v>280</v>
      </c>
      <c r="P102" s="18" t="s">
        <v>581</v>
      </c>
      <c r="Q102" s="21" t="s">
        <v>280</v>
      </c>
      <c r="R102" s="18" t="s">
        <v>1272</v>
      </c>
      <c r="S102" s="21" t="s">
        <v>1273</v>
      </c>
      <c r="T102" s="18" t="s">
        <v>578</v>
      </c>
      <c r="U102" s="18"/>
    </row>
    <row r="103" spans="1:21" ht="14.5" x14ac:dyDescent="0.35">
      <c r="A103" s="19" t="str">
        <f t="shared" si="2"/>
        <v>CustomerInsights/hubs/connectors(conn)</v>
      </c>
      <c r="B103" s="19" t="s">
        <v>582</v>
      </c>
      <c r="C103" s="19" t="s">
        <v>278</v>
      </c>
      <c r="D103" s="19" t="s">
        <v>279</v>
      </c>
      <c r="E103" s="19" t="s">
        <v>280</v>
      </c>
      <c r="F103" s="19" t="str">
        <f t="shared" si="3"/>
        <v>conn</v>
      </c>
      <c r="G103" s="19" t="s">
        <v>579</v>
      </c>
      <c r="H103" s="19" t="s">
        <v>285</v>
      </c>
      <c r="I103" s="19" t="s">
        <v>382</v>
      </c>
      <c r="J103" s="19" t="s">
        <v>583</v>
      </c>
      <c r="K103" s="19" t="s">
        <v>280</v>
      </c>
      <c r="L103" s="19" t="s">
        <v>280</v>
      </c>
      <c r="M103" s="19" t="s">
        <v>280</v>
      </c>
      <c r="N103" s="19" t="s">
        <v>280</v>
      </c>
      <c r="O103" s="19" t="s">
        <v>280</v>
      </c>
      <c r="P103" s="19" t="s">
        <v>584</v>
      </c>
      <c r="Q103" s="20" t="s">
        <v>280</v>
      </c>
      <c r="R103" s="19" t="s">
        <v>1272</v>
      </c>
      <c r="S103" s="20" t="s">
        <v>1273</v>
      </c>
      <c r="T103" s="19" t="s">
        <v>402</v>
      </c>
      <c r="U103" s="19"/>
    </row>
    <row r="104" spans="1:21" ht="14.5" x14ac:dyDescent="0.35">
      <c r="A104" s="18" t="str">
        <f t="shared" si="2"/>
        <v>CustomerInsights/hubs/connectors/mappings(map)</v>
      </c>
      <c r="B104" s="18" t="s">
        <v>585</v>
      </c>
      <c r="C104" s="18" t="s">
        <v>278</v>
      </c>
      <c r="D104" s="18" t="s">
        <v>279</v>
      </c>
      <c r="E104" s="18" t="s">
        <v>280</v>
      </c>
      <c r="F104" s="18" t="str">
        <f t="shared" si="3"/>
        <v>map</v>
      </c>
      <c r="G104" s="18" t="s">
        <v>587</v>
      </c>
      <c r="H104" s="18" t="s">
        <v>285</v>
      </c>
      <c r="I104" s="18" t="s">
        <v>382</v>
      </c>
      <c r="J104" s="18" t="s">
        <v>583</v>
      </c>
      <c r="K104" s="18" t="s">
        <v>280</v>
      </c>
      <c r="L104" s="18" t="s">
        <v>280</v>
      </c>
      <c r="M104" s="18" t="s">
        <v>280</v>
      </c>
      <c r="N104" s="18" t="s">
        <v>280</v>
      </c>
      <c r="O104" s="18" t="s">
        <v>280</v>
      </c>
      <c r="P104" s="18" t="s">
        <v>584</v>
      </c>
      <c r="Q104" s="21" t="s">
        <v>280</v>
      </c>
      <c r="R104" s="18" t="s">
        <v>1272</v>
      </c>
      <c r="S104" s="21" t="s">
        <v>1273</v>
      </c>
      <c r="T104" s="18" t="s">
        <v>586</v>
      </c>
      <c r="U104" s="18"/>
    </row>
    <row r="105" spans="1:21" ht="14.5" x14ac:dyDescent="0.35">
      <c r="A105" s="19" t="str">
        <f t="shared" si="2"/>
        <v>CustomerInsights/hubs/interactions(int)</v>
      </c>
      <c r="B105" s="19" t="s">
        <v>588</v>
      </c>
      <c r="C105" s="19" t="s">
        <v>278</v>
      </c>
      <c r="D105" s="19" t="s">
        <v>279</v>
      </c>
      <c r="E105" s="19" t="s">
        <v>280</v>
      </c>
      <c r="F105" s="19" t="str">
        <f t="shared" si="3"/>
        <v>int</v>
      </c>
      <c r="G105" s="19" t="s">
        <v>579</v>
      </c>
      <c r="H105" s="19" t="s">
        <v>285</v>
      </c>
      <c r="I105" s="19" t="s">
        <v>382</v>
      </c>
      <c r="J105" s="19" t="s">
        <v>583</v>
      </c>
      <c r="K105" s="19" t="s">
        <v>280</v>
      </c>
      <c r="L105" s="19" t="s">
        <v>280</v>
      </c>
      <c r="M105" s="19" t="s">
        <v>280</v>
      </c>
      <c r="N105" s="19" t="s">
        <v>280</v>
      </c>
      <c r="O105" s="19" t="s">
        <v>280</v>
      </c>
      <c r="P105" s="19" t="s">
        <v>584</v>
      </c>
      <c r="Q105" s="20" t="s">
        <v>280</v>
      </c>
      <c r="R105" s="19" t="s">
        <v>1272</v>
      </c>
      <c r="S105" s="20" t="s">
        <v>1273</v>
      </c>
      <c r="T105" s="19" t="s">
        <v>589</v>
      </c>
      <c r="U105" s="19"/>
    </row>
    <row r="106" spans="1:21" ht="14.5" x14ac:dyDescent="0.35">
      <c r="A106" s="18" t="str">
        <f t="shared" si="2"/>
        <v>CustomerInsights/hubs/kpi(kpi)</v>
      </c>
      <c r="B106" s="18" t="s">
        <v>590</v>
      </c>
      <c r="C106" s="18" t="s">
        <v>278</v>
      </c>
      <c r="D106" s="18" t="s">
        <v>279</v>
      </c>
      <c r="E106" s="18" t="s">
        <v>280</v>
      </c>
      <c r="F106" s="18" t="str">
        <f t="shared" si="3"/>
        <v>kpi</v>
      </c>
      <c r="G106" s="18" t="s">
        <v>579</v>
      </c>
      <c r="H106" s="18" t="s">
        <v>285</v>
      </c>
      <c r="I106" s="18" t="s">
        <v>592</v>
      </c>
      <c r="J106" s="18" t="s">
        <v>583</v>
      </c>
      <c r="K106" s="18" t="s">
        <v>280</v>
      </c>
      <c r="L106" s="18" t="s">
        <v>280</v>
      </c>
      <c r="M106" s="18" t="s">
        <v>280</v>
      </c>
      <c r="N106" s="18" t="s">
        <v>280</v>
      </c>
      <c r="O106" s="18" t="s">
        <v>280</v>
      </c>
      <c r="P106" s="18" t="s">
        <v>593</v>
      </c>
      <c r="Q106" s="21" t="s">
        <v>280</v>
      </c>
      <c r="R106" s="18" t="s">
        <v>1272</v>
      </c>
      <c r="S106" s="21" t="s">
        <v>1273</v>
      </c>
      <c r="T106" s="18" t="s">
        <v>591</v>
      </c>
      <c r="U106" s="18"/>
    </row>
    <row r="107" spans="1:21" ht="14.5" x14ac:dyDescent="0.35">
      <c r="A107" s="19" t="str">
        <f t="shared" si="2"/>
        <v>CustomerInsights/hubs/links(link)</v>
      </c>
      <c r="B107" s="19" t="s">
        <v>594</v>
      </c>
      <c r="C107" s="19" t="s">
        <v>278</v>
      </c>
      <c r="D107" s="19" t="s">
        <v>279</v>
      </c>
      <c r="E107" s="19" t="s">
        <v>280</v>
      </c>
      <c r="F107" s="19" t="str">
        <f t="shared" si="3"/>
        <v>link</v>
      </c>
      <c r="G107" s="19" t="s">
        <v>579</v>
      </c>
      <c r="H107" s="19" t="s">
        <v>285</v>
      </c>
      <c r="I107" s="19" t="s">
        <v>592</v>
      </c>
      <c r="J107" s="19" t="s">
        <v>583</v>
      </c>
      <c r="K107" s="19" t="s">
        <v>280</v>
      </c>
      <c r="L107" s="19" t="s">
        <v>280</v>
      </c>
      <c r="M107" s="19" t="s">
        <v>280</v>
      </c>
      <c r="N107" s="19" t="s">
        <v>280</v>
      </c>
      <c r="O107" s="19" t="s">
        <v>280</v>
      </c>
      <c r="P107" s="19" t="s">
        <v>593</v>
      </c>
      <c r="Q107" s="20" t="s">
        <v>280</v>
      </c>
      <c r="R107" s="19" t="s">
        <v>1272</v>
      </c>
      <c r="S107" s="20" t="s">
        <v>1273</v>
      </c>
      <c r="T107" s="19" t="s">
        <v>595</v>
      </c>
      <c r="U107" s="19"/>
    </row>
    <row r="108" spans="1:21" ht="14.5" x14ac:dyDescent="0.35">
      <c r="A108" s="18" t="str">
        <f t="shared" si="2"/>
        <v>CustomerInsights/hubs/predictions(pred)</v>
      </c>
      <c r="B108" s="18" t="s">
        <v>596</v>
      </c>
      <c r="C108" s="18" t="s">
        <v>278</v>
      </c>
      <c r="D108" s="18" t="s">
        <v>279</v>
      </c>
      <c r="E108" s="18" t="s">
        <v>280</v>
      </c>
      <c r="F108" s="18" t="str">
        <f t="shared" si="3"/>
        <v>pred</v>
      </c>
      <c r="G108" s="18" t="s">
        <v>579</v>
      </c>
      <c r="H108" s="18" t="s">
        <v>285</v>
      </c>
      <c r="I108" s="18" t="s">
        <v>592</v>
      </c>
      <c r="J108" s="18" t="s">
        <v>583</v>
      </c>
      <c r="K108" s="18" t="s">
        <v>280</v>
      </c>
      <c r="L108" s="18" t="s">
        <v>280</v>
      </c>
      <c r="M108" s="18" t="s">
        <v>280</v>
      </c>
      <c r="N108" s="18" t="s">
        <v>280</v>
      </c>
      <c r="O108" s="18" t="s">
        <v>280</v>
      </c>
      <c r="P108" s="18" t="s">
        <v>593</v>
      </c>
      <c r="Q108" s="21" t="s">
        <v>280</v>
      </c>
      <c r="R108" s="18" t="s">
        <v>1272</v>
      </c>
      <c r="S108" s="21" t="s">
        <v>1273</v>
      </c>
      <c r="T108" s="18" t="s">
        <v>597</v>
      </c>
      <c r="U108" s="18"/>
    </row>
    <row r="109" spans="1:21" ht="14.5" x14ac:dyDescent="0.35">
      <c r="A109" s="19" t="str">
        <f t="shared" si="2"/>
        <v>CustomerInsights/hubs/profiles(prof)</v>
      </c>
      <c r="B109" s="19" t="s">
        <v>598</v>
      </c>
      <c r="C109" s="19" t="s">
        <v>278</v>
      </c>
      <c r="D109" s="19" t="s">
        <v>279</v>
      </c>
      <c r="E109" s="19" t="s">
        <v>280</v>
      </c>
      <c r="F109" s="19" t="str">
        <f t="shared" si="3"/>
        <v>prof</v>
      </c>
      <c r="G109" s="19" t="s">
        <v>579</v>
      </c>
      <c r="H109" s="19" t="s">
        <v>285</v>
      </c>
      <c r="I109" s="19" t="s">
        <v>382</v>
      </c>
      <c r="J109" s="19" t="s">
        <v>583</v>
      </c>
      <c r="K109" s="19" t="s">
        <v>280</v>
      </c>
      <c r="L109" s="19" t="s">
        <v>280</v>
      </c>
      <c r="M109" s="19" t="s">
        <v>280</v>
      </c>
      <c r="N109" s="19" t="s">
        <v>280</v>
      </c>
      <c r="O109" s="19" t="s">
        <v>280</v>
      </c>
      <c r="P109" s="19" t="s">
        <v>584</v>
      </c>
      <c r="Q109" s="20" t="s">
        <v>280</v>
      </c>
      <c r="R109" s="19" t="s">
        <v>1272</v>
      </c>
      <c r="S109" s="20" t="s">
        <v>1273</v>
      </c>
      <c r="T109" s="19" t="s">
        <v>599</v>
      </c>
      <c r="U109" s="19"/>
    </row>
    <row r="110" spans="1:21" ht="14.5" x14ac:dyDescent="0.35">
      <c r="A110" s="18" t="str">
        <f t="shared" si="2"/>
        <v>CustomerInsights/hubs/relationshipLinks(rlink)</v>
      </c>
      <c r="B110" s="18" t="s">
        <v>600</v>
      </c>
      <c r="C110" s="18" t="s">
        <v>278</v>
      </c>
      <c r="D110" s="18" t="s">
        <v>279</v>
      </c>
      <c r="E110" s="18" t="s">
        <v>280</v>
      </c>
      <c r="F110" s="18" t="str">
        <f t="shared" si="3"/>
        <v>rlink</v>
      </c>
      <c r="G110" s="18" t="s">
        <v>579</v>
      </c>
      <c r="H110" s="18" t="s">
        <v>285</v>
      </c>
      <c r="I110" s="18" t="s">
        <v>592</v>
      </c>
      <c r="J110" s="18" t="s">
        <v>583</v>
      </c>
      <c r="K110" s="18" t="s">
        <v>280</v>
      </c>
      <c r="L110" s="18" t="s">
        <v>280</v>
      </c>
      <c r="M110" s="18" t="s">
        <v>280</v>
      </c>
      <c r="N110" s="18" t="s">
        <v>280</v>
      </c>
      <c r="O110" s="18" t="s">
        <v>280</v>
      </c>
      <c r="P110" s="18" t="s">
        <v>593</v>
      </c>
      <c r="Q110" s="21" t="s">
        <v>280</v>
      </c>
      <c r="R110" s="18" t="s">
        <v>1272</v>
      </c>
      <c r="S110" s="21" t="s">
        <v>1273</v>
      </c>
      <c r="T110" s="18" t="s">
        <v>601</v>
      </c>
      <c r="U110" s="18"/>
    </row>
    <row r="111" spans="1:21" ht="14.5" x14ac:dyDescent="0.35">
      <c r="A111" s="19" t="str">
        <f t="shared" si="2"/>
        <v>CustomerInsights/hubs/relationships(rel)</v>
      </c>
      <c r="B111" s="19" t="s">
        <v>602</v>
      </c>
      <c r="C111" s="19" t="s">
        <v>278</v>
      </c>
      <c r="D111" s="19" t="s">
        <v>279</v>
      </c>
      <c r="E111" s="19" t="s">
        <v>280</v>
      </c>
      <c r="F111" s="19" t="str">
        <f t="shared" si="3"/>
        <v>rel</v>
      </c>
      <c r="G111" s="19" t="s">
        <v>579</v>
      </c>
      <c r="H111" s="19" t="s">
        <v>285</v>
      </c>
      <c r="I111" s="19" t="s">
        <v>592</v>
      </c>
      <c r="J111" s="19" t="s">
        <v>583</v>
      </c>
      <c r="K111" s="19" t="s">
        <v>280</v>
      </c>
      <c r="L111" s="19" t="s">
        <v>280</v>
      </c>
      <c r="M111" s="19" t="s">
        <v>280</v>
      </c>
      <c r="N111" s="19" t="s">
        <v>280</v>
      </c>
      <c r="O111" s="19" t="s">
        <v>280</v>
      </c>
      <c r="P111" s="19" t="s">
        <v>593</v>
      </c>
      <c r="Q111" s="20" t="s">
        <v>280</v>
      </c>
      <c r="R111" s="19" t="s">
        <v>1272</v>
      </c>
      <c r="S111" s="20" t="s">
        <v>1273</v>
      </c>
      <c r="T111" s="19" t="s">
        <v>603</v>
      </c>
      <c r="U111" s="19"/>
    </row>
    <row r="112" spans="1:21" ht="14.5" x14ac:dyDescent="0.35">
      <c r="A112" s="18" t="str">
        <f t="shared" si="2"/>
        <v>CustomerInsights/hubs/roleAssignments(role)</v>
      </c>
      <c r="B112" s="18" t="s">
        <v>604</v>
      </c>
      <c r="C112" s="18" t="s">
        <v>278</v>
      </c>
      <c r="D112" s="18" t="s">
        <v>279</v>
      </c>
      <c r="E112" s="18" t="s">
        <v>280</v>
      </c>
      <c r="F112" s="18" t="str">
        <f t="shared" si="3"/>
        <v>role</v>
      </c>
      <c r="G112" s="18" t="s">
        <v>579</v>
      </c>
      <c r="H112" s="18" t="s">
        <v>285</v>
      </c>
      <c r="I112" s="18" t="s">
        <v>382</v>
      </c>
      <c r="J112" s="18" t="s">
        <v>583</v>
      </c>
      <c r="K112" s="18" t="s">
        <v>280</v>
      </c>
      <c r="L112" s="18" t="s">
        <v>280</v>
      </c>
      <c r="M112" s="18" t="s">
        <v>280</v>
      </c>
      <c r="N112" s="18" t="s">
        <v>280</v>
      </c>
      <c r="O112" s="18" t="s">
        <v>280</v>
      </c>
      <c r="P112" s="18" t="s">
        <v>584</v>
      </c>
      <c r="Q112" s="21" t="s">
        <v>280</v>
      </c>
      <c r="R112" s="18" t="s">
        <v>1272</v>
      </c>
      <c r="S112" s="21" t="s">
        <v>1273</v>
      </c>
      <c r="T112" s="18" t="s">
        <v>605</v>
      </c>
      <c r="U112" s="18"/>
    </row>
    <row r="113" spans="1:21" ht="14.5" x14ac:dyDescent="0.35">
      <c r="A113" s="19" t="str">
        <f t="shared" si="2"/>
        <v>CustomerInsights/hubs/views(view)</v>
      </c>
      <c r="B113" s="19" t="s">
        <v>606</v>
      </c>
      <c r="C113" s="19" t="s">
        <v>278</v>
      </c>
      <c r="D113" s="19" t="s">
        <v>279</v>
      </c>
      <c r="E113" s="19" t="s">
        <v>280</v>
      </c>
      <c r="F113" s="19" t="str">
        <f t="shared" si="3"/>
        <v>view</v>
      </c>
      <c r="G113" s="19" t="s">
        <v>579</v>
      </c>
      <c r="H113" s="19" t="s">
        <v>285</v>
      </c>
      <c r="I113" s="19" t="s">
        <v>592</v>
      </c>
      <c r="J113" s="19" t="s">
        <v>583</v>
      </c>
      <c r="K113" s="19" t="s">
        <v>280</v>
      </c>
      <c r="L113" s="19" t="s">
        <v>280</v>
      </c>
      <c r="M113" s="19" t="s">
        <v>280</v>
      </c>
      <c r="N113" s="19" t="s">
        <v>280</v>
      </c>
      <c r="O113" s="19" t="s">
        <v>280</v>
      </c>
      <c r="P113" s="19" t="s">
        <v>593</v>
      </c>
      <c r="Q113" s="20" t="s">
        <v>280</v>
      </c>
      <c r="R113" s="19" t="s">
        <v>1272</v>
      </c>
      <c r="S113" s="20" t="s">
        <v>1273</v>
      </c>
      <c r="T113" s="19" t="s">
        <v>607</v>
      </c>
      <c r="U113" s="19"/>
    </row>
    <row r="114" spans="1:21" ht="14.5" x14ac:dyDescent="0.35">
      <c r="A114" s="18" t="str">
        <f t="shared" si="2"/>
        <v>CustomProviders/associations(cpas-)</v>
      </c>
      <c r="B114" s="18" t="s">
        <v>608</v>
      </c>
      <c r="C114" s="18" t="s">
        <v>278</v>
      </c>
      <c r="D114" s="18" t="s">
        <v>279</v>
      </c>
      <c r="E114" s="18" t="s">
        <v>280</v>
      </c>
      <c r="F114" s="18" t="str">
        <f t="shared" si="3"/>
        <v>cpas-</v>
      </c>
      <c r="G114" s="18" t="s">
        <v>78</v>
      </c>
      <c r="H114" s="18" t="s">
        <v>285</v>
      </c>
      <c r="I114" s="18" t="s">
        <v>610</v>
      </c>
      <c r="J114" s="18" t="s">
        <v>280</v>
      </c>
      <c r="K114" s="18" t="s">
        <v>611</v>
      </c>
      <c r="L114" s="18" t="s">
        <v>612</v>
      </c>
      <c r="M114" s="18" t="s">
        <v>280</v>
      </c>
      <c r="N114" s="18" t="s">
        <v>280</v>
      </c>
      <c r="O114" s="18" t="s">
        <v>376</v>
      </c>
      <c r="P114" s="18" t="s">
        <v>613</v>
      </c>
      <c r="Q114" s="21" t="s">
        <v>280</v>
      </c>
      <c r="R114" s="18" t="s">
        <v>1272</v>
      </c>
      <c r="S114" s="21" t="s">
        <v>1273</v>
      </c>
      <c r="T114" s="18" t="s">
        <v>609</v>
      </c>
      <c r="U114" s="18" t="s">
        <v>464</v>
      </c>
    </row>
    <row r="115" spans="1:21" ht="14.5" x14ac:dyDescent="0.35">
      <c r="A115" s="19" t="str">
        <f t="shared" si="2"/>
        <v>CustomProviders/resourceProviders(cprep-)</v>
      </c>
      <c r="B115" s="19" t="s">
        <v>614</v>
      </c>
      <c r="C115" s="19" t="s">
        <v>278</v>
      </c>
      <c r="D115" s="19" t="s">
        <v>279</v>
      </c>
      <c r="E115" s="19" t="s">
        <v>280</v>
      </c>
      <c r="F115" s="19" t="str">
        <f t="shared" si="3"/>
        <v>cprep-</v>
      </c>
      <c r="G115" s="19" t="s">
        <v>78</v>
      </c>
      <c r="H115" s="19" t="s">
        <v>281</v>
      </c>
      <c r="I115" s="19" t="s">
        <v>379</v>
      </c>
      <c r="J115" s="19" t="s">
        <v>280</v>
      </c>
      <c r="K115" s="19" t="s">
        <v>611</v>
      </c>
      <c r="L115" s="19" t="s">
        <v>612</v>
      </c>
      <c r="M115" s="19" t="s">
        <v>280</v>
      </c>
      <c r="N115" s="19" t="s">
        <v>280</v>
      </c>
      <c r="O115" s="19" t="s">
        <v>376</v>
      </c>
      <c r="P115" s="19" t="s">
        <v>616</v>
      </c>
      <c r="Q115" s="20" t="s">
        <v>280</v>
      </c>
      <c r="R115" s="19" t="s">
        <v>1272</v>
      </c>
      <c r="S115" s="20" t="s">
        <v>1273</v>
      </c>
      <c r="T115" s="19" t="s">
        <v>615</v>
      </c>
      <c r="U115" s="19" t="s">
        <v>464</v>
      </c>
    </row>
    <row r="116" spans="1:21" ht="14.5" x14ac:dyDescent="0.35">
      <c r="A116" s="18" t="str">
        <f t="shared" si="2"/>
        <v>DataBox/jobs(dbjob-)</v>
      </c>
      <c r="B116" s="18" t="s">
        <v>617</v>
      </c>
      <c r="C116" s="18" t="s">
        <v>278</v>
      </c>
      <c r="D116" s="18" t="s">
        <v>279</v>
      </c>
      <c r="E116" s="18" t="s">
        <v>280</v>
      </c>
      <c r="F116" s="18" t="str">
        <f t="shared" si="3"/>
        <v>dbjob-</v>
      </c>
      <c r="G116" s="18" t="s">
        <v>78</v>
      </c>
      <c r="H116" s="18" t="s">
        <v>281</v>
      </c>
      <c r="I116" s="18" t="s">
        <v>373</v>
      </c>
      <c r="J116" s="18" t="s">
        <v>619</v>
      </c>
      <c r="K116" s="18" t="s">
        <v>280</v>
      </c>
      <c r="L116" s="18" t="s">
        <v>280</v>
      </c>
      <c r="M116" s="18" t="s">
        <v>280</v>
      </c>
      <c r="N116" s="18" t="s">
        <v>280</v>
      </c>
      <c r="O116" s="18" t="s">
        <v>280</v>
      </c>
      <c r="P116" s="18" t="s">
        <v>620</v>
      </c>
      <c r="Q116" s="21" t="s">
        <v>280</v>
      </c>
      <c r="R116" s="18" t="s">
        <v>1272</v>
      </c>
      <c r="S116" s="21" t="s">
        <v>1273</v>
      </c>
      <c r="T116" s="18" t="s">
        <v>618</v>
      </c>
      <c r="U116" s="18" t="s">
        <v>464</v>
      </c>
    </row>
    <row r="117" spans="1:21" ht="14.5" x14ac:dyDescent="0.35">
      <c r="A117" s="19" t="str">
        <f t="shared" si="2"/>
        <v>Databricks/workspaces(dbw-)</v>
      </c>
      <c r="B117" s="19" t="s">
        <v>621</v>
      </c>
      <c r="C117" s="19" t="s">
        <v>278</v>
      </c>
      <c r="D117" s="19" t="s">
        <v>279</v>
      </c>
      <c r="E117" s="19" t="s">
        <v>280</v>
      </c>
      <c r="F117" s="19" t="str">
        <f t="shared" si="3"/>
        <v>dbw-</v>
      </c>
      <c r="G117" s="19" t="s">
        <v>78</v>
      </c>
      <c r="H117" s="19" t="s">
        <v>281</v>
      </c>
      <c r="I117" s="19" t="s">
        <v>480</v>
      </c>
      <c r="J117" s="19" t="s">
        <v>623</v>
      </c>
      <c r="K117" s="19" t="s">
        <v>280</v>
      </c>
      <c r="L117" s="19" t="s">
        <v>280</v>
      </c>
      <c r="M117" s="19" t="s">
        <v>280</v>
      </c>
      <c r="N117" s="19" t="s">
        <v>280</v>
      </c>
      <c r="O117" s="19" t="s">
        <v>280</v>
      </c>
      <c r="P117" s="19" t="s">
        <v>624</v>
      </c>
      <c r="Q117" s="20" t="s">
        <v>280</v>
      </c>
      <c r="R117" s="19" t="s">
        <v>1272</v>
      </c>
      <c r="S117" s="20" t="s">
        <v>1273</v>
      </c>
      <c r="T117" s="19" t="s">
        <v>622</v>
      </c>
      <c r="U117" s="19" t="s">
        <v>464</v>
      </c>
    </row>
    <row r="118" spans="1:21" ht="14.5" x14ac:dyDescent="0.35">
      <c r="A118" s="18" t="str">
        <f t="shared" si="2"/>
        <v>DataFactory/factories(adf-)</v>
      </c>
      <c r="B118" s="18" t="s">
        <v>625</v>
      </c>
      <c r="C118" s="18" t="s">
        <v>278</v>
      </c>
      <c r="D118" s="18" t="s">
        <v>279</v>
      </c>
      <c r="E118" s="18" t="s">
        <v>280</v>
      </c>
      <c r="F118" s="18" t="str">
        <f t="shared" si="3"/>
        <v>adf-</v>
      </c>
      <c r="G118" s="18" t="s">
        <v>80</v>
      </c>
      <c r="H118" s="18" t="s">
        <v>281</v>
      </c>
      <c r="I118" s="18" t="s">
        <v>282</v>
      </c>
      <c r="J118" s="18" t="s">
        <v>462</v>
      </c>
      <c r="K118" s="18" t="s">
        <v>280</v>
      </c>
      <c r="L118" s="18" t="s">
        <v>280</v>
      </c>
      <c r="M118" s="18" t="s">
        <v>280</v>
      </c>
      <c r="N118" s="18" t="s">
        <v>280</v>
      </c>
      <c r="O118" s="18" t="s">
        <v>280</v>
      </c>
      <c r="P118" s="18" t="s">
        <v>627</v>
      </c>
      <c r="Q118" s="21" t="s">
        <v>280</v>
      </c>
      <c r="R118" s="18" t="s">
        <v>1272</v>
      </c>
      <c r="S118" s="21" t="s">
        <v>1273</v>
      </c>
      <c r="T118" s="18" t="s">
        <v>626</v>
      </c>
      <c r="U118" s="18" t="s">
        <v>464</v>
      </c>
    </row>
    <row r="119" spans="1:21" ht="14.5" x14ac:dyDescent="0.35">
      <c r="A119" s="19" t="str">
        <f t="shared" si="2"/>
        <v>DataFactory/factories/dataflows(flow-)</v>
      </c>
      <c r="B119" s="19" t="s">
        <v>628</v>
      </c>
      <c r="C119" s="19" t="s">
        <v>278</v>
      </c>
      <c r="D119" s="19" t="s">
        <v>279</v>
      </c>
      <c r="E119" s="19" t="s">
        <v>280</v>
      </c>
      <c r="F119" s="19" t="str">
        <f t="shared" si="3"/>
        <v>flow-</v>
      </c>
      <c r="G119" s="19" t="s">
        <v>630</v>
      </c>
      <c r="H119" s="19" t="s">
        <v>285</v>
      </c>
      <c r="I119" s="19" t="s">
        <v>473</v>
      </c>
      <c r="J119" s="19" t="s">
        <v>631</v>
      </c>
      <c r="K119" s="19" t="s">
        <v>632</v>
      </c>
      <c r="L119" s="19" t="s">
        <v>633</v>
      </c>
      <c r="M119" s="19" t="s">
        <v>280</v>
      </c>
      <c r="N119" s="19" t="s">
        <v>280</v>
      </c>
      <c r="O119" s="19" t="s">
        <v>280</v>
      </c>
      <c r="P119" s="19" t="s">
        <v>634</v>
      </c>
      <c r="Q119" s="20" t="s">
        <v>280</v>
      </c>
      <c r="R119" s="19" t="s">
        <v>1272</v>
      </c>
      <c r="S119" s="20" t="s">
        <v>1273</v>
      </c>
      <c r="T119" s="19" t="s">
        <v>629</v>
      </c>
      <c r="U119" s="19" t="s">
        <v>464</v>
      </c>
    </row>
    <row r="120" spans="1:21" ht="14.5" x14ac:dyDescent="0.35">
      <c r="A120" s="18" t="str">
        <f t="shared" si="2"/>
        <v>DataFactory/factories/datasets(dset-)</v>
      </c>
      <c r="B120" s="18" t="s">
        <v>635</v>
      </c>
      <c r="C120" s="18" t="s">
        <v>278</v>
      </c>
      <c r="D120" s="18" t="s">
        <v>279</v>
      </c>
      <c r="E120" s="18" t="s">
        <v>280</v>
      </c>
      <c r="F120" s="18" t="str">
        <f t="shared" si="3"/>
        <v>dset-</v>
      </c>
      <c r="G120" s="18" t="s">
        <v>630</v>
      </c>
      <c r="H120" s="18" t="s">
        <v>285</v>
      </c>
      <c r="I120" s="18" t="s">
        <v>473</v>
      </c>
      <c r="J120" s="18" t="s">
        <v>631</v>
      </c>
      <c r="K120" s="18" t="s">
        <v>632</v>
      </c>
      <c r="L120" s="18" t="s">
        <v>633</v>
      </c>
      <c r="M120" s="18" t="s">
        <v>280</v>
      </c>
      <c r="N120" s="18" t="s">
        <v>280</v>
      </c>
      <c r="O120" s="18" t="s">
        <v>280</v>
      </c>
      <c r="P120" s="18" t="s">
        <v>634</v>
      </c>
      <c r="Q120" s="21" t="s">
        <v>280</v>
      </c>
      <c r="R120" s="18" t="s">
        <v>1272</v>
      </c>
      <c r="S120" s="21" t="s">
        <v>1273</v>
      </c>
      <c r="T120" s="18" t="s">
        <v>636</v>
      </c>
      <c r="U120" s="18" t="s">
        <v>464</v>
      </c>
    </row>
    <row r="121" spans="1:21" ht="14.5" x14ac:dyDescent="0.35">
      <c r="A121" s="19" t="str">
        <f t="shared" si="2"/>
        <v>DataFactory/factories/integrationRuntimes(run-)</v>
      </c>
      <c r="B121" s="19" t="s">
        <v>637</v>
      </c>
      <c r="C121" s="19" t="s">
        <v>278</v>
      </c>
      <c r="D121" s="19" t="s">
        <v>279</v>
      </c>
      <c r="E121" s="19" t="s">
        <v>280</v>
      </c>
      <c r="F121" s="19" t="str">
        <f t="shared" si="3"/>
        <v>run-</v>
      </c>
      <c r="G121" s="19" t="s">
        <v>630</v>
      </c>
      <c r="H121" s="19" t="s">
        <v>281</v>
      </c>
      <c r="I121" s="19" t="s">
        <v>282</v>
      </c>
      <c r="J121" s="19" t="s">
        <v>462</v>
      </c>
      <c r="K121" s="19" t="s">
        <v>280</v>
      </c>
      <c r="L121" s="19" t="s">
        <v>280</v>
      </c>
      <c r="M121" s="19" t="s">
        <v>280</v>
      </c>
      <c r="N121" s="19" t="s">
        <v>280</v>
      </c>
      <c r="O121" s="19" t="s">
        <v>280</v>
      </c>
      <c r="P121" s="19" t="s">
        <v>627</v>
      </c>
      <c r="Q121" s="20" t="s">
        <v>280</v>
      </c>
      <c r="R121" s="19" t="s">
        <v>1272</v>
      </c>
      <c r="S121" s="20" t="s">
        <v>1273</v>
      </c>
      <c r="T121" s="19" t="s">
        <v>638</v>
      </c>
      <c r="U121" s="19" t="s">
        <v>464</v>
      </c>
    </row>
    <row r="122" spans="1:21" ht="14.5" x14ac:dyDescent="0.35">
      <c r="A122" s="18" t="str">
        <f t="shared" si="2"/>
        <v>DataFactory/factories/linkedservices(lksvc-)</v>
      </c>
      <c r="B122" s="18" t="s">
        <v>639</v>
      </c>
      <c r="C122" s="18" t="s">
        <v>278</v>
      </c>
      <c r="D122" s="18" t="s">
        <v>279</v>
      </c>
      <c r="E122" s="18" t="s">
        <v>280</v>
      </c>
      <c r="F122" s="18" t="str">
        <f t="shared" si="3"/>
        <v>lksvc-</v>
      </c>
      <c r="G122" s="18" t="s">
        <v>630</v>
      </c>
      <c r="H122" s="18" t="s">
        <v>285</v>
      </c>
      <c r="I122" s="18" t="s">
        <v>473</v>
      </c>
      <c r="J122" s="18" t="s">
        <v>631</v>
      </c>
      <c r="K122" s="18" t="s">
        <v>632</v>
      </c>
      <c r="L122" s="18" t="s">
        <v>633</v>
      </c>
      <c r="M122" s="18" t="s">
        <v>280</v>
      </c>
      <c r="N122" s="18" t="s">
        <v>280</v>
      </c>
      <c r="O122" s="18" t="s">
        <v>280</v>
      </c>
      <c r="P122" s="18" t="s">
        <v>634</v>
      </c>
      <c r="Q122" s="21" t="s">
        <v>280</v>
      </c>
      <c r="R122" s="18" t="s">
        <v>1272</v>
      </c>
      <c r="S122" s="21" t="s">
        <v>1273</v>
      </c>
      <c r="T122" s="18" t="s">
        <v>640</v>
      </c>
      <c r="U122" s="18" t="s">
        <v>464</v>
      </c>
    </row>
    <row r="123" spans="1:21" ht="14.5" x14ac:dyDescent="0.35">
      <c r="A123" s="19" t="str">
        <f t="shared" si="2"/>
        <v>DataFactory/factories/pipelines(pipe-)</v>
      </c>
      <c r="B123" s="19" t="s">
        <v>641</v>
      </c>
      <c r="C123" s="19" t="s">
        <v>278</v>
      </c>
      <c r="D123" s="19" t="s">
        <v>279</v>
      </c>
      <c r="E123" s="19" t="s">
        <v>280</v>
      </c>
      <c r="F123" s="19" t="str">
        <f t="shared" si="3"/>
        <v>pipe-</v>
      </c>
      <c r="G123" s="19" t="s">
        <v>630</v>
      </c>
      <c r="H123" s="19" t="s">
        <v>285</v>
      </c>
      <c r="I123" s="19" t="s">
        <v>473</v>
      </c>
      <c r="J123" s="19" t="s">
        <v>631</v>
      </c>
      <c r="K123" s="19" t="s">
        <v>632</v>
      </c>
      <c r="L123" s="19" t="s">
        <v>633</v>
      </c>
      <c r="M123" s="19" t="s">
        <v>280</v>
      </c>
      <c r="N123" s="19" t="s">
        <v>280</v>
      </c>
      <c r="O123" s="19" t="s">
        <v>280</v>
      </c>
      <c r="P123" s="19" t="s">
        <v>634</v>
      </c>
      <c r="Q123" s="20" t="s">
        <v>280</v>
      </c>
      <c r="R123" s="19" t="s">
        <v>1272</v>
      </c>
      <c r="S123" s="20" t="s">
        <v>1273</v>
      </c>
      <c r="T123" s="19" t="s">
        <v>642</v>
      </c>
      <c r="U123" s="19" t="s">
        <v>464</v>
      </c>
    </row>
    <row r="124" spans="1:21" ht="14.5" x14ac:dyDescent="0.35">
      <c r="A124" s="18" t="str">
        <f t="shared" si="2"/>
        <v>DataFactory/factories/triggers(trig-)</v>
      </c>
      <c r="B124" s="18" t="s">
        <v>643</v>
      </c>
      <c r="C124" s="18" t="s">
        <v>278</v>
      </c>
      <c r="D124" s="18" t="s">
        <v>279</v>
      </c>
      <c r="E124" s="18" t="s">
        <v>280</v>
      </c>
      <c r="F124" s="18" t="str">
        <f t="shared" si="3"/>
        <v>trig-</v>
      </c>
      <c r="G124" s="18" t="s">
        <v>630</v>
      </c>
      <c r="H124" s="18" t="s">
        <v>285</v>
      </c>
      <c r="I124" s="18" t="s">
        <v>473</v>
      </c>
      <c r="J124" s="18" t="s">
        <v>631</v>
      </c>
      <c r="K124" s="18" t="s">
        <v>632</v>
      </c>
      <c r="L124" s="18" t="s">
        <v>633</v>
      </c>
      <c r="M124" s="18" t="s">
        <v>280</v>
      </c>
      <c r="N124" s="18" t="s">
        <v>280</v>
      </c>
      <c r="O124" s="18" t="s">
        <v>280</v>
      </c>
      <c r="P124" s="18" t="s">
        <v>634</v>
      </c>
      <c r="Q124" s="21" t="s">
        <v>280</v>
      </c>
      <c r="R124" s="18" t="s">
        <v>1272</v>
      </c>
      <c r="S124" s="21" t="s">
        <v>1273</v>
      </c>
      <c r="T124" s="18" t="s">
        <v>644</v>
      </c>
      <c r="U124" s="18" t="s">
        <v>464</v>
      </c>
    </row>
    <row r="125" spans="1:21" ht="14.5" x14ac:dyDescent="0.35">
      <c r="A125" s="19" t="str">
        <f t="shared" si="2"/>
        <v>DataFactory/factories/triggers/rerunTriggers(rerun-)</v>
      </c>
      <c r="B125" s="19" t="s">
        <v>645</v>
      </c>
      <c r="C125" s="19" t="s">
        <v>278</v>
      </c>
      <c r="D125" s="19" t="s">
        <v>279</v>
      </c>
      <c r="E125" s="19" t="s">
        <v>280</v>
      </c>
      <c r="F125" s="19" t="str">
        <f t="shared" si="3"/>
        <v>rerun-</v>
      </c>
      <c r="G125" s="19" t="s">
        <v>647</v>
      </c>
      <c r="H125" s="19" t="s">
        <v>285</v>
      </c>
      <c r="I125" s="19" t="s">
        <v>473</v>
      </c>
      <c r="J125" s="19" t="s">
        <v>631</v>
      </c>
      <c r="K125" s="19" t="s">
        <v>632</v>
      </c>
      <c r="L125" s="19" t="s">
        <v>633</v>
      </c>
      <c r="M125" s="19" t="s">
        <v>280</v>
      </c>
      <c r="N125" s="19" t="s">
        <v>280</v>
      </c>
      <c r="O125" s="19" t="s">
        <v>280</v>
      </c>
      <c r="P125" s="19" t="s">
        <v>634</v>
      </c>
      <c r="Q125" s="20" t="s">
        <v>280</v>
      </c>
      <c r="R125" s="19" t="s">
        <v>1272</v>
      </c>
      <c r="S125" s="20" t="s">
        <v>1273</v>
      </c>
      <c r="T125" s="19" t="s">
        <v>646</v>
      </c>
      <c r="U125" s="19" t="s">
        <v>464</v>
      </c>
    </row>
    <row r="126" spans="1:21" ht="14.5" x14ac:dyDescent="0.35">
      <c r="A126" s="18" t="str">
        <f t="shared" si="2"/>
        <v>DataLakeAnalytics/accounts(dla)</v>
      </c>
      <c r="B126" s="18" t="s">
        <v>648</v>
      </c>
      <c r="C126" s="18" t="s">
        <v>278</v>
      </c>
      <c r="D126" s="18" t="s">
        <v>279</v>
      </c>
      <c r="E126" s="18" t="s">
        <v>280</v>
      </c>
      <c r="F126" s="18" t="str">
        <f t="shared" si="3"/>
        <v>dla</v>
      </c>
      <c r="G126" s="18" t="s">
        <v>80</v>
      </c>
      <c r="H126" s="18" t="s">
        <v>281</v>
      </c>
      <c r="I126" s="18" t="s">
        <v>373</v>
      </c>
      <c r="J126" s="18" t="s">
        <v>420</v>
      </c>
      <c r="K126" s="18" t="s">
        <v>280</v>
      </c>
      <c r="L126" s="18" t="s">
        <v>280</v>
      </c>
      <c r="M126" s="18" t="s">
        <v>280</v>
      </c>
      <c r="N126" s="18" t="s">
        <v>280</v>
      </c>
      <c r="O126" s="18" t="s">
        <v>280</v>
      </c>
      <c r="P126" s="18" t="s">
        <v>421</v>
      </c>
      <c r="Q126" s="21" t="s">
        <v>280</v>
      </c>
      <c r="R126" s="18" t="s">
        <v>1272</v>
      </c>
      <c r="S126" s="21" t="s">
        <v>1273</v>
      </c>
      <c r="T126" s="18" t="s">
        <v>71</v>
      </c>
      <c r="U126" s="18"/>
    </row>
    <row r="127" spans="1:21" ht="14.5" x14ac:dyDescent="0.35">
      <c r="A127" s="19" t="str">
        <f t="shared" si="2"/>
        <v>DataLakeAnalytics/accounts/computePolicies(cmpol)</v>
      </c>
      <c r="B127" s="19" t="s">
        <v>649</v>
      </c>
      <c r="C127" s="19" t="s">
        <v>278</v>
      </c>
      <c r="D127" s="19" t="s">
        <v>279</v>
      </c>
      <c r="E127" s="19" t="s">
        <v>280</v>
      </c>
      <c r="F127" s="19" t="str">
        <f t="shared" si="3"/>
        <v>cmpol</v>
      </c>
      <c r="G127" s="19" t="s">
        <v>651</v>
      </c>
      <c r="H127" s="19" t="s">
        <v>281</v>
      </c>
      <c r="I127" s="19" t="s">
        <v>652</v>
      </c>
      <c r="J127" s="19" t="s">
        <v>559</v>
      </c>
      <c r="K127" s="19" t="s">
        <v>280</v>
      </c>
      <c r="L127" s="19" t="s">
        <v>280</v>
      </c>
      <c r="M127" s="19" t="s">
        <v>280</v>
      </c>
      <c r="N127" s="19" t="s">
        <v>280</v>
      </c>
      <c r="O127" s="19" t="s">
        <v>280</v>
      </c>
      <c r="P127" s="19" t="s">
        <v>653</v>
      </c>
      <c r="Q127" s="20" t="s">
        <v>280</v>
      </c>
      <c r="R127" s="19" t="s">
        <v>1272</v>
      </c>
      <c r="S127" s="20" t="s">
        <v>1273</v>
      </c>
      <c r="T127" s="19" t="s">
        <v>650</v>
      </c>
      <c r="U127" s="19"/>
    </row>
    <row r="128" spans="1:21" ht="14.5" x14ac:dyDescent="0.35">
      <c r="A128" s="18" t="str">
        <f t="shared" si="2"/>
        <v>DataLakeAnalytics/accounts/dataLakeStoreAccounts(dlsta)</v>
      </c>
      <c r="B128" s="18" t="s">
        <v>654</v>
      </c>
      <c r="C128" s="18" t="s">
        <v>278</v>
      </c>
      <c r="D128" s="18" t="s">
        <v>279</v>
      </c>
      <c r="E128" s="18" t="s">
        <v>280</v>
      </c>
      <c r="F128" s="18" t="str">
        <f t="shared" si="3"/>
        <v>dlsta</v>
      </c>
      <c r="G128" s="18" t="s">
        <v>651</v>
      </c>
      <c r="H128" s="18" t="s">
        <v>281</v>
      </c>
      <c r="I128" s="18" t="s">
        <v>373</v>
      </c>
      <c r="J128" s="18" t="s">
        <v>420</v>
      </c>
      <c r="K128" s="18" t="s">
        <v>280</v>
      </c>
      <c r="L128" s="18" t="s">
        <v>280</v>
      </c>
      <c r="M128" s="18" t="s">
        <v>280</v>
      </c>
      <c r="N128" s="18" t="s">
        <v>280</v>
      </c>
      <c r="O128" s="18" t="s">
        <v>280</v>
      </c>
      <c r="P128" s="18" t="s">
        <v>421</v>
      </c>
      <c r="Q128" s="21" t="s">
        <v>280</v>
      </c>
      <c r="R128" s="18" t="s">
        <v>1272</v>
      </c>
      <c r="S128" s="21" t="s">
        <v>1273</v>
      </c>
      <c r="T128" s="18" t="s">
        <v>655</v>
      </c>
      <c r="U128" s="18"/>
    </row>
    <row r="129" spans="1:21" ht="14.5" x14ac:dyDescent="0.35">
      <c r="A129" s="19" t="str">
        <f t="shared" si="2"/>
        <v>DataLakeAnalytics/accounts/firewallRules(rule)</v>
      </c>
      <c r="B129" s="19" t="s">
        <v>656</v>
      </c>
      <c r="C129" s="19" t="s">
        <v>278</v>
      </c>
      <c r="D129" s="19" t="s">
        <v>279</v>
      </c>
      <c r="E129" s="19" t="s">
        <v>280</v>
      </c>
      <c r="F129" s="19" t="str">
        <f t="shared" si="3"/>
        <v>rule</v>
      </c>
      <c r="G129" s="19" t="s">
        <v>651</v>
      </c>
      <c r="H129" s="19" t="s">
        <v>281</v>
      </c>
      <c r="I129" s="19" t="s">
        <v>286</v>
      </c>
      <c r="J129" s="19" t="s">
        <v>559</v>
      </c>
      <c r="K129" s="19" t="s">
        <v>280</v>
      </c>
      <c r="L129" s="19" t="s">
        <v>280</v>
      </c>
      <c r="M129" s="19" t="s">
        <v>280</v>
      </c>
      <c r="N129" s="19" t="s">
        <v>280</v>
      </c>
      <c r="O129" s="19" t="s">
        <v>280</v>
      </c>
      <c r="P129" s="19" t="s">
        <v>657</v>
      </c>
      <c r="Q129" s="20" t="s">
        <v>280</v>
      </c>
      <c r="R129" s="19" t="s">
        <v>1272</v>
      </c>
      <c r="S129" s="20" t="s">
        <v>1273</v>
      </c>
      <c r="T129" s="19" t="s">
        <v>467</v>
      </c>
      <c r="U129" s="19"/>
    </row>
    <row r="130" spans="1:21" ht="14.5" x14ac:dyDescent="0.35">
      <c r="A130" s="18" t="str">
        <f t="shared" si="2"/>
        <v>DataLakeAnalytics/accounts/storageAccounts(dlasa)</v>
      </c>
      <c r="B130" s="18" t="s">
        <v>658</v>
      </c>
      <c r="C130" s="18" t="s">
        <v>278</v>
      </c>
      <c r="D130" s="18" t="s">
        <v>279</v>
      </c>
      <c r="E130" s="18" t="s">
        <v>280</v>
      </c>
      <c r="F130" s="18" t="str">
        <f t="shared" si="3"/>
        <v>dlasa</v>
      </c>
      <c r="G130" s="18" t="s">
        <v>651</v>
      </c>
      <c r="H130" s="18" t="s">
        <v>281</v>
      </c>
      <c r="I130" s="18" t="s">
        <v>652</v>
      </c>
      <c r="J130" s="18" t="s">
        <v>559</v>
      </c>
      <c r="K130" s="18" t="s">
        <v>280</v>
      </c>
      <c r="L130" s="18" t="s">
        <v>280</v>
      </c>
      <c r="M130" s="18" t="s">
        <v>280</v>
      </c>
      <c r="N130" s="18" t="s">
        <v>280</v>
      </c>
      <c r="O130" s="18" t="s">
        <v>280</v>
      </c>
      <c r="P130" s="18" t="s">
        <v>653</v>
      </c>
      <c r="Q130" s="21" t="s">
        <v>280</v>
      </c>
      <c r="R130" s="18" t="s">
        <v>1272</v>
      </c>
      <c r="S130" s="21" t="s">
        <v>1273</v>
      </c>
      <c r="T130" s="18" t="s">
        <v>659</v>
      </c>
      <c r="U130" s="18"/>
    </row>
    <row r="131" spans="1:21" ht="14.5" x14ac:dyDescent="0.35">
      <c r="A131" s="19" t="str">
        <f t="shared" ref="A131:A194" si="4">_xlfn.CONCAT(B131, E131,"(",F131,")")</f>
        <v>DataLakeStore/accounts(dls)</v>
      </c>
      <c r="B131" s="19" t="s">
        <v>660</v>
      </c>
      <c r="C131" s="19" t="s">
        <v>278</v>
      </c>
      <c r="D131" s="19" t="s">
        <v>279</v>
      </c>
      <c r="E131" s="19" t="s">
        <v>280</v>
      </c>
      <c r="F131" s="19" t="str">
        <f t="shared" ref="F131:F194" si="5">_xlfn.CONCAT(T131,U131)</f>
        <v>dls</v>
      </c>
      <c r="G131" s="19" t="s">
        <v>80</v>
      </c>
      <c r="H131" s="19" t="s">
        <v>281</v>
      </c>
      <c r="I131" s="19" t="s">
        <v>373</v>
      </c>
      <c r="J131" s="19" t="s">
        <v>420</v>
      </c>
      <c r="K131" s="19" t="s">
        <v>280</v>
      </c>
      <c r="L131" s="19" t="s">
        <v>280</v>
      </c>
      <c r="M131" s="19" t="s">
        <v>280</v>
      </c>
      <c r="N131" s="19" t="s">
        <v>280</v>
      </c>
      <c r="O131" s="19" t="s">
        <v>280</v>
      </c>
      <c r="P131" s="19" t="s">
        <v>421</v>
      </c>
      <c r="Q131" s="20" t="s">
        <v>280</v>
      </c>
      <c r="R131" s="19" t="s">
        <v>1272</v>
      </c>
      <c r="S131" s="20" t="s">
        <v>1273</v>
      </c>
      <c r="T131" s="19" t="s">
        <v>70</v>
      </c>
      <c r="U131" s="19"/>
    </row>
    <row r="132" spans="1:21" ht="14.5" x14ac:dyDescent="0.35">
      <c r="A132" s="18" t="str">
        <f t="shared" si="4"/>
        <v>DataLakeStore/accounts/firewallRules(rule)</v>
      </c>
      <c r="B132" s="18" t="s">
        <v>661</v>
      </c>
      <c r="C132" s="18" t="s">
        <v>278</v>
      </c>
      <c r="D132" s="18" t="s">
        <v>279</v>
      </c>
      <c r="E132" s="18" t="s">
        <v>280</v>
      </c>
      <c r="F132" s="18" t="str">
        <f t="shared" si="5"/>
        <v>rule</v>
      </c>
      <c r="G132" s="18" t="s">
        <v>651</v>
      </c>
      <c r="H132" s="18" t="s">
        <v>281</v>
      </c>
      <c r="I132" s="18" t="s">
        <v>286</v>
      </c>
      <c r="J132" s="18" t="s">
        <v>559</v>
      </c>
      <c r="K132" s="18" t="s">
        <v>280</v>
      </c>
      <c r="L132" s="18" t="s">
        <v>280</v>
      </c>
      <c r="M132" s="18" t="s">
        <v>280</v>
      </c>
      <c r="N132" s="18" t="s">
        <v>280</v>
      </c>
      <c r="O132" s="18" t="s">
        <v>280</v>
      </c>
      <c r="P132" s="18" t="s">
        <v>657</v>
      </c>
      <c r="Q132" s="21" t="s">
        <v>280</v>
      </c>
      <c r="R132" s="18" t="s">
        <v>1272</v>
      </c>
      <c r="S132" s="21" t="s">
        <v>1273</v>
      </c>
      <c r="T132" s="18" t="s">
        <v>467</v>
      </c>
      <c r="U132" s="18"/>
    </row>
    <row r="133" spans="1:21" ht="14.5" x14ac:dyDescent="0.35">
      <c r="A133" s="19" t="str">
        <f t="shared" si="4"/>
        <v>DataLakeStore/accounts/virtualNetworkRules(rule)</v>
      </c>
      <c r="B133" s="19" t="s">
        <v>662</v>
      </c>
      <c r="C133" s="19" t="s">
        <v>278</v>
      </c>
      <c r="D133" s="19" t="s">
        <v>279</v>
      </c>
      <c r="E133" s="19" t="s">
        <v>280</v>
      </c>
      <c r="F133" s="19" t="str">
        <f t="shared" si="5"/>
        <v>rule</v>
      </c>
      <c r="G133" s="19" t="s">
        <v>651</v>
      </c>
      <c r="H133" s="19" t="s">
        <v>281</v>
      </c>
      <c r="I133" s="19" t="s">
        <v>286</v>
      </c>
      <c r="J133" s="19" t="s">
        <v>559</v>
      </c>
      <c r="K133" s="19" t="s">
        <v>280</v>
      </c>
      <c r="L133" s="19" t="s">
        <v>280</v>
      </c>
      <c r="M133" s="19" t="s">
        <v>280</v>
      </c>
      <c r="N133" s="19" t="s">
        <v>280</v>
      </c>
      <c r="O133" s="19" t="s">
        <v>280</v>
      </c>
      <c r="P133" s="19" t="s">
        <v>657</v>
      </c>
      <c r="Q133" s="20" t="s">
        <v>280</v>
      </c>
      <c r="R133" s="19" t="s">
        <v>1272</v>
      </c>
      <c r="S133" s="20" t="s">
        <v>1273</v>
      </c>
      <c r="T133" s="19" t="s">
        <v>467</v>
      </c>
      <c r="U133" s="19"/>
    </row>
    <row r="134" spans="1:21" ht="14.5" x14ac:dyDescent="0.35">
      <c r="A134" s="18" t="str">
        <f t="shared" si="4"/>
        <v>DataMigration/services(dms-)</v>
      </c>
      <c r="B134" s="18" t="s">
        <v>663</v>
      </c>
      <c r="C134" s="18" t="s">
        <v>278</v>
      </c>
      <c r="D134" s="18" t="s">
        <v>279</v>
      </c>
      <c r="E134" s="18" t="s">
        <v>280</v>
      </c>
      <c r="F134" s="18" t="str">
        <f t="shared" si="5"/>
        <v>dms-</v>
      </c>
      <c r="G134" s="18" t="s">
        <v>78</v>
      </c>
      <c r="H134" s="18" t="s">
        <v>432</v>
      </c>
      <c r="I134" s="18" t="s">
        <v>665</v>
      </c>
      <c r="J134" s="18" t="s">
        <v>666</v>
      </c>
      <c r="K134" s="18" t="s">
        <v>280</v>
      </c>
      <c r="L134" s="18" t="s">
        <v>280</v>
      </c>
      <c r="M134" s="18" t="s">
        <v>280</v>
      </c>
      <c r="N134" s="18" t="s">
        <v>280</v>
      </c>
      <c r="O134" s="18" t="s">
        <v>280</v>
      </c>
      <c r="P134" s="18" t="s">
        <v>667</v>
      </c>
      <c r="Q134" s="21" t="s">
        <v>280</v>
      </c>
      <c r="R134" s="18" t="s">
        <v>1272</v>
      </c>
      <c r="S134" s="21" t="s">
        <v>1273</v>
      </c>
      <c r="T134" s="18" t="s">
        <v>664</v>
      </c>
      <c r="U134" s="18" t="s">
        <v>464</v>
      </c>
    </row>
    <row r="135" spans="1:21" ht="14.5" x14ac:dyDescent="0.35">
      <c r="A135" s="19" t="str">
        <f t="shared" si="4"/>
        <v>DataMigration/services/projects(proj-)</v>
      </c>
      <c r="B135" s="19" t="s">
        <v>668</v>
      </c>
      <c r="C135" s="19" t="s">
        <v>278</v>
      </c>
      <c r="D135" s="19" t="s">
        <v>279</v>
      </c>
      <c r="E135" s="19" t="s">
        <v>280</v>
      </c>
      <c r="F135" s="19" t="str">
        <f t="shared" si="5"/>
        <v>proj-</v>
      </c>
      <c r="G135" s="19" t="s">
        <v>256</v>
      </c>
      <c r="H135" s="19" t="s">
        <v>432</v>
      </c>
      <c r="I135" s="19" t="s">
        <v>670</v>
      </c>
      <c r="J135" s="19" t="s">
        <v>671</v>
      </c>
      <c r="K135" s="19" t="s">
        <v>280</v>
      </c>
      <c r="L135" s="19" t="s">
        <v>280</v>
      </c>
      <c r="M135" s="19" t="s">
        <v>280</v>
      </c>
      <c r="N135" s="19" t="s">
        <v>280</v>
      </c>
      <c r="O135" s="19" t="s">
        <v>280</v>
      </c>
      <c r="P135" s="19" t="s">
        <v>672</v>
      </c>
      <c r="Q135" s="20" t="s">
        <v>280</v>
      </c>
      <c r="R135" s="19" t="s">
        <v>1272</v>
      </c>
      <c r="S135" s="20" t="s">
        <v>1273</v>
      </c>
      <c r="T135" s="19" t="s">
        <v>669</v>
      </c>
      <c r="U135" s="19" t="s">
        <v>464</v>
      </c>
    </row>
    <row r="136" spans="1:21" ht="14.5" x14ac:dyDescent="0.35">
      <c r="A136" s="18" t="str">
        <f t="shared" si="4"/>
        <v>DBforMariaDB/servers(mdbsv-)</v>
      </c>
      <c r="B136" s="18" t="s">
        <v>673</v>
      </c>
      <c r="C136" s="18" t="s">
        <v>278</v>
      </c>
      <c r="D136" s="18" t="s">
        <v>279</v>
      </c>
      <c r="E136" s="18" t="s">
        <v>280</v>
      </c>
      <c r="F136" s="18" t="str">
        <f t="shared" si="5"/>
        <v>mdbsv-</v>
      </c>
      <c r="G136" s="18" t="s">
        <v>80</v>
      </c>
      <c r="H136" s="18" t="s">
        <v>281</v>
      </c>
      <c r="I136" s="18" t="s">
        <v>282</v>
      </c>
      <c r="J136" s="18" t="s">
        <v>675</v>
      </c>
      <c r="K136" s="18" t="s">
        <v>676</v>
      </c>
      <c r="L136" s="18" t="s">
        <v>280</v>
      </c>
      <c r="M136" s="18" t="s">
        <v>464</v>
      </c>
      <c r="N136" s="18" t="s">
        <v>464</v>
      </c>
      <c r="O136" s="18" t="s">
        <v>280</v>
      </c>
      <c r="P136" s="18" t="s">
        <v>677</v>
      </c>
      <c r="Q136" s="21" t="s">
        <v>280</v>
      </c>
      <c r="R136" s="18" t="s">
        <v>1272</v>
      </c>
      <c r="S136" s="21" t="s">
        <v>1273</v>
      </c>
      <c r="T136" s="18" t="s">
        <v>674</v>
      </c>
      <c r="U136" s="18" t="s">
        <v>464</v>
      </c>
    </row>
    <row r="137" spans="1:21" ht="14.5" x14ac:dyDescent="0.35">
      <c r="A137" s="19" t="str">
        <f t="shared" si="4"/>
        <v>DBforMariaDB/servers/databases(mdbdb-)</v>
      </c>
      <c r="B137" s="19" t="s">
        <v>678</v>
      </c>
      <c r="C137" s="19" t="s">
        <v>278</v>
      </c>
      <c r="D137" s="19" t="s">
        <v>279</v>
      </c>
      <c r="E137" s="19" t="s">
        <v>280</v>
      </c>
      <c r="F137" s="19" t="str">
        <f t="shared" si="5"/>
        <v>mdbdb-</v>
      </c>
      <c r="G137" s="19" t="s">
        <v>680</v>
      </c>
      <c r="H137" s="19" t="s">
        <v>285</v>
      </c>
      <c r="I137" s="19" t="s">
        <v>282</v>
      </c>
      <c r="J137" s="19" t="s">
        <v>681</v>
      </c>
      <c r="K137" s="19" t="s">
        <v>280</v>
      </c>
      <c r="L137" s="19" t="s">
        <v>280</v>
      </c>
      <c r="M137" s="19" t="s">
        <v>280</v>
      </c>
      <c r="N137" s="19" t="s">
        <v>280</v>
      </c>
      <c r="O137" s="19" t="s">
        <v>280</v>
      </c>
      <c r="P137" s="19" t="s">
        <v>682</v>
      </c>
      <c r="Q137" s="20" t="s">
        <v>280</v>
      </c>
      <c r="R137" s="19" t="s">
        <v>1272</v>
      </c>
      <c r="S137" s="20" t="s">
        <v>1273</v>
      </c>
      <c r="T137" s="19" t="s">
        <v>679</v>
      </c>
      <c r="U137" s="19" t="s">
        <v>464</v>
      </c>
    </row>
    <row r="138" spans="1:21" ht="14.5" x14ac:dyDescent="0.35">
      <c r="A138" s="18" t="str">
        <f t="shared" si="4"/>
        <v>DBforMariaDB/servers/firewallRules(rule-)</v>
      </c>
      <c r="B138" s="18" t="s">
        <v>683</v>
      </c>
      <c r="C138" s="18" t="s">
        <v>278</v>
      </c>
      <c r="D138" s="18" t="s">
        <v>279</v>
      </c>
      <c r="E138" s="18" t="s">
        <v>280</v>
      </c>
      <c r="F138" s="18" t="str">
        <f t="shared" si="5"/>
        <v>rule-</v>
      </c>
      <c r="G138" s="18" t="s">
        <v>680</v>
      </c>
      <c r="H138" s="18" t="s">
        <v>285</v>
      </c>
      <c r="I138" s="18" t="s">
        <v>382</v>
      </c>
      <c r="J138" s="18" t="s">
        <v>559</v>
      </c>
      <c r="K138" s="18" t="s">
        <v>280</v>
      </c>
      <c r="L138" s="18" t="s">
        <v>280</v>
      </c>
      <c r="M138" s="18" t="s">
        <v>280</v>
      </c>
      <c r="N138" s="18" t="s">
        <v>280</v>
      </c>
      <c r="O138" s="18" t="s">
        <v>280</v>
      </c>
      <c r="P138" s="18" t="s">
        <v>684</v>
      </c>
      <c r="Q138" s="21" t="s">
        <v>280</v>
      </c>
      <c r="R138" s="18" t="s">
        <v>1272</v>
      </c>
      <c r="S138" s="21" t="s">
        <v>1273</v>
      </c>
      <c r="T138" s="18" t="s">
        <v>467</v>
      </c>
      <c r="U138" s="18" t="s">
        <v>464</v>
      </c>
    </row>
    <row r="139" spans="1:21" ht="14.5" x14ac:dyDescent="0.35">
      <c r="A139" s="19" t="str">
        <f t="shared" si="4"/>
        <v>DBforMariaDB/servers/virtualNetworkRules(rule-)</v>
      </c>
      <c r="B139" s="19" t="s">
        <v>685</v>
      </c>
      <c r="C139" s="19" t="s">
        <v>278</v>
      </c>
      <c r="D139" s="19" t="s">
        <v>279</v>
      </c>
      <c r="E139" s="19" t="s">
        <v>280</v>
      </c>
      <c r="F139" s="19" t="str">
        <f t="shared" si="5"/>
        <v>rule-</v>
      </c>
      <c r="G139" s="19" t="s">
        <v>680</v>
      </c>
      <c r="H139" s="19" t="s">
        <v>285</v>
      </c>
      <c r="I139" s="19" t="s">
        <v>382</v>
      </c>
      <c r="J139" s="19" t="s">
        <v>681</v>
      </c>
      <c r="K139" s="19" t="s">
        <v>280</v>
      </c>
      <c r="L139" s="19" t="s">
        <v>280</v>
      </c>
      <c r="M139" s="19" t="s">
        <v>280</v>
      </c>
      <c r="N139" s="19" t="s">
        <v>280</v>
      </c>
      <c r="O139" s="19" t="s">
        <v>280</v>
      </c>
      <c r="P139" s="19" t="s">
        <v>686</v>
      </c>
      <c r="Q139" s="20" t="s">
        <v>280</v>
      </c>
      <c r="R139" s="19" t="s">
        <v>1272</v>
      </c>
      <c r="S139" s="20" t="s">
        <v>1273</v>
      </c>
      <c r="T139" s="19" t="s">
        <v>467</v>
      </c>
      <c r="U139" s="19" t="s">
        <v>464</v>
      </c>
    </row>
    <row r="140" spans="1:21" ht="14.5" x14ac:dyDescent="0.35">
      <c r="A140" s="18" t="str">
        <f t="shared" si="4"/>
        <v>DBforMySQL/servers(mysql-)</v>
      </c>
      <c r="B140" s="18" t="s">
        <v>687</v>
      </c>
      <c r="C140" s="18" t="s">
        <v>278</v>
      </c>
      <c r="D140" s="18" t="s">
        <v>279</v>
      </c>
      <c r="E140" s="18" t="s">
        <v>280</v>
      </c>
      <c r="F140" s="18" t="str">
        <f t="shared" si="5"/>
        <v>mysql-</v>
      </c>
      <c r="G140" s="18" t="s">
        <v>80</v>
      </c>
      <c r="H140" s="18" t="s">
        <v>281</v>
      </c>
      <c r="I140" s="18" t="s">
        <v>282</v>
      </c>
      <c r="J140" s="18" t="s">
        <v>675</v>
      </c>
      <c r="K140" s="18" t="s">
        <v>676</v>
      </c>
      <c r="L140" s="18" t="s">
        <v>280</v>
      </c>
      <c r="M140" s="18" t="s">
        <v>464</v>
      </c>
      <c r="N140" s="18" t="s">
        <v>464</v>
      </c>
      <c r="O140" s="18" t="s">
        <v>280</v>
      </c>
      <c r="P140" s="18" t="s">
        <v>677</v>
      </c>
      <c r="Q140" s="21" t="s">
        <v>280</v>
      </c>
      <c r="R140" s="18" t="s">
        <v>1272</v>
      </c>
      <c r="S140" s="21" t="s">
        <v>1273</v>
      </c>
      <c r="T140" s="18" t="s">
        <v>688</v>
      </c>
      <c r="U140" s="18" t="s">
        <v>464</v>
      </c>
    </row>
    <row r="141" spans="1:21" ht="14.5" x14ac:dyDescent="0.35">
      <c r="A141" s="19" t="str">
        <f t="shared" si="4"/>
        <v>DBforMySQL/servers/databases(db-)</v>
      </c>
      <c r="B141" s="19" t="s">
        <v>689</v>
      </c>
      <c r="C141" s="19" t="s">
        <v>278</v>
      </c>
      <c r="D141" s="19" t="s">
        <v>279</v>
      </c>
      <c r="E141" s="19" t="s">
        <v>280</v>
      </c>
      <c r="F141" s="19" t="str">
        <f t="shared" si="5"/>
        <v>db-</v>
      </c>
      <c r="G141" s="19" t="s">
        <v>680</v>
      </c>
      <c r="H141" s="19" t="s">
        <v>285</v>
      </c>
      <c r="I141" s="19" t="s">
        <v>282</v>
      </c>
      <c r="J141" s="19" t="s">
        <v>681</v>
      </c>
      <c r="K141" s="19" t="s">
        <v>280</v>
      </c>
      <c r="L141" s="19" t="s">
        <v>280</v>
      </c>
      <c r="M141" s="19" t="s">
        <v>280</v>
      </c>
      <c r="N141" s="19" t="s">
        <v>280</v>
      </c>
      <c r="O141" s="19" t="s">
        <v>280</v>
      </c>
      <c r="P141" s="19" t="s">
        <v>682</v>
      </c>
      <c r="Q141" s="20" t="s">
        <v>280</v>
      </c>
      <c r="R141" s="19" t="s">
        <v>1272</v>
      </c>
      <c r="S141" s="20" t="s">
        <v>1273</v>
      </c>
      <c r="T141" s="19" t="s">
        <v>690</v>
      </c>
      <c r="U141" s="19" t="s">
        <v>464</v>
      </c>
    </row>
    <row r="142" spans="1:21" ht="14.5" x14ac:dyDescent="0.35">
      <c r="A142" s="18" t="str">
        <f t="shared" si="4"/>
        <v>DBforMySQL/servers/firewallRules(rule-)</v>
      </c>
      <c r="B142" s="18" t="s">
        <v>691</v>
      </c>
      <c r="C142" s="18" t="s">
        <v>278</v>
      </c>
      <c r="D142" s="18" t="s">
        <v>279</v>
      </c>
      <c r="E142" s="18" t="s">
        <v>280</v>
      </c>
      <c r="F142" s="18" t="str">
        <f t="shared" si="5"/>
        <v>rule-</v>
      </c>
      <c r="G142" s="18" t="s">
        <v>680</v>
      </c>
      <c r="H142" s="18" t="s">
        <v>285</v>
      </c>
      <c r="I142" s="18" t="s">
        <v>382</v>
      </c>
      <c r="J142" s="18" t="s">
        <v>559</v>
      </c>
      <c r="K142" s="18" t="s">
        <v>280</v>
      </c>
      <c r="L142" s="18" t="s">
        <v>280</v>
      </c>
      <c r="M142" s="18" t="s">
        <v>280</v>
      </c>
      <c r="N142" s="18" t="s">
        <v>280</v>
      </c>
      <c r="O142" s="18" t="s">
        <v>280</v>
      </c>
      <c r="P142" s="18" t="s">
        <v>684</v>
      </c>
      <c r="Q142" s="21" t="s">
        <v>280</v>
      </c>
      <c r="R142" s="18" t="s">
        <v>1272</v>
      </c>
      <c r="S142" s="21" t="s">
        <v>1273</v>
      </c>
      <c r="T142" s="18" t="s">
        <v>467</v>
      </c>
      <c r="U142" s="18" t="s">
        <v>464</v>
      </c>
    </row>
    <row r="143" spans="1:21" ht="14.5" x14ac:dyDescent="0.35">
      <c r="A143" s="19" t="str">
        <f t="shared" si="4"/>
        <v>DBforMySQL/servers/virtualNetworkRules(rule-)</v>
      </c>
      <c r="B143" s="19" t="s">
        <v>692</v>
      </c>
      <c r="C143" s="19" t="s">
        <v>278</v>
      </c>
      <c r="D143" s="19" t="s">
        <v>279</v>
      </c>
      <c r="E143" s="19" t="s">
        <v>280</v>
      </c>
      <c r="F143" s="19" t="str">
        <f t="shared" si="5"/>
        <v>rule-</v>
      </c>
      <c r="G143" s="19" t="s">
        <v>680</v>
      </c>
      <c r="H143" s="19" t="s">
        <v>285</v>
      </c>
      <c r="I143" s="19" t="s">
        <v>382</v>
      </c>
      <c r="J143" s="19" t="s">
        <v>681</v>
      </c>
      <c r="K143" s="19" t="s">
        <v>280</v>
      </c>
      <c r="L143" s="19" t="s">
        <v>280</v>
      </c>
      <c r="M143" s="19" t="s">
        <v>280</v>
      </c>
      <c r="N143" s="19" t="s">
        <v>280</v>
      </c>
      <c r="O143" s="19" t="s">
        <v>280</v>
      </c>
      <c r="P143" s="19" t="s">
        <v>686</v>
      </c>
      <c r="Q143" s="20" t="s">
        <v>280</v>
      </c>
      <c r="R143" s="19" t="s">
        <v>1272</v>
      </c>
      <c r="S143" s="20" t="s">
        <v>1273</v>
      </c>
      <c r="T143" s="19" t="s">
        <v>467</v>
      </c>
      <c r="U143" s="19" t="s">
        <v>464</v>
      </c>
    </row>
    <row r="144" spans="1:21" ht="14.5" x14ac:dyDescent="0.35">
      <c r="A144" s="18" t="str">
        <f t="shared" si="4"/>
        <v>DBforPostgreSQL/servers(psql-)</v>
      </c>
      <c r="B144" s="18" t="s">
        <v>693</v>
      </c>
      <c r="C144" s="18" t="s">
        <v>278</v>
      </c>
      <c r="D144" s="18" t="s">
        <v>279</v>
      </c>
      <c r="E144" s="18" t="s">
        <v>280</v>
      </c>
      <c r="F144" s="18" t="str">
        <f t="shared" si="5"/>
        <v>psql-</v>
      </c>
      <c r="G144" s="18" t="s">
        <v>80</v>
      </c>
      <c r="H144" s="18" t="s">
        <v>281</v>
      </c>
      <c r="I144" s="18" t="s">
        <v>282</v>
      </c>
      <c r="J144" s="18" t="s">
        <v>675</v>
      </c>
      <c r="K144" s="18" t="s">
        <v>676</v>
      </c>
      <c r="L144" s="18" t="s">
        <v>280</v>
      </c>
      <c r="M144" s="18" t="s">
        <v>464</v>
      </c>
      <c r="N144" s="18" t="s">
        <v>464</v>
      </c>
      <c r="O144" s="18" t="s">
        <v>280</v>
      </c>
      <c r="P144" s="18" t="s">
        <v>677</v>
      </c>
      <c r="Q144" s="21" t="s">
        <v>280</v>
      </c>
      <c r="R144" s="18" t="s">
        <v>1272</v>
      </c>
      <c r="S144" s="21" t="s">
        <v>1273</v>
      </c>
      <c r="T144" s="18" t="s">
        <v>694</v>
      </c>
      <c r="U144" s="18" t="s">
        <v>464</v>
      </c>
    </row>
    <row r="145" spans="1:21" ht="14.5" x14ac:dyDescent="0.35">
      <c r="A145" s="19" t="str">
        <f t="shared" si="4"/>
        <v>DBforPostgreSQL/servers/databases(db-)</v>
      </c>
      <c r="B145" s="19" t="s">
        <v>695</v>
      </c>
      <c r="C145" s="19" t="s">
        <v>278</v>
      </c>
      <c r="D145" s="19" t="s">
        <v>279</v>
      </c>
      <c r="E145" s="19" t="s">
        <v>280</v>
      </c>
      <c r="F145" s="19" t="str">
        <f t="shared" si="5"/>
        <v>db-</v>
      </c>
      <c r="G145" s="19" t="s">
        <v>680</v>
      </c>
      <c r="H145" s="19" t="s">
        <v>285</v>
      </c>
      <c r="I145" s="19" t="s">
        <v>282</v>
      </c>
      <c r="J145" s="19" t="s">
        <v>681</v>
      </c>
      <c r="K145" s="19" t="s">
        <v>280</v>
      </c>
      <c r="L145" s="19" t="s">
        <v>280</v>
      </c>
      <c r="M145" s="19" t="s">
        <v>280</v>
      </c>
      <c r="N145" s="19" t="s">
        <v>280</v>
      </c>
      <c r="O145" s="19" t="s">
        <v>280</v>
      </c>
      <c r="P145" s="19" t="s">
        <v>682</v>
      </c>
      <c r="Q145" s="20" t="s">
        <v>280</v>
      </c>
      <c r="R145" s="19" t="s">
        <v>1272</v>
      </c>
      <c r="S145" s="20" t="s">
        <v>1273</v>
      </c>
      <c r="T145" s="19" t="s">
        <v>690</v>
      </c>
      <c r="U145" s="19" t="s">
        <v>464</v>
      </c>
    </row>
    <row r="146" spans="1:21" ht="14.5" x14ac:dyDescent="0.35">
      <c r="A146" s="18" t="str">
        <f t="shared" si="4"/>
        <v>DBforPostgreSQL/servers/firewallRules(rule-)</v>
      </c>
      <c r="B146" s="18" t="s">
        <v>696</v>
      </c>
      <c r="C146" s="18" t="s">
        <v>278</v>
      </c>
      <c r="D146" s="18" t="s">
        <v>279</v>
      </c>
      <c r="E146" s="18" t="s">
        <v>280</v>
      </c>
      <c r="F146" s="18" t="str">
        <f t="shared" si="5"/>
        <v>rule-</v>
      </c>
      <c r="G146" s="18" t="s">
        <v>680</v>
      </c>
      <c r="H146" s="18" t="s">
        <v>285</v>
      </c>
      <c r="I146" s="18" t="s">
        <v>382</v>
      </c>
      <c r="J146" s="18" t="s">
        <v>559</v>
      </c>
      <c r="K146" s="18" t="s">
        <v>280</v>
      </c>
      <c r="L146" s="18" t="s">
        <v>280</v>
      </c>
      <c r="M146" s="18" t="s">
        <v>280</v>
      </c>
      <c r="N146" s="18" t="s">
        <v>280</v>
      </c>
      <c r="O146" s="18" t="s">
        <v>280</v>
      </c>
      <c r="P146" s="18" t="s">
        <v>684</v>
      </c>
      <c r="Q146" s="21" t="s">
        <v>280</v>
      </c>
      <c r="R146" s="18" t="s">
        <v>1272</v>
      </c>
      <c r="S146" s="21" t="s">
        <v>1273</v>
      </c>
      <c r="T146" s="18" t="s">
        <v>467</v>
      </c>
      <c r="U146" s="18" t="s">
        <v>464</v>
      </c>
    </row>
    <row r="147" spans="1:21" ht="14.5" x14ac:dyDescent="0.35">
      <c r="A147" s="19" t="str">
        <f t="shared" si="4"/>
        <v>DBforPostgreSQL/servers/virtualNetworkRules(rule-)</v>
      </c>
      <c r="B147" s="19" t="s">
        <v>697</v>
      </c>
      <c r="C147" s="19" t="s">
        <v>278</v>
      </c>
      <c r="D147" s="19" t="s">
        <v>279</v>
      </c>
      <c r="E147" s="19" t="s">
        <v>280</v>
      </c>
      <c r="F147" s="19" t="str">
        <f t="shared" si="5"/>
        <v>rule-</v>
      </c>
      <c r="G147" s="19" t="s">
        <v>680</v>
      </c>
      <c r="H147" s="19" t="s">
        <v>285</v>
      </c>
      <c r="I147" s="19" t="s">
        <v>382</v>
      </c>
      <c r="J147" s="19" t="s">
        <v>681</v>
      </c>
      <c r="K147" s="19" t="s">
        <v>280</v>
      </c>
      <c r="L147" s="19" t="s">
        <v>280</v>
      </c>
      <c r="M147" s="19" t="s">
        <v>280</v>
      </c>
      <c r="N147" s="19" t="s">
        <v>280</v>
      </c>
      <c r="O147" s="19" t="s">
        <v>280</v>
      </c>
      <c r="P147" s="19" t="s">
        <v>686</v>
      </c>
      <c r="Q147" s="20" t="s">
        <v>280</v>
      </c>
      <c r="R147" s="19" t="s">
        <v>1272</v>
      </c>
      <c r="S147" s="20" t="s">
        <v>1273</v>
      </c>
      <c r="T147" s="19" t="s">
        <v>467</v>
      </c>
      <c r="U147" s="19" t="s">
        <v>464</v>
      </c>
    </row>
    <row r="148" spans="1:21" ht="14.5" x14ac:dyDescent="0.35">
      <c r="A148" s="18" t="str">
        <f t="shared" si="4"/>
        <v>Devices/IotHubs(iot-)</v>
      </c>
      <c r="B148" s="18" t="s">
        <v>698</v>
      </c>
      <c r="C148" s="18" t="s">
        <v>278</v>
      </c>
      <c r="D148" s="18" t="s">
        <v>279</v>
      </c>
      <c r="E148" s="18" t="s">
        <v>280</v>
      </c>
      <c r="F148" s="18" t="str">
        <f t="shared" si="5"/>
        <v>iot-</v>
      </c>
      <c r="G148" s="18" t="s">
        <v>80</v>
      </c>
      <c r="H148" s="18" t="s">
        <v>281</v>
      </c>
      <c r="I148" s="18" t="s">
        <v>286</v>
      </c>
      <c r="J148" s="18" t="s">
        <v>681</v>
      </c>
      <c r="K148" s="18" t="s">
        <v>700</v>
      </c>
      <c r="L148" s="18" t="s">
        <v>280</v>
      </c>
      <c r="M148" s="18" t="s">
        <v>280</v>
      </c>
      <c r="N148" s="18" t="s">
        <v>464</v>
      </c>
      <c r="O148" s="18" t="s">
        <v>280</v>
      </c>
      <c r="P148" s="18" t="s">
        <v>701</v>
      </c>
      <c r="Q148" s="21" t="s">
        <v>280</v>
      </c>
      <c r="R148" s="18" t="s">
        <v>1272</v>
      </c>
      <c r="S148" s="21" t="s">
        <v>1273</v>
      </c>
      <c r="T148" s="18" t="s">
        <v>699</v>
      </c>
      <c r="U148" s="18" t="s">
        <v>464</v>
      </c>
    </row>
    <row r="149" spans="1:21" ht="14.5" x14ac:dyDescent="0.35">
      <c r="A149" s="19" t="str">
        <f t="shared" si="4"/>
        <v>Devices/IotHubs/certificates(cert-)</v>
      </c>
      <c r="B149" s="19" t="s">
        <v>702</v>
      </c>
      <c r="C149" s="19" t="s">
        <v>278</v>
      </c>
      <c r="D149" s="19" t="s">
        <v>279</v>
      </c>
      <c r="E149" s="19" t="s">
        <v>280</v>
      </c>
      <c r="F149" s="19" t="str">
        <f t="shared" si="5"/>
        <v>cert-</v>
      </c>
      <c r="G149" s="19" t="s">
        <v>72</v>
      </c>
      <c r="H149" s="19" t="s">
        <v>285</v>
      </c>
      <c r="I149" s="19" t="s">
        <v>379</v>
      </c>
      <c r="J149" s="19" t="s">
        <v>671</v>
      </c>
      <c r="K149" s="19" t="s">
        <v>280</v>
      </c>
      <c r="L149" s="19" t="s">
        <v>280</v>
      </c>
      <c r="M149" s="19" t="s">
        <v>280</v>
      </c>
      <c r="N149" s="19" t="s">
        <v>280</v>
      </c>
      <c r="O149" s="19" t="s">
        <v>280</v>
      </c>
      <c r="P149" s="19" t="s">
        <v>703</v>
      </c>
      <c r="Q149" s="20" t="s">
        <v>280</v>
      </c>
      <c r="R149" s="19" t="s">
        <v>1272</v>
      </c>
      <c r="S149" s="20" t="s">
        <v>1273</v>
      </c>
      <c r="T149" s="19" t="s">
        <v>396</v>
      </c>
      <c r="U149" s="19" t="s">
        <v>464</v>
      </c>
    </row>
    <row r="150" spans="1:21" ht="14.5" x14ac:dyDescent="0.35">
      <c r="A150" s="18" t="str">
        <f t="shared" si="4"/>
        <v>Devices/IotHubs/eventHubEndpoints/ConsumerGroups(congp-)</v>
      </c>
      <c r="B150" s="18" t="s">
        <v>704</v>
      </c>
      <c r="C150" s="18" t="s">
        <v>278</v>
      </c>
      <c r="D150" s="18" t="s">
        <v>279</v>
      </c>
      <c r="E150" s="18" t="s">
        <v>280</v>
      </c>
      <c r="F150" s="18" t="str">
        <f t="shared" si="5"/>
        <v>congp-</v>
      </c>
      <c r="G150" s="18" t="s">
        <v>706</v>
      </c>
      <c r="H150" s="18" t="s">
        <v>285</v>
      </c>
      <c r="I150" s="18" t="s">
        <v>286</v>
      </c>
      <c r="J150" s="18" t="s">
        <v>671</v>
      </c>
      <c r="K150" s="18" t="s">
        <v>280</v>
      </c>
      <c r="L150" s="18" t="s">
        <v>280</v>
      </c>
      <c r="M150" s="18" t="s">
        <v>280</v>
      </c>
      <c r="N150" s="18" t="s">
        <v>280</v>
      </c>
      <c r="O150" s="18" t="s">
        <v>280</v>
      </c>
      <c r="P150" s="18" t="s">
        <v>707</v>
      </c>
      <c r="Q150" s="21" t="s">
        <v>280</v>
      </c>
      <c r="R150" s="18" t="s">
        <v>1272</v>
      </c>
      <c r="S150" s="21" t="s">
        <v>1273</v>
      </c>
      <c r="T150" s="18" t="s">
        <v>705</v>
      </c>
      <c r="U150" s="18" t="s">
        <v>464</v>
      </c>
    </row>
    <row r="151" spans="1:21" ht="14.5" x14ac:dyDescent="0.35">
      <c r="A151" s="19" t="str">
        <f t="shared" si="4"/>
        <v>Devices/provisioningServices(provs-)</v>
      </c>
      <c r="B151" s="19" t="s">
        <v>708</v>
      </c>
      <c r="C151" s="19" t="s">
        <v>278</v>
      </c>
      <c r="D151" s="19" t="s">
        <v>279</v>
      </c>
      <c r="E151" s="19" t="s">
        <v>280</v>
      </c>
      <c r="F151" s="19" t="str">
        <f t="shared" si="5"/>
        <v>provs-</v>
      </c>
      <c r="G151" s="19" t="s">
        <v>78</v>
      </c>
      <c r="H151" s="19" t="s">
        <v>281</v>
      </c>
      <c r="I151" s="19" t="s">
        <v>379</v>
      </c>
      <c r="J151" s="19" t="s">
        <v>710</v>
      </c>
      <c r="K151" s="19" t="s">
        <v>280</v>
      </c>
      <c r="L151" s="19" t="s">
        <v>280</v>
      </c>
      <c r="M151" s="19" t="s">
        <v>280</v>
      </c>
      <c r="N151" s="19" t="s">
        <v>280</v>
      </c>
      <c r="O151" s="19" t="s">
        <v>280</v>
      </c>
      <c r="P151" s="19" t="s">
        <v>711</v>
      </c>
      <c r="Q151" s="20" t="s">
        <v>280</v>
      </c>
      <c r="R151" s="19" t="s">
        <v>1272</v>
      </c>
      <c r="S151" s="20" t="s">
        <v>1273</v>
      </c>
      <c r="T151" s="19" t="s">
        <v>709</v>
      </c>
      <c r="U151" s="19" t="s">
        <v>464</v>
      </c>
    </row>
    <row r="152" spans="1:21" ht="14.5" x14ac:dyDescent="0.35">
      <c r="A152" s="18" t="str">
        <f t="shared" si="4"/>
        <v>Devices/provisioningServices/certificates(pcert-)</v>
      </c>
      <c r="B152" s="18" t="s">
        <v>712</v>
      </c>
      <c r="C152" s="18" t="s">
        <v>278</v>
      </c>
      <c r="D152" s="18" t="s">
        <v>279</v>
      </c>
      <c r="E152" s="18" t="s">
        <v>280</v>
      </c>
      <c r="F152" s="18" t="str">
        <f t="shared" si="5"/>
        <v>pcert-</v>
      </c>
      <c r="G152" s="18" t="s">
        <v>714</v>
      </c>
      <c r="H152" s="18" t="s">
        <v>285</v>
      </c>
      <c r="I152" s="18" t="s">
        <v>379</v>
      </c>
      <c r="J152" s="18" t="s">
        <v>671</v>
      </c>
      <c r="K152" s="18" t="s">
        <v>280</v>
      </c>
      <c r="L152" s="18" t="s">
        <v>280</v>
      </c>
      <c r="M152" s="18" t="s">
        <v>280</v>
      </c>
      <c r="N152" s="18" t="s">
        <v>280</v>
      </c>
      <c r="O152" s="18" t="s">
        <v>280</v>
      </c>
      <c r="P152" s="18" t="s">
        <v>715</v>
      </c>
      <c r="Q152" s="21" t="s">
        <v>280</v>
      </c>
      <c r="R152" s="18" t="s">
        <v>1272</v>
      </c>
      <c r="S152" s="21" t="s">
        <v>1273</v>
      </c>
      <c r="T152" s="18" t="s">
        <v>713</v>
      </c>
      <c r="U152" s="18" t="s">
        <v>464</v>
      </c>
    </row>
    <row r="153" spans="1:21" ht="14.5" x14ac:dyDescent="0.35">
      <c r="A153" s="19" t="str">
        <f t="shared" si="4"/>
        <v>DevTestLab/labs(dtlab-)</v>
      </c>
      <c r="B153" s="19" t="s">
        <v>716</v>
      </c>
      <c r="C153" s="19" t="s">
        <v>278</v>
      </c>
      <c r="D153" s="19" t="s">
        <v>279</v>
      </c>
      <c r="E153" s="19" t="s">
        <v>280</v>
      </c>
      <c r="F153" s="19" t="str">
        <f t="shared" si="5"/>
        <v>dtlab-</v>
      </c>
      <c r="G153" s="19" t="s">
        <v>78</v>
      </c>
      <c r="H153" s="19" t="s">
        <v>285</v>
      </c>
      <c r="I153" s="19" t="s">
        <v>286</v>
      </c>
      <c r="J153" s="19" t="s">
        <v>360</v>
      </c>
      <c r="K153" s="19" t="s">
        <v>280</v>
      </c>
      <c r="L153" s="19" t="s">
        <v>280</v>
      </c>
      <c r="M153" s="19" t="s">
        <v>280</v>
      </c>
      <c r="N153" s="19" t="s">
        <v>280</v>
      </c>
      <c r="O153" s="19" t="s">
        <v>280</v>
      </c>
      <c r="P153" s="19" t="s">
        <v>81</v>
      </c>
      <c r="Q153" s="20" t="s">
        <v>280</v>
      </c>
      <c r="R153" s="19" t="s">
        <v>1272</v>
      </c>
      <c r="S153" s="20" t="s">
        <v>1273</v>
      </c>
      <c r="T153" s="19" t="s">
        <v>717</v>
      </c>
      <c r="U153" s="19" t="s">
        <v>464</v>
      </c>
    </row>
    <row r="154" spans="1:21" ht="14.5" x14ac:dyDescent="0.35">
      <c r="A154" s="18" t="str">
        <f t="shared" si="4"/>
        <v>DevTestLab/labs/customimages(img-)</v>
      </c>
      <c r="B154" s="18" t="s">
        <v>718</v>
      </c>
      <c r="C154" s="18" t="s">
        <v>278</v>
      </c>
      <c r="D154" s="18" t="s">
        <v>279</v>
      </c>
      <c r="E154" s="18" t="s">
        <v>280</v>
      </c>
      <c r="F154" s="18" t="str">
        <f t="shared" si="5"/>
        <v>img-</v>
      </c>
      <c r="G154" s="18" t="s">
        <v>720</v>
      </c>
      <c r="H154" s="18" t="s">
        <v>285</v>
      </c>
      <c r="I154" s="18" t="s">
        <v>306</v>
      </c>
      <c r="J154" s="18" t="s">
        <v>721</v>
      </c>
      <c r="K154" s="18" t="s">
        <v>280</v>
      </c>
      <c r="L154" s="18" t="s">
        <v>280</v>
      </c>
      <c r="M154" s="18" t="s">
        <v>280</v>
      </c>
      <c r="N154" s="18" t="s">
        <v>280</v>
      </c>
      <c r="O154" s="18" t="s">
        <v>280</v>
      </c>
      <c r="P154" s="18" t="s">
        <v>722</v>
      </c>
      <c r="Q154" s="21" t="s">
        <v>280</v>
      </c>
      <c r="R154" s="18" t="s">
        <v>1272</v>
      </c>
      <c r="S154" s="21" t="s">
        <v>1273</v>
      </c>
      <c r="T154" s="18" t="s">
        <v>719</v>
      </c>
      <c r="U154" s="18" t="s">
        <v>464</v>
      </c>
    </row>
    <row r="155" spans="1:21" ht="14.5" x14ac:dyDescent="0.35">
      <c r="A155" s="19" t="str">
        <f t="shared" si="4"/>
        <v>DevTestLab/labs/formulas(form-)</v>
      </c>
      <c r="B155" s="19" t="s">
        <v>723</v>
      </c>
      <c r="C155" s="19" t="s">
        <v>278</v>
      </c>
      <c r="D155" s="19" t="s">
        <v>279</v>
      </c>
      <c r="E155" s="19" t="s">
        <v>280</v>
      </c>
      <c r="F155" s="19" t="str">
        <f t="shared" si="5"/>
        <v>form-</v>
      </c>
      <c r="G155" s="19" t="s">
        <v>720</v>
      </c>
      <c r="H155" s="19" t="s">
        <v>285</v>
      </c>
      <c r="I155" s="19" t="s">
        <v>306</v>
      </c>
      <c r="J155" s="19" t="s">
        <v>721</v>
      </c>
      <c r="K155" s="19" t="s">
        <v>280</v>
      </c>
      <c r="L155" s="19" t="s">
        <v>280</v>
      </c>
      <c r="M155" s="19" t="s">
        <v>280</v>
      </c>
      <c r="N155" s="19" t="s">
        <v>280</v>
      </c>
      <c r="O155" s="19" t="s">
        <v>280</v>
      </c>
      <c r="P155" s="19" t="s">
        <v>722</v>
      </c>
      <c r="Q155" s="20" t="s">
        <v>280</v>
      </c>
      <c r="R155" s="19" t="s">
        <v>1272</v>
      </c>
      <c r="S155" s="20" t="s">
        <v>1273</v>
      </c>
      <c r="T155" s="19" t="s">
        <v>724</v>
      </c>
      <c r="U155" s="19" t="s">
        <v>464</v>
      </c>
    </row>
    <row r="156" spans="1:21" ht="14.5" x14ac:dyDescent="0.35">
      <c r="A156" s="18" t="str">
        <f t="shared" si="4"/>
        <v>DevTestLab/labs/virtualmachinesLinux(vm-)</v>
      </c>
      <c r="B156" s="18" t="s">
        <v>725</v>
      </c>
      <c r="C156" s="18" t="s">
        <v>278</v>
      </c>
      <c r="D156" s="18" t="s">
        <v>221</v>
      </c>
      <c r="E156" s="18" t="s">
        <v>525</v>
      </c>
      <c r="F156" s="18" t="str">
        <f t="shared" si="5"/>
        <v>vm-</v>
      </c>
      <c r="G156" s="18" t="s">
        <v>720</v>
      </c>
      <c r="H156" s="18" t="s">
        <v>285</v>
      </c>
      <c r="I156" s="18" t="s">
        <v>379</v>
      </c>
      <c r="J156" s="18" t="s">
        <v>462</v>
      </c>
      <c r="K156" s="18" t="s">
        <v>726</v>
      </c>
      <c r="L156" s="18" t="s">
        <v>280</v>
      </c>
      <c r="M156" s="18" t="s">
        <v>280</v>
      </c>
      <c r="N156" s="18" t="s">
        <v>280</v>
      </c>
      <c r="O156" s="18" t="s">
        <v>280</v>
      </c>
      <c r="P156" s="18" t="s">
        <v>727</v>
      </c>
      <c r="Q156" s="21" t="s">
        <v>280</v>
      </c>
      <c r="R156" s="18" t="s">
        <v>1270</v>
      </c>
      <c r="S156" s="21"/>
      <c r="T156" s="18" t="s">
        <v>526</v>
      </c>
      <c r="U156" s="18" t="s">
        <v>464</v>
      </c>
    </row>
    <row r="157" spans="1:21" ht="14.5" x14ac:dyDescent="0.35">
      <c r="A157" s="19" t="str">
        <f t="shared" si="4"/>
        <v>DevTestLab/labs/virtualmachinesWindows(vm-)</v>
      </c>
      <c r="B157" s="19" t="s">
        <v>725</v>
      </c>
      <c r="C157" s="19" t="s">
        <v>278</v>
      </c>
      <c r="D157" s="19" t="s">
        <v>221</v>
      </c>
      <c r="E157" s="19" t="s">
        <v>531</v>
      </c>
      <c r="F157" s="19" t="str">
        <f t="shared" si="5"/>
        <v>vm-</v>
      </c>
      <c r="G157" s="19" t="s">
        <v>720</v>
      </c>
      <c r="H157" s="19" t="s">
        <v>285</v>
      </c>
      <c r="I157" s="19" t="s">
        <v>532</v>
      </c>
      <c r="J157" s="19" t="s">
        <v>462</v>
      </c>
      <c r="K157" s="19" t="s">
        <v>726</v>
      </c>
      <c r="L157" s="19" t="s">
        <v>280</v>
      </c>
      <c r="M157" s="19" t="s">
        <v>280</v>
      </c>
      <c r="N157" s="19" t="s">
        <v>280</v>
      </c>
      <c r="O157" s="19" t="s">
        <v>280</v>
      </c>
      <c r="P157" s="19" t="s">
        <v>728</v>
      </c>
      <c r="Q157" s="20" t="s">
        <v>280</v>
      </c>
      <c r="R157" s="19" t="s">
        <v>1270</v>
      </c>
      <c r="S157" s="20"/>
      <c r="T157" s="19" t="s">
        <v>526</v>
      </c>
      <c r="U157" s="19" t="s">
        <v>464</v>
      </c>
    </row>
    <row r="158" spans="1:21" ht="14.5" x14ac:dyDescent="0.35">
      <c r="A158" s="18" t="str">
        <f t="shared" si="4"/>
        <v>DocumentDB/databaseAccounts(dbact-)</v>
      </c>
      <c r="B158" s="18" t="s">
        <v>729</v>
      </c>
      <c r="C158" s="18" t="s">
        <v>278</v>
      </c>
      <c r="D158" s="18" t="s">
        <v>279</v>
      </c>
      <c r="E158" s="18" t="s">
        <v>280</v>
      </c>
      <c r="F158" s="18" t="str">
        <f t="shared" si="5"/>
        <v>dbact-</v>
      </c>
      <c r="G158" s="18" t="s">
        <v>80</v>
      </c>
      <c r="H158" s="18" t="s">
        <v>281</v>
      </c>
      <c r="I158" s="18" t="s">
        <v>731</v>
      </c>
      <c r="J158" s="18" t="s">
        <v>732</v>
      </c>
      <c r="K158" s="18" t="s">
        <v>280</v>
      </c>
      <c r="L158" s="18" t="s">
        <v>280</v>
      </c>
      <c r="M158" s="18" t="s">
        <v>280</v>
      </c>
      <c r="N158" s="18" t="s">
        <v>280</v>
      </c>
      <c r="O158" s="18" t="s">
        <v>280</v>
      </c>
      <c r="P158" s="18" t="s">
        <v>733</v>
      </c>
      <c r="Q158" s="21" t="s">
        <v>280</v>
      </c>
      <c r="R158" s="18" t="s">
        <v>1272</v>
      </c>
      <c r="S158" s="21" t="s">
        <v>1273</v>
      </c>
      <c r="T158" s="18" t="s">
        <v>730</v>
      </c>
      <c r="U158" s="18" t="s">
        <v>464</v>
      </c>
    </row>
    <row r="159" spans="1:21" ht="14.5" x14ac:dyDescent="0.35">
      <c r="A159" s="19" t="str">
        <f t="shared" si="4"/>
        <v>DocumentDB/databaseAccounts/sqlDatabases(cosmos-)</v>
      </c>
      <c r="B159" s="19" t="s">
        <v>734</v>
      </c>
      <c r="C159" s="19" t="s">
        <v>280</v>
      </c>
      <c r="D159" s="19" t="s">
        <v>280</v>
      </c>
      <c r="E159" s="19" t="s">
        <v>280</v>
      </c>
      <c r="F159" s="19" t="str">
        <f t="shared" si="5"/>
        <v>cosmos-</v>
      </c>
      <c r="G159" s="19" t="s">
        <v>280</v>
      </c>
      <c r="H159" s="19" t="s">
        <v>280</v>
      </c>
      <c r="I159" s="19" t="s">
        <v>280</v>
      </c>
      <c r="J159" s="19" t="s">
        <v>280</v>
      </c>
      <c r="K159" s="19" t="s">
        <v>280</v>
      </c>
      <c r="L159" s="19" t="s">
        <v>280</v>
      </c>
      <c r="M159" s="19" t="s">
        <v>280</v>
      </c>
      <c r="N159" s="19" t="s">
        <v>280</v>
      </c>
      <c r="O159" s="19" t="s">
        <v>280</v>
      </c>
      <c r="P159" s="19" t="s">
        <v>280</v>
      </c>
      <c r="Q159" s="20" t="s">
        <v>280</v>
      </c>
      <c r="R159" s="19" t="s">
        <v>1268</v>
      </c>
      <c r="S159" s="20"/>
      <c r="T159" s="19" t="s">
        <v>735</v>
      </c>
      <c r="U159" s="19" t="s">
        <v>464</v>
      </c>
    </row>
    <row r="160" spans="1:21" ht="14.5" x14ac:dyDescent="0.35">
      <c r="A160" s="18" t="str">
        <f t="shared" si="4"/>
        <v>EventGrid/domains(evgd-)</v>
      </c>
      <c r="B160" s="18" t="s">
        <v>736</v>
      </c>
      <c r="C160" s="18" t="s">
        <v>278</v>
      </c>
      <c r="D160" s="18" t="s">
        <v>279</v>
      </c>
      <c r="E160" s="18" t="s">
        <v>280</v>
      </c>
      <c r="F160" s="18" t="str">
        <f t="shared" si="5"/>
        <v>evgd-</v>
      </c>
      <c r="G160" s="18" t="s">
        <v>78</v>
      </c>
      <c r="H160" s="18" t="s">
        <v>281</v>
      </c>
      <c r="I160" s="18" t="s">
        <v>286</v>
      </c>
      <c r="J160" s="18" t="s">
        <v>681</v>
      </c>
      <c r="K160" s="18" t="s">
        <v>280</v>
      </c>
      <c r="L160" s="18" t="s">
        <v>280</v>
      </c>
      <c r="M160" s="18" t="s">
        <v>280</v>
      </c>
      <c r="N160" s="18" t="s">
        <v>280</v>
      </c>
      <c r="O160" s="18" t="s">
        <v>280</v>
      </c>
      <c r="P160" s="18" t="s">
        <v>738</v>
      </c>
      <c r="Q160" s="21" t="s">
        <v>280</v>
      </c>
      <c r="R160" s="18" t="s">
        <v>1272</v>
      </c>
      <c r="S160" s="21" t="s">
        <v>1273</v>
      </c>
      <c r="T160" s="18" t="s">
        <v>737</v>
      </c>
      <c r="U160" s="18" t="s">
        <v>464</v>
      </c>
    </row>
    <row r="161" spans="1:21" ht="14.5" x14ac:dyDescent="0.35">
      <c r="A161" s="19" t="str">
        <f t="shared" si="4"/>
        <v>EventGrid/domains/topics(evgt-)</v>
      </c>
      <c r="B161" s="19" t="s">
        <v>739</v>
      </c>
      <c r="C161" s="19" t="s">
        <v>278</v>
      </c>
      <c r="D161" s="19" t="s">
        <v>279</v>
      </c>
      <c r="E161" s="19" t="s">
        <v>280</v>
      </c>
      <c r="F161" s="19" t="str">
        <f t="shared" si="5"/>
        <v>evgt-</v>
      </c>
      <c r="G161" s="19" t="s">
        <v>741</v>
      </c>
      <c r="H161" s="19" t="s">
        <v>281</v>
      </c>
      <c r="I161" s="19" t="s">
        <v>286</v>
      </c>
      <c r="J161" s="19" t="s">
        <v>681</v>
      </c>
      <c r="K161" s="19" t="s">
        <v>280</v>
      </c>
      <c r="L161" s="19" t="s">
        <v>280</v>
      </c>
      <c r="M161" s="19" t="s">
        <v>280</v>
      </c>
      <c r="N161" s="19" t="s">
        <v>280</v>
      </c>
      <c r="O161" s="19" t="s">
        <v>280</v>
      </c>
      <c r="P161" s="19" t="s">
        <v>738</v>
      </c>
      <c r="Q161" s="20" t="s">
        <v>280</v>
      </c>
      <c r="R161" s="19" t="s">
        <v>1272</v>
      </c>
      <c r="S161" s="20" t="s">
        <v>1273</v>
      </c>
      <c r="T161" s="19" t="s">
        <v>740</v>
      </c>
      <c r="U161" s="19" t="s">
        <v>464</v>
      </c>
    </row>
    <row r="162" spans="1:21" ht="14.5" x14ac:dyDescent="0.35">
      <c r="A162" s="18" t="str">
        <f t="shared" si="4"/>
        <v>EventGrid/eventSubscriptions(evgs-)</v>
      </c>
      <c r="B162" s="18" t="s">
        <v>742</v>
      </c>
      <c r="C162" s="18" t="s">
        <v>278</v>
      </c>
      <c r="D162" s="18" t="s">
        <v>279</v>
      </c>
      <c r="E162" s="18" t="s">
        <v>280</v>
      </c>
      <c r="F162" s="18" t="str">
        <f t="shared" si="5"/>
        <v>evgs-</v>
      </c>
      <c r="G162" s="18" t="s">
        <v>78</v>
      </c>
      <c r="H162" s="18" t="s">
        <v>281</v>
      </c>
      <c r="I162" s="18" t="s">
        <v>379</v>
      </c>
      <c r="J162" s="18" t="s">
        <v>681</v>
      </c>
      <c r="K162" s="18" t="s">
        <v>280</v>
      </c>
      <c r="L162" s="18" t="s">
        <v>280</v>
      </c>
      <c r="M162" s="18" t="s">
        <v>280</v>
      </c>
      <c r="N162" s="18" t="s">
        <v>280</v>
      </c>
      <c r="O162" s="18" t="s">
        <v>280</v>
      </c>
      <c r="P162" s="18" t="s">
        <v>744</v>
      </c>
      <c r="Q162" s="21" t="s">
        <v>280</v>
      </c>
      <c r="R162" s="18" t="s">
        <v>1272</v>
      </c>
      <c r="S162" s="21" t="s">
        <v>1273</v>
      </c>
      <c r="T162" s="18" t="s">
        <v>743</v>
      </c>
      <c r="U162" s="18" t="s">
        <v>464</v>
      </c>
    </row>
    <row r="163" spans="1:21" ht="14.5" x14ac:dyDescent="0.35">
      <c r="A163" s="19" t="str">
        <f t="shared" si="4"/>
        <v>EventGrid/topics(egtp-)</v>
      </c>
      <c r="B163" s="19" t="s">
        <v>745</v>
      </c>
      <c r="C163" s="19" t="s">
        <v>278</v>
      </c>
      <c r="D163" s="19" t="s">
        <v>279</v>
      </c>
      <c r="E163" s="19" t="s">
        <v>280</v>
      </c>
      <c r="F163" s="19" t="str">
        <f t="shared" si="5"/>
        <v>egtp-</v>
      </c>
      <c r="G163" s="19" t="s">
        <v>78</v>
      </c>
      <c r="H163" s="19" t="s">
        <v>281</v>
      </c>
      <c r="I163" s="19" t="s">
        <v>286</v>
      </c>
      <c r="J163" s="19" t="s">
        <v>681</v>
      </c>
      <c r="K163" s="19" t="s">
        <v>280</v>
      </c>
      <c r="L163" s="19" t="s">
        <v>280</v>
      </c>
      <c r="M163" s="19" t="s">
        <v>280</v>
      </c>
      <c r="N163" s="19" t="s">
        <v>280</v>
      </c>
      <c r="O163" s="19" t="s">
        <v>280</v>
      </c>
      <c r="P163" s="19" t="s">
        <v>738</v>
      </c>
      <c r="Q163" s="20" t="s">
        <v>280</v>
      </c>
      <c r="R163" s="19" t="s">
        <v>1272</v>
      </c>
      <c r="S163" s="20" t="s">
        <v>1273</v>
      </c>
      <c r="T163" s="19" t="s">
        <v>746</v>
      </c>
      <c r="U163" s="19" t="s">
        <v>464</v>
      </c>
    </row>
    <row r="164" spans="1:21" ht="14.5" x14ac:dyDescent="0.35">
      <c r="A164" s="18" t="str">
        <f t="shared" si="4"/>
        <v>EventHub/clusters(evhcl-)</v>
      </c>
      <c r="B164" s="18" t="s">
        <v>747</v>
      </c>
      <c r="C164" s="18" t="s">
        <v>278</v>
      </c>
      <c r="D164" s="18" t="s">
        <v>279</v>
      </c>
      <c r="E164" s="18" t="s">
        <v>280</v>
      </c>
      <c r="F164" s="18" t="str">
        <f t="shared" si="5"/>
        <v>evhcl-</v>
      </c>
      <c r="G164" s="18" t="s">
        <v>78</v>
      </c>
      <c r="H164" s="18" t="s">
        <v>285</v>
      </c>
      <c r="I164" s="18" t="s">
        <v>286</v>
      </c>
      <c r="J164" s="18" t="s">
        <v>749</v>
      </c>
      <c r="K164" s="18" t="s">
        <v>280</v>
      </c>
      <c r="L164" s="18" t="s">
        <v>280</v>
      </c>
      <c r="M164" s="18" t="s">
        <v>280</v>
      </c>
      <c r="N164" s="18" t="s">
        <v>280</v>
      </c>
      <c r="O164" s="18" t="s">
        <v>280</v>
      </c>
      <c r="P164" s="18" t="s">
        <v>253</v>
      </c>
      <c r="Q164" s="21" t="s">
        <v>280</v>
      </c>
      <c r="R164" s="18" t="s">
        <v>1272</v>
      </c>
      <c r="S164" s="21" t="s">
        <v>1273</v>
      </c>
      <c r="T164" s="18" t="s">
        <v>748</v>
      </c>
      <c r="U164" s="18" t="s">
        <v>464</v>
      </c>
    </row>
    <row r="165" spans="1:21" ht="14.5" x14ac:dyDescent="0.35">
      <c r="A165" s="19" t="str">
        <f t="shared" si="4"/>
        <v>EventHub/namespaces(evhns-)</v>
      </c>
      <c r="B165" s="19" t="s">
        <v>750</v>
      </c>
      <c r="C165" s="19" t="s">
        <v>278</v>
      </c>
      <c r="D165" s="19" t="s">
        <v>279</v>
      </c>
      <c r="E165" s="19" t="s">
        <v>280</v>
      </c>
      <c r="F165" s="19" t="str">
        <f t="shared" si="5"/>
        <v>evhns-</v>
      </c>
      <c r="G165" s="19" t="s">
        <v>80</v>
      </c>
      <c r="H165" s="19" t="s">
        <v>285</v>
      </c>
      <c r="I165" s="19" t="s">
        <v>286</v>
      </c>
      <c r="J165" s="19" t="s">
        <v>749</v>
      </c>
      <c r="K165" s="19" t="s">
        <v>280</v>
      </c>
      <c r="L165" s="19" t="s">
        <v>280</v>
      </c>
      <c r="M165" s="19" t="s">
        <v>280</v>
      </c>
      <c r="N165" s="19" t="s">
        <v>280</v>
      </c>
      <c r="O165" s="19" t="s">
        <v>280</v>
      </c>
      <c r="P165" s="19" t="s">
        <v>253</v>
      </c>
      <c r="Q165" s="20" t="s">
        <v>280</v>
      </c>
      <c r="R165" s="19" t="s">
        <v>1272</v>
      </c>
      <c r="S165" s="20" t="s">
        <v>1273</v>
      </c>
      <c r="T165" s="19" t="s">
        <v>751</v>
      </c>
      <c r="U165" s="19" t="s">
        <v>464</v>
      </c>
    </row>
    <row r="166" spans="1:21" ht="14.5" x14ac:dyDescent="0.35">
      <c r="A166" s="18" t="str">
        <f t="shared" si="4"/>
        <v>EventHub/namespaces/AuthorizationRules(rule-)</v>
      </c>
      <c r="B166" s="18" t="s">
        <v>752</v>
      </c>
      <c r="C166" s="18" t="s">
        <v>278</v>
      </c>
      <c r="D166" s="18" t="s">
        <v>279</v>
      </c>
      <c r="E166" s="18" t="s">
        <v>280</v>
      </c>
      <c r="F166" s="18" t="str">
        <f t="shared" si="5"/>
        <v>rule-</v>
      </c>
      <c r="G166" s="18" t="s">
        <v>753</v>
      </c>
      <c r="H166" s="18" t="s">
        <v>285</v>
      </c>
      <c r="I166" s="18" t="s">
        <v>286</v>
      </c>
      <c r="J166" s="18" t="s">
        <v>754</v>
      </c>
      <c r="K166" s="18" t="s">
        <v>280</v>
      </c>
      <c r="L166" s="18" t="s">
        <v>280</v>
      </c>
      <c r="M166" s="18" t="s">
        <v>280</v>
      </c>
      <c r="N166" s="18" t="s">
        <v>280</v>
      </c>
      <c r="O166" s="18" t="s">
        <v>280</v>
      </c>
      <c r="P166" s="18" t="s">
        <v>755</v>
      </c>
      <c r="Q166" s="21" t="s">
        <v>280</v>
      </c>
      <c r="R166" s="18" t="s">
        <v>1272</v>
      </c>
      <c r="S166" s="21" t="s">
        <v>1273</v>
      </c>
      <c r="T166" s="18" t="s">
        <v>467</v>
      </c>
      <c r="U166" s="18" t="s">
        <v>464</v>
      </c>
    </row>
    <row r="167" spans="1:21" ht="14.5" x14ac:dyDescent="0.35">
      <c r="A167" s="19" t="str">
        <f t="shared" si="4"/>
        <v>EventHub/namespaces/disasterRecoveryConfigs(drcfg-)</v>
      </c>
      <c r="B167" s="19" t="s">
        <v>756</v>
      </c>
      <c r="C167" s="19" t="s">
        <v>278</v>
      </c>
      <c r="D167" s="19" t="s">
        <v>279</v>
      </c>
      <c r="E167" s="19" t="s">
        <v>280</v>
      </c>
      <c r="F167" s="19" t="str">
        <f t="shared" si="5"/>
        <v>drcfg-</v>
      </c>
      <c r="G167" s="19" t="s">
        <v>753</v>
      </c>
      <c r="H167" s="19" t="s">
        <v>285</v>
      </c>
      <c r="I167" s="19" t="s">
        <v>286</v>
      </c>
      <c r="J167" s="19" t="s">
        <v>754</v>
      </c>
      <c r="K167" s="19" t="s">
        <v>280</v>
      </c>
      <c r="L167" s="19" t="s">
        <v>280</v>
      </c>
      <c r="M167" s="19" t="s">
        <v>280</v>
      </c>
      <c r="N167" s="19" t="s">
        <v>280</v>
      </c>
      <c r="O167" s="19" t="s">
        <v>280</v>
      </c>
      <c r="P167" s="19" t="s">
        <v>755</v>
      </c>
      <c r="Q167" s="20" t="s">
        <v>280</v>
      </c>
      <c r="R167" s="19" t="s">
        <v>1272</v>
      </c>
      <c r="S167" s="20" t="s">
        <v>1273</v>
      </c>
      <c r="T167" s="19" t="s">
        <v>757</v>
      </c>
      <c r="U167" s="19" t="s">
        <v>464</v>
      </c>
    </row>
    <row r="168" spans="1:21" ht="14.5" x14ac:dyDescent="0.35">
      <c r="A168" s="18" t="str">
        <f t="shared" si="4"/>
        <v>EventHub/namespaces/eventhubs(evh-)</v>
      </c>
      <c r="B168" s="18" t="s">
        <v>758</v>
      </c>
      <c r="C168" s="18" t="s">
        <v>278</v>
      </c>
      <c r="D168" s="18" t="s">
        <v>279</v>
      </c>
      <c r="E168" s="18" t="s">
        <v>280</v>
      </c>
      <c r="F168" s="18" t="str">
        <f t="shared" si="5"/>
        <v>evh-</v>
      </c>
      <c r="G168" s="18" t="s">
        <v>753</v>
      </c>
      <c r="H168" s="18" t="s">
        <v>285</v>
      </c>
      <c r="I168" s="18" t="s">
        <v>286</v>
      </c>
      <c r="J168" s="18" t="s">
        <v>754</v>
      </c>
      <c r="K168" s="18" t="s">
        <v>280</v>
      </c>
      <c r="L168" s="18" t="s">
        <v>280</v>
      </c>
      <c r="M168" s="18" t="s">
        <v>280</v>
      </c>
      <c r="N168" s="18" t="s">
        <v>280</v>
      </c>
      <c r="O168" s="18" t="s">
        <v>280</v>
      </c>
      <c r="P168" s="18" t="s">
        <v>755</v>
      </c>
      <c r="Q168" s="21" t="s">
        <v>280</v>
      </c>
      <c r="R168" s="18" t="s">
        <v>1272</v>
      </c>
      <c r="S168" s="21" t="s">
        <v>1273</v>
      </c>
      <c r="T168" s="18" t="s">
        <v>759</v>
      </c>
      <c r="U168" s="18" t="s">
        <v>464</v>
      </c>
    </row>
    <row r="169" spans="1:21" ht="14.5" x14ac:dyDescent="0.35">
      <c r="A169" s="19" t="str">
        <f t="shared" si="4"/>
        <v>EventHub/namespaces/eventhubs/authorizationRules(rule-)</v>
      </c>
      <c r="B169" s="19" t="s">
        <v>760</v>
      </c>
      <c r="C169" s="19" t="s">
        <v>278</v>
      </c>
      <c r="D169" s="19" t="s">
        <v>279</v>
      </c>
      <c r="E169" s="19" t="s">
        <v>280</v>
      </c>
      <c r="F169" s="19" t="str">
        <f t="shared" si="5"/>
        <v>rule-</v>
      </c>
      <c r="G169" s="19" t="s">
        <v>761</v>
      </c>
      <c r="H169" s="19" t="s">
        <v>285</v>
      </c>
      <c r="I169" s="19" t="s">
        <v>286</v>
      </c>
      <c r="J169" s="19" t="s">
        <v>754</v>
      </c>
      <c r="K169" s="19" t="s">
        <v>280</v>
      </c>
      <c r="L169" s="19" t="s">
        <v>280</v>
      </c>
      <c r="M169" s="19" t="s">
        <v>280</v>
      </c>
      <c r="N169" s="19" t="s">
        <v>280</v>
      </c>
      <c r="O169" s="19" t="s">
        <v>280</v>
      </c>
      <c r="P169" s="19" t="s">
        <v>755</v>
      </c>
      <c r="Q169" s="20" t="s">
        <v>280</v>
      </c>
      <c r="R169" s="19" t="s">
        <v>1272</v>
      </c>
      <c r="S169" s="20" t="s">
        <v>1273</v>
      </c>
      <c r="T169" s="19" t="s">
        <v>467</v>
      </c>
      <c r="U169" s="19" t="s">
        <v>464</v>
      </c>
    </row>
    <row r="170" spans="1:21" ht="14.5" x14ac:dyDescent="0.35">
      <c r="A170" s="18" t="str">
        <f t="shared" si="4"/>
        <v>EventHub/namespaces/eventhubs/consumergroups(cgrp-)</v>
      </c>
      <c r="B170" s="18" t="s">
        <v>762</v>
      </c>
      <c r="C170" s="18" t="s">
        <v>278</v>
      </c>
      <c r="D170" s="18" t="s">
        <v>279</v>
      </c>
      <c r="E170" s="18" t="s">
        <v>280</v>
      </c>
      <c r="F170" s="18" t="str">
        <f t="shared" si="5"/>
        <v>cgrp-</v>
      </c>
      <c r="G170" s="18" t="s">
        <v>761</v>
      </c>
      <c r="H170" s="18" t="s">
        <v>285</v>
      </c>
      <c r="I170" s="18" t="s">
        <v>286</v>
      </c>
      <c r="J170" s="18" t="s">
        <v>754</v>
      </c>
      <c r="K170" s="18" t="s">
        <v>280</v>
      </c>
      <c r="L170" s="18" t="s">
        <v>280</v>
      </c>
      <c r="M170" s="18" t="s">
        <v>280</v>
      </c>
      <c r="N170" s="18" t="s">
        <v>280</v>
      </c>
      <c r="O170" s="18" t="s">
        <v>280</v>
      </c>
      <c r="P170" s="18" t="s">
        <v>755</v>
      </c>
      <c r="Q170" s="21" t="s">
        <v>280</v>
      </c>
      <c r="R170" s="18" t="s">
        <v>1272</v>
      </c>
      <c r="S170" s="21" t="s">
        <v>1273</v>
      </c>
      <c r="T170" s="18" t="s">
        <v>763</v>
      </c>
      <c r="U170" s="18" t="s">
        <v>464</v>
      </c>
    </row>
    <row r="171" spans="1:21" ht="14.5" x14ac:dyDescent="0.35">
      <c r="A171" s="19" t="str">
        <f t="shared" si="4"/>
        <v>HDInsight/clustersSpark Cluster(mls-)</v>
      </c>
      <c r="B171" s="19" t="s">
        <v>764</v>
      </c>
      <c r="C171" s="19" t="s">
        <v>278</v>
      </c>
      <c r="D171" s="19" t="s">
        <v>279</v>
      </c>
      <c r="E171" s="19" t="s">
        <v>765</v>
      </c>
      <c r="F171" s="19" t="str">
        <f t="shared" si="5"/>
        <v>mls-</v>
      </c>
      <c r="G171" s="19" t="s">
        <v>80</v>
      </c>
      <c r="H171" s="19" t="s">
        <v>281</v>
      </c>
      <c r="I171" s="19" t="s">
        <v>767</v>
      </c>
      <c r="J171" s="19" t="s">
        <v>768</v>
      </c>
      <c r="K171" s="19" t="s">
        <v>280</v>
      </c>
      <c r="L171" s="19" t="s">
        <v>280</v>
      </c>
      <c r="M171" s="19" t="s">
        <v>280</v>
      </c>
      <c r="N171" s="19" t="s">
        <v>280</v>
      </c>
      <c r="O171" s="19" t="s">
        <v>280</v>
      </c>
      <c r="P171" s="19" t="s">
        <v>769</v>
      </c>
      <c r="Q171" s="20" t="s">
        <v>280</v>
      </c>
      <c r="R171" s="19" t="s">
        <v>1272</v>
      </c>
      <c r="S171" s="20" t="s">
        <v>1273</v>
      </c>
      <c r="T171" s="19" t="s">
        <v>766</v>
      </c>
      <c r="U171" s="19" t="s">
        <v>464</v>
      </c>
    </row>
    <row r="172" spans="1:21" ht="14.5" x14ac:dyDescent="0.35">
      <c r="A172" s="18" t="str">
        <f t="shared" si="4"/>
        <v>HDInsight/clustersStorm Cluster(spark-)</v>
      </c>
      <c r="B172" s="18" t="s">
        <v>764</v>
      </c>
      <c r="C172" s="18" t="s">
        <v>278</v>
      </c>
      <c r="D172" s="18" t="s">
        <v>279</v>
      </c>
      <c r="E172" s="18" t="s">
        <v>770</v>
      </c>
      <c r="F172" s="18" t="str">
        <f t="shared" si="5"/>
        <v>spark-</v>
      </c>
      <c r="G172" s="18" t="s">
        <v>80</v>
      </c>
      <c r="H172" s="18" t="s">
        <v>281</v>
      </c>
      <c r="I172" s="18" t="s">
        <v>767</v>
      </c>
      <c r="J172" s="18" t="s">
        <v>768</v>
      </c>
      <c r="K172" s="18" t="s">
        <v>280</v>
      </c>
      <c r="L172" s="18" t="s">
        <v>280</v>
      </c>
      <c r="M172" s="18" t="s">
        <v>280</v>
      </c>
      <c r="N172" s="18" t="s">
        <v>280</v>
      </c>
      <c r="O172" s="18" t="s">
        <v>280</v>
      </c>
      <c r="P172" s="18" t="s">
        <v>769</v>
      </c>
      <c r="Q172" s="21" t="s">
        <v>280</v>
      </c>
      <c r="R172" s="18" t="s">
        <v>1272</v>
      </c>
      <c r="S172" s="21" t="s">
        <v>1273</v>
      </c>
      <c r="T172" s="18" t="s">
        <v>771</v>
      </c>
      <c r="U172" s="18" t="s">
        <v>464</v>
      </c>
    </row>
    <row r="173" spans="1:21" ht="14.5" x14ac:dyDescent="0.35">
      <c r="A173" s="19" t="str">
        <f t="shared" si="4"/>
        <v>HDInsight/clustersML Services Cluster(storm-)</v>
      </c>
      <c r="B173" s="19" t="s">
        <v>764</v>
      </c>
      <c r="C173" s="19" t="s">
        <v>278</v>
      </c>
      <c r="D173" s="19" t="s">
        <v>279</v>
      </c>
      <c r="E173" s="19" t="s">
        <v>772</v>
      </c>
      <c r="F173" s="19" t="str">
        <f t="shared" si="5"/>
        <v>storm-</v>
      </c>
      <c r="G173" s="19" t="s">
        <v>80</v>
      </c>
      <c r="H173" s="19" t="s">
        <v>281</v>
      </c>
      <c r="I173" s="19" t="s">
        <v>767</v>
      </c>
      <c r="J173" s="19" t="s">
        <v>768</v>
      </c>
      <c r="K173" s="19" t="s">
        <v>280</v>
      </c>
      <c r="L173" s="19" t="s">
        <v>280</v>
      </c>
      <c r="M173" s="19" t="s">
        <v>280</v>
      </c>
      <c r="N173" s="19" t="s">
        <v>280</v>
      </c>
      <c r="O173" s="19" t="s">
        <v>280</v>
      </c>
      <c r="P173" s="19" t="s">
        <v>769</v>
      </c>
      <c r="Q173" s="20" t="s">
        <v>280</v>
      </c>
      <c r="R173" s="19" t="s">
        <v>1272</v>
      </c>
      <c r="S173" s="20" t="s">
        <v>1273</v>
      </c>
      <c r="T173" s="19" t="s">
        <v>773</v>
      </c>
      <c r="U173" s="19" t="s">
        <v>464</v>
      </c>
    </row>
    <row r="174" spans="1:21" ht="14.5" x14ac:dyDescent="0.35">
      <c r="A174" s="18" t="str">
        <f t="shared" si="4"/>
        <v>HDInsight/clustersHadoop Cluster(hadoop-)</v>
      </c>
      <c r="B174" s="18" t="s">
        <v>764</v>
      </c>
      <c r="C174" s="18" t="s">
        <v>278</v>
      </c>
      <c r="D174" s="18" t="s">
        <v>279</v>
      </c>
      <c r="E174" s="18" t="s">
        <v>774</v>
      </c>
      <c r="F174" s="18" t="str">
        <f t="shared" si="5"/>
        <v>hadoop-</v>
      </c>
      <c r="G174" s="18" t="s">
        <v>80</v>
      </c>
      <c r="H174" s="18" t="s">
        <v>281</v>
      </c>
      <c r="I174" s="18" t="s">
        <v>767</v>
      </c>
      <c r="J174" s="18" t="s">
        <v>768</v>
      </c>
      <c r="K174" s="18" t="s">
        <v>280</v>
      </c>
      <c r="L174" s="18" t="s">
        <v>280</v>
      </c>
      <c r="M174" s="18" t="s">
        <v>280</v>
      </c>
      <c r="N174" s="18" t="s">
        <v>280</v>
      </c>
      <c r="O174" s="18" t="s">
        <v>280</v>
      </c>
      <c r="P174" s="18" t="s">
        <v>769</v>
      </c>
      <c r="Q174" s="21" t="s">
        <v>280</v>
      </c>
      <c r="R174" s="18" t="s">
        <v>1272</v>
      </c>
      <c r="S174" s="21" t="s">
        <v>1273</v>
      </c>
      <c r="T174" s="18" t="s">
        <v>775</v>
      </c>
      <c r="U174" s="18" t="s">
        <v>464</v>
      </c>
    </row>
    <row r="175" spans="1:21" ht="14.5" x14ac:dyDescent="0.35">
      <c r="A175" s="19" t="str">
        <f t="shared" si="4"/>
        <v>HDInsight/clustersHBase Cluster(hbase-)</v>
      </c>
      <c r="B175" s="19" t="s">
        <v>764</v>
      </c>
      <c r="C175" s="19" t="s">
        <v>278</v>
      </c>
      <c r="D175" s="19" t="s">
        <v>279</v>
      </c>
      <c r="E175" s="19" t="s">
        <v>776</v>
      </c>
      <c r="F175" s="19" t="str">
        <f t="shared" si="5"/>
        <v>hbase-</v>
      </c>
      <c r="G175" s="19" t="s">
        <v>80</v>
      </c>
      <c r="H175" s="19" t="s">
        <v>281</v>
      </c>
      <c r="I175" s="19" t="s">
        <v>767</v>
      </c>
      <c r="J175" s="19" t="s">
        <v>768</v>
      </c>
      <c r="K175" s="19" t="s">
        <v>280</v>
      </c>
      <c r="L175" s="19" t="s">
        <v>280</v>
      </c>
      <c r="M175" s="19" t="s">
        <v>280</v>
      </c>
      <c r="N175" s="19" t="s">
        <v>280</v>
      </c>
      <c r="O175" s="19" t="s">
        <v>280</v>
      </c>
      <c r="P175" s="19" t="s">
        <v>769</v>
      </c>
      <c r="Q175" s="20" t="s">
        <v>280</v>
      </c>
      <c r="R175" s="19" t="s">
        <v>1272</v>
      </c>
      <c r="S175" s="20" t="s">
        <v>1273</v>
      </c>
      <c r="T175" s="19" t="s">
        <v>777</v>
      </c>
      <c r="U175" s="19" t="s">
        <v>464</v>
      </c>
    </row>
    <row r="176" spans="1:21" ht="14.5" x14ac:dyDescent="0.35">
      <c r="A176" s="18" t="str">
        <f t="shared" si="4"/>
        <v>HDInsight/clustersKafka Cluster(kafka-)</v>
      </c>
      <c r="B176" s="18" t="s">
        <v>764</v>
      </c>
      <c r="C176" s="18" t="s">
        <v>278</v>
      </c>
      <c r="D176" s="18" t="s">
        <v>279</v>
      </c>
      <c r="E176" s="18" t="s">
        <v>778</v>
      </c>
      <c r="F176" s="18" t="str">
        <f t="shared" si="5"/>
        <v>kafka-</v>
      </c>
      <c r="G176" s="18" t="s">
        <v>80</v>
      </c>
      <c r="H176" s="18" t="s">
        <v>281</v>
      </c>
      <c r="I176" s="18" t="s">
        <v>767</v>
      </c>
      <c r="J176" s="18" t="s">
        <v>768</v>
      </c>
      <c r="K176" s="18" t="s">
        <v>280</v>
      </c>
      <c r="L176" s="18" t="s">
        <v>280</v>
      </c>
      <c r="M176" s="18" t="s">
        <v>280</v>
      </c>
      <c r="N176" s="18" t="s">
        <v>280</v>
      </c>
      <c r="O176" s="18" t="s">
        <v>280</v>
      </c>
      <c r="P176" s="18" t="s">
        <v>769</v>
      </c>
      <c r="Q176" s="21" t="s">
        <v>280</v>
      </c>
      <c r="R176" s="18" t="s">
        <v>1272</v>
      </c>
      <c r="S176" s="21" t="s">
        <v>1273</v>
      </c>
      <c r="T176" s="18" t="s">
        <v>779</v>
      </c>
      <c r="U176" s="18" t="s">
        <v>464</v>
      </c>
    </row>
    <row r="177" spans="1:21" ht="14.5" x14ac:dyDescent="0.35">
      <c r="A177" s="19" t="str">
        <f t="shared" si="4"/>
        <v>HybridCompute/machines(arcs-)</v>
      </c>
      <c r="B177" s="19" t="s">
        <v>780</v>
      </c>
      <c r="C177" s="19" t="s">
        <v>280</v>
      </c>
      <c r="D177" s="19" t="s">
        <v>280</v>
      </c>
      <c r="E177" s="19" t="s">
        <v>280</v>
      </c>
      <c r="F177" s="19" t="str">
        <f t="shared" si="5"/>
        <v>arcs-</v>
      </c>
      <c r="G177" s="19" t="s">
        <v>280</v>
      </c>
      <c r="H177" s="19" t="s">
        <v>280</v>
      </c>
      <c r="I177" s="19" t="s">
        <v>280</v>
      </c>
      <c r="J177" s="19" t="s">
        <v>280</v>
      </c>
      <c r="K177" s="19" t="s">
        <v>280</v>
      </c>
      <c r="L177" s="19" t="s">
        <v>280</v>
      </c>
      <c r="M177" s="19" t="s">
        <v>280</v>
      </c>
      <c r="N177" s="19" t="s">
        <v>280</v>
      </c>
      <c r="O177" s="19" t="s">
        <v>280</v>
      </c>
      <c r="P177" s="19" t="s">
        <v>280</v>
      </c>
      <c r="Q177" s="20" t="s">
        <v>280</v>
      </c>
      <c r="R177" s="19" t="s">
        <v>1268</v>
      </c>
      <c r="S177" s="20"/>
      <c r="T177" s="19" t="s">
        <v>781</v>
      </c>
      <c r="U177" s="19" t="s">
        <v>464</v>
      </c>
    </row>
    <row r="178" spans="1:21" ht="14.5" x14ac:dyDescent="0.35">
      <c r="A178" s="18" t="str">
        <f t="shared" si="4"/>
        <v>ImportExport/jobs(iejob-)</v>
      </c>
      <c r="B178" s="18" t="s">
        <v>782</v>
      </c>
      <c r="C178" s="18" t="s">
        <v>278</v>
      </c>
      <c r="D178" s="18" t="s">
        <v>279</v>
      </c>
      <c r="E178" s="18" t="s">
        <v>280</v>
      </c>
      <c r="F178" s="18" t="str">
        <f t="shared" si="5"/>
        <v>iejob-</v>
      </c>
      <c r="G178" s="18" t="s">
        <v>78</v>
      </c>
      <c r="H178" s="18" t="s">
        <v>432</v>
      </c>
      <c r="I178" s="18" t="s">
        <v>379</v>
      </c>
      <c r="J178" s="18" t="s">
        <v>784</v>
      </c>
      <c r="K178" s="18" t="s">
        <v>280</v>
      </c>
      <c r="L178" s="18" t="s">
        <v>280</v>
      </c>
      <c r="M178" s="18" t="s">
        <v>280</v>
      </c>
      <c r="N178" s="18" t="s">
        <v>280</v>
      </c>
      <c r="O178" s="18" t="s">
        <v>280</v>
      </c>
      <c r="P178" s="18" t="s">
        <v>785</v>
      </c>
      <c r="Q178" s="21" t="s">
        <v>280</v>
      </c>
      <c r="R178" s="18" t="s">
        <v>1272</v>
      </c>
      <c r="S178" s="21" t="s">
        <v>1273</v>
      </c>
      <c r="T178" s="18" t="s">
        <v>783</v>
      </c>
      <c r="U178" s="18" t="s">
        <v>464</v>
      </c>
    </row>
    <row r="179" spans="1:21" ht="14.5" x14ac:dyDescent="0.35">
      <c r="A179" s="19" t="str">
        <f t="shared" si="4"/>
        <v>Insights/actionGroups(ag-)</v>
      </c>
      <c r="B179" s="19" t="s">
        <v>786</v>
      </c>
      <c r="C179" s="19" t="s">
        <v>278</v>
      </c>
      <c r="D179" s="19" t="s">
        <v>279</v>
      </c>
      <c r="E179" s="19" t="s">
        <v>280</v>
      </c>
      <c r="F179" s="19" t="str">
        <f t="shared" si="5"/>
        <v>ag-</v>
      </c>
      <c r="G179" s="19" t="s">
        <v>78</v>
      </c>
      <c r="H179" s="19" t="s">
        <v>285</v>
      </c>
      <c r="I179" s="19" t="s">
        <v>473</v>
      </c>
      <c r="J179" s="19" t="s">
        <v>280</v>
      </c>
      <c r="K179" s="19" t="s">
        <v>788</v>
      </c>
      <c r="L179" s="19" t="s">
        <v>789</v>
      </c>
      <c r="M179" s="19" t="s">
        <v>280</v>
      </c>
      <c r="N179" s="19" t="s">
        <v>376</v>
      </c>
      <c r="O179" s="19" t="s">
        <v>280</v>
      </c>
      <c r="P179" s="19" t="s">
        <v>790</v>
      </c>
      <c r="Q179" s="20" t="s">
        <v>280</v>
      </c>
      <c r="R179" s="19" t="s">
        <v>1272</v>
      </c>
      <c r="S179" s="20" t="s">
        <v>1273</v>
      </c>
      <c r="T179" s="19" t="s">
        <v>787</v>
      </c>
      <c r="U179" s="19" t="s">
        <v>464</v>
      </c>
    </row>
    <row r="180" spans="1:21" ht="14.5" x14ac:dyDescent="0.35">
      <c r="A180" s="18" t="str">
        <f t="shared" si="4"/>
        <v>Insights/activityLogAlerts(inala-)</v>
      </c>
      <c r="B180" s="18" t="s">
        <v>791</v>
      </c>
      <c r="C180" s="18" t="s">
        <v>278</v>
      </c>
      <c r="D180" s="18" t="s">
        <v>279</v>
      </c>
      <c r="E180" s="18" t="s">
        <v>280</v>
      </c>
      <c r="F180" s="18" t="str">
        <f t="shared" si="5"/>
        <v>inala-</v>
      </c>
      <c r="G180" s="18" t="s">
        <v>78</v>
      </c>
      <c r="H180" s="18" t="s">
        <v>285</v>
      </c>
      <c r="I180" s="18" t="s">
        <v>473</v>
      </c>
      <c r="J180" s="18" t="s">
        <v>280</v>
      </c>
      <c r="K180" s="18" t="s">
        <v>793</v>
      </c>
      <c r="L180" s="18" t="s">
        <v>794</v>
      </c>
      <c r="M180" s="18" t="s">
        <v>280</v>
      </c>
      <c r="N180" s="18" t="s">
        <v>376</v>
      </c>
      <c r="O180" s="18" t="s">
        <v>280</v>
      </c>
      <c r="P180" s="18" t="s">
        <v>795</v>
      </c>
      <c r="Q180" s="21" t="s">
        <v>280</v>
      </c>
      <c r="R180" s="18" t="s">
        <v>1272</v>
      </c>
      <c r="S180" s="21" t="s">
        <v>1273</v>
      </c>
      <c r="T180" s="18" t="s">
        <v>792</v>
      </c>
      <c r="U180" s="18" t="s">
        <v>464</v>
      </c>
    </row>
    <row r="181" spans="1:21" ht="14.5" x14ac:dyDescent="0.35">
      <c r="A181" s="19" t="str">
        <f t="shared" si="4"/>
        <v>Insights/components(appi-)</v>
      </c>
      <c r="B181" s="19" t="s">
        <v>796</v>
      </c>
      <c r="C181" s="19" t="s">
        <v>278</v>
      </c>
      <c r="D181" s="19" t="s">
        <v>279</v>
      </c>
      <c r="E181" s="19" t="s">
        <v>280</v>
      </c>
      <c r="F181" s="19" t="str">
        <f t="shared" si="5"/>
        <v>appi-</v>
      </c>
      <c r="G181" s="19" t="s">
        <v>78</v>
      </c>
      <c r="H181" s="19" t="s">
        <v>285</v>
      </c>
      <c r="I181" s="19" t="s">
        <v>473</v>
      </c>
      <c r="J181" s="19" t="s">
        <v>280</v>
      </c>
      <c r="K181" s="19" t="s">
        <v>798</v>
      </c>
      <c r="L181" s="19" t="s">
        <v>612</v>
      </c>
      <c r="M181" s="19" t="s">
        <v>280</v>
      </c>
      <c r="N181" s="19" t="s">
        <v>376</v>
      </c>
      <c r="O181" s="19" t="s">
        <v>280</v>
      </c>
      <c r="P181" s="19" t="s">
        <v>799</v>
      </c>
      <c r="Q181" s="20" t="s">
        <v>280</v>
      </c>
      <c r="R181" s="19" t="s">
        <v>1272</v>
      </c>
      <c r="S181" s="20" t="s">
        <v>1273</v>
      </c>
      <c r="T181" s="19" t="s">
        <v>797</v>
      </c>
      <c r="U181" s="19" t="s">
        <v>464</v>
      </c>
    </row>
    <row r="182" spans="1:21" ht="14.5" x14ac:dyDescent="0.35">
      <c r="A182" s="18" t="str">
        <f t="shared" si="4"/>
        <v>Insights/metricAlerts(inma-)</v>
      </c>
      <c r="B182" s="18" t="s">
        <v>800</v>
      </c>
      <c r="C182" s="18" t="s">
        <v>278</v>
      </c>
      <c r="D182" s="18" t="s">
        <v>279</v>
      </c>
      <c r="E182" s="18" t="s">
        <v>280</v>
      </c>
      <c r="F182" s="18" t="str">
        <f t="shared" si="5"/>
        <v>inma-</v>
      </c>
      <c r="G182" s="18" t="s">
        <v>78</v>
      </c>
      <c r="H182" s="18" t="s">
        <v>285</v>
      </c>
      <c r="I182" s="18" t="s">
        <v>473</v>
      </c>
      <c r="J182" s="18" t="s">
        <v>280</v>
      </c>
      <c r="K182" s="18" t="s">
        <v>802</v>
      </c>
      <c r="L182" s="18" t="s">
        <v>803</v>
      </c>
      <c r="M182" s="18" t="s">
        <v>280</v>
      </c>
      <c r="N182" s="18" t="s">
        <v>376</v>
      </c>
      <c r="O182" s="18" t="s">
        <v>280</v>
      </c>
      <c r="P182" s="18" t="s">
        <v>804</v>
      </c>
      <c r="Q182" s="21" t="s">
        <v>280</v>
      </c>
      <c r="R182" s="18" t="s">
        <v>1272</v>
      </c>
      <c r="S182" s="21" t="s">
        <v>1273</v>
      </c>
      <c r="T182" s="18" t="s">
        <v>801</v>
      </c>
      <c r="U182" s="18" t="s">
        <v>464</v>
      </c>
    </row>
    <row r="183" spans="1:21" ht="14.5" x14ac:dyDescent="0.35">
      <c r="A183" s="19" t="str">
        <f t="shared" si="4"/>
        <v>Insights/scheduledQueryRules(insqr-)</v>
      </c>
      <c r="B183" s="19" t="s">
        <v>805</v>
      </c>
      <c r="C183" s="19" t="s">
        <v>278</v>
      </c>
      <c r="D183" s="19" t="s">
        <v>279</v>
      </c>
      <c r="E183" s="19" t="s">
        <v>280</v>
      </c>
      <c r="F183" s="19" t="str">
        <f t="shared" si="5"/>
        <v>insqr-</v>
      </c>
      <c r="G183" s="19" t="s">
        <v>78</v>
      </c>
      <c r="H183" s="19" t="s">
        <v>285</v>
      </c>
      <c r="I183" s="19" t="s">
        <v>473</v>
      </c>
      <c r="J183" s="19" t="s">
        <v>280</v>
      </c>
      <c r="K183" s="19" t="s">
        <v>807</v>
      </c>
      <c r="L183" s="19" t="s">
        <v>808</v>
      </c>
      <c r="M183" s="19" t="s">
        <v>280</v>
      </c>
      <c r="N183" s="19" t="s">
        <v>376</v>
      </c>
      <c r="O183" s="19" t="s">
        <v>280</v>
      </c>
      <c r="P183" s="19" t="s">
        <v>809</v>
      </c>
      <c r="Q183" s="20" t="s">
        <v>280</v>
      </c>
      <c r="R183" s="19" t="s">
        <v>1272</v>
      </c>
      <c r="S183" s="20" t="s">
        <v>1273</v>
      </c>
      <c r="T183" s="19" t="s">
        <v>806</v>
      </c>
      <c r="U183" s="19" t="s">
        <v>464</v>
      </c>
    </row>
    <row r="184" spans="1:21" ht="14.5" x14ac:dyDescent="0.35">
      <c r="A184" s="18" t="str">
        <f t="shared" si="4"/>
        <v>IoTCentral/IoTApps(iotapp-)</v>
      </c>
      <c r="B184" s="18" t="s">
        <v>810</v>
      </c>
      <c r="C184" s="18" t="s">
        <v>278</v>
      </c>
      <c r="D184" s="18" t="s">
        <v>279</v>
      </c>
      <c r="E184" s="18" t="s">
        <v>280</v>
      </c>
      <c r="F184" s="18" t="str">
        <f t="shared" si="5"/>
        <v>iotapp-</v>
      </c>
      <c r="G184" s="18" t="s">
        <v>80</v>
      </c>
      <c r="H184" s="18" t="s">
        <v>432</v>
      </c>
      <c r="I184" s="18" t="s">
        <v>282</v>
      </c>
      <c r="J184" s="18" t="s">
        <v>812</v>
      </c>
      <c r="K184" s="18" t="s">
        <v>280</v>
      </c>
      <c r="L184" s="18" t="s">
        <v>280</v>
      </c>
      <c r="M184" s="18" t="s">
        <v>280</v>
      </c>
      <c r="N184" s="18" t="s">
        <v>280</v>
      </c>
      <c r="O184" s="18" t="s">
        <v>280</v>
      </c>
      <c r="P184" s="18" t="s">
        <v>813</v>
      </c>
      <c r="Q184" s="21" t="s">
        <v>280</v>
      </c>
      <c r="R184" s="18" t="s">
        <v>1272</v>
      </c>
      <c r="S184" s="21" t="s">
        <v>1273</v>
      </c>
      <c r="T184" s="18" t="s">
        <v>811</v>
      </c>
      <c r="U184" s="18" t="s">
        <v>464</v>
      </c>
    </row>
    <row r="185" spans="1:21" ht="14.5" x14ac:dyDescent="0.35">
      <c r="A185" s="19" t="str">
        <f t="shared" si="4"/>
        <v>KeyVault/vaults(kv-)</v>
      </c>
      <c r="B185" s="19" t="s">
        <v>814</v>
      </c>
      <c r="C185" s="19" t="s">
        <v>278</v>
      </c>
      <c r="D185" s="19" t="s">
        <v>279</v>
      </c>
      <c r="E185" s="19" t="s">
        <v>280</v>
      </c>
      <c r="F185" s="19" t="str">
        <f t="shared" si="5"/>
        <v>kv-</v>
      </c>
      <c r="G185" s="19" t="s">
        <v>80</v>
      </c>
      <c r="H185" s="19" t="s">
        <v>281</v>
      </c>
      <c r="I185" s="19" t="s">
        <v>373</v>
      </c>
      <c r="J185" s="19" t="s">
        <v>816</v>
      </c>
      <c r="K185" s="19" t="s">
        <v>817</v>
      </c>
      <c r="L185" s="19" t="s">
        <v>280</v>
      </c>
      <c r="M185" s="19" t="s">
        <v>280</v>
      </c>
      <c r="N185" s="19" t="s">
        <v>280</v>
      </c>
      <c r="O185" s="19" t="s">
        <v>464</v>
      </c>
      <c r="P185" s="19" t="s">
        <v>818</v>
      </c>
      <c r="Q185" s="20" t="s">
        <v>280</v>
      </c>
      <c r="R185" s="19" t="s">
        <v>1272</v>
      </c>
      <c r="S185" s="20" t="s">
        <v>1273</v>
      </c>
      <c r="T185" s="19" t="s">
        <v>815</v>
      </c>
      <c r="U185" s="19" t="s">
        <v>464</v>
      </c>
    </row>
    <row r="186" spans="1:21" ht="14.5" x14ac:dyDescent="0.35">
      <c r="A186" s="18" t="str">
        <f t="shared" si="4"/>
        <v>KeyVault/vaults/secrets(kvs-)</v>
      </c>
      <c r="B186" s="18" t="s">
        <v>819</v>
      </c>
      <c r="C186" s="18" t="s">
        <v>278</v>
      </c>
      <c r="D186" s="18" t="s">
        <v>279</v>
      </c>
      <c r="E186" s="18" t="s">
        <v>280</v>
      </c>
      <c r="F186" s="18" t="str">
        <f t="shared" si="5"/>
        <v>kvs-</v>
      </c>
      <c r="G186" s="18" t="s">
        <v>821</v>
      </c>
      <c r="H186" s="18" t="s">
        <v>285</v>
      </c>
      <c r="I186" s="18" t="s">
        <v>822</v>
      </c>
      <c r="J186" s="18" t="s">
        <v>681</v>
      </c>
      <c r="K186" s="18" t="s">
        <v>280</v>
      </c>
      <c r="L186" s="18" t="s">
        <v>280</v>
      </c>
      <c r="M186" s="18" t="s">
        <v>280</v>
      </c>
      <c r="N186" s="18" t="s">
        <v>280</v>
      </c>
      <c r="O186" s="18" t="s">
        <v>280</v>
      </c>
      <c r="P186" s="18" t="s">
        <v>823</v>
      </c>
      <c r="Q186" s="21" t="s">
        <v>280</v>
      </c>
      <c r="R186" s="18" t="s">
        <v>1272</v>
      </c>
      <c r="S186" s="21" t="s">
        <v>1273</v>
      </c>
      <c r="T186" s="18" t="s">
        <v>820</v>
      </c>
      <c r="U186" s="18" t="s">
        <v>464</v>
      </c>
    </row>
    <row r="187" spans="1:21" ht="14.5" x14ac:dyDescent="0.35">
      <c r="A187" s="19" t="str">
        <f t="shared" si="4"/>
        <v>Kubernetes/connectedClusters(arck-)</v>
      </c>
      <c r="B187" s="19" t="s">
        <v>824</v>
      </c>
      <c r="C187" s="19" t="s">
        <v>280</v>
      </c>
      <c r="D187" s="19" t="s">
        <v>280</v>
      </c>
      <c r="E187" s="19" t="s">
        <v>280</v>
      </c>
      <c r="F187" s="19" t="str">
        <f t="shared" si="5"/>
        <v>arck-</v>
      </c>
      <c r="G187" s="19" t="s">
        <v>280</v>
      </c>
      <c r="H187" s="19" t="s">
        <v>280</v>
      </c>
      <c r="I187" s="19" t="s">
        <v>280</v>
      </c>
      <c r="J187" s="19" t="s">
        <v>280</v>
      </c>
      <c r="K187" s="19" t="s">
        <v>280</v>
      </c>
      <c r="L187" s="19" t="s">
        <v>280</v>
      </c>
      <c r="M187" s="19" t="s">
        <v>280</v>
      </c>
      <c r="N187" s="19" t="s">
        <v>280</v>
      </c>
      <c r="O187" s="19" t="s">
        <v>280</v>
      </c>
      <c r="P187" s="19" t="s">
        <v>280</v>
      </c>
      <c r="Q187" s="20" t="s">
        <v>280</v>
      </c>
      <c r="R187" s="19" t="s">
        <v>1268</v>
      </c>
      <c r="S187" s="20"/>
      <c r="T187" s="19" t="s">
        <v>54</v>
      </c>
      <c r="U187" s="19" t="s">
        <v>464</v>
      </c>
    </row>
    <row r="188" spans="1:21" ht="14.5" x14ac:dyDescent="0.35">
      <c r="A188" s="18" t="str">
        <f t="shared" si="4"/>
        <v>Kusto/clusters(dec)</v>
      </c>
      <c r="B188" s="18" t="s">
        <v>825</v>
      </c>
      <c r="C188" s="18" t="s">
        <v>278</v>
      </c>
      <c r="D188" s="18" t="s">
        <v>279</v>
      </c>
      <c r="E188" s="18" t="s">
        <v>280</v>
      </c>
      <c r="F188" s="18" t="str">
        <f t="shared" si="5"/>
        <v>dec</v>
      </c>
      <c r="G188" s="18" t="s">
        <v>80</v>
      </c>
      <c r="H188" s="18" t="s">
        <v>826</v>
      </c>
      <c r="I188" s="18" t="s">
        <v>827</v>
      </c>
      <c r="J188" s="18" t="s">
        <v>828</v>
      </c>
      <c r="K188" s="18" t="s">
        <v>280</v>
      </c>
      <c r="L188" s="18" t="s">
        <v>280</v>
      </c>
      <c r="M188" s="18" t="s">
        <v>280</v>
      </c>
      <c r="N188" s="18" t="s">
        <v>280</v>
      </c>
      <c r="O188" s="18" t="s">
        <v>280</v>
      </c>
      <c r="P188" s="18" t="s">
        <v>829</v>
      </c>
      <c r="Q188" s="21" t="s">
        <v>280</v>
      </c>
      <c r="R188" s="18" t="s">
        <v>1272</v>
      </c>
      <c r="S188" s="21" t="s">
        <v>1273</v>
      </c>
      <c r="T188" s="18" t="s">
        <v>68</v>
      </c>
      <c r="U188" s="18"/>
    </row>
    <row r="189" spans="1:21" ht="14.5" x14ac:dyDescent="0.35">
      <c r="A189" s="19" t="str">
        <f t="shared" si="4"/>
        <v>Kusto/clusters/databases(dedb)</v>
      </c>
      <c r="B189" s="19" t="s">
        <v>830</v>
      </c>
      <c r="C189" s="19" t="s">
        <v>278</v>
      </c>
      <c r="D189" s="19" t="s">
        <v>279</v>
      </c>
      <c r="E189" s="19" t="s">
        <v>280</v>
      </c>
      <c r="F189" s="19" t="str">
        <f t="shared" si="5"/>
        <v>dedb</v>
      </c>
      <c r="G189" s="19" t="s">
        <v>831</v>
      </c>
      <c r="H189" s="19" t="s">
        <v>285</v>
      </c>
      <c r="I189" s="19" t="s">
        <v>473</v>
      </c>
      <c r="J189" s="19" t="s">
        <v>832</v>
      </c>
      <c r="K189" s="19" t="s">
        <v>280</v>
      </c>
      <c r="L189" s="19" t="s">
        <v>280</v>
      </c>
      <c r="M189" s="19" t="s">
        <v>280</v>
      </c>
      <c r="N189" s="19" t="s">
        <v>280</v>
      </c>
      <c r="O189" s="19" t="s">
        <v>280</v>
      </c>
      <c r="P189" s="19" t="s">
        <v>833</v>
      </c>
      <c r="Q189" s="20" t="s">
        <v>280</v>
      </c>
      <c r="R189" s="19" t="s">
        <v>1272</v>
      </c>
      <c r="S189" s="20" t="s">
        <v>1273</v>
      </c>
      <c r="T189" s="19" t="s">
        <v>69</v>
      </c>
      <c r="U189" s="19"/>
    </row>
    <row r="190" spans="1:21" ht="14.5" x14ac:dyDescent="0.35">
      <c r="A190" s="18" t="str">
        <f t="shared" si="4"/>
        <v>Kusto/clusters/databases/dataConnections(dcon)</v>
      </c>
      <c r="B190" s="18" t="s">
        <v>834</v>
      </c>
      <c r="C190" s="18" t="s">
        <v>278</v>
      </c>
      <c r="D190" s="18" t="s">
        <v>279</v>
      </c>
      <c r="E190" s="18" t="s">
        <v>280</v>
      </c>
      <c r="F190" s="18" t="str">
        <f t="shared" si="5"/>
        <v>dcon</v>
      </c>
      <c r="G190" s="18" t="s">
        <v>836</v>
      </c>
      <c r="H190" s="18" t="s">
        <v>285</v>
      </c>
      <c r="I190" s="18" t="s">
        <v>837</v>
      </c>
      <c r="J190" s="18" t="s">
        <v>832</v>
      </c>
      <c r="K190" s="18" t="s">
        <v>280</v>
      </c>
      <c r="L190" s="18" t="s">
        <v>280</v>
      </c>
      <c r="M190" s="18" t="s">
        <v>280</v>
      </c>
      <c r="N190" s="18" t="s">
        <v>280</v>
      </c>
      <c r="O190" s="18" t="s">
        <v>280</v>
      </c>
      <c r="P190" s="18" t="s">
        <v>838</v>
      </c>
      <c r="Q190" s="21" t="s">
        <v>280</v>
      </c>
      <c r="R190" s="18" t="s">
        <v>1272</v>
      </c>
      <c r="S190" s="21" t="s">
        <v>1273</v>
      </c>
      <c r="T190" s="18" t="s">
        <v>835</v>
      </c>
      <c r="U190" s="18"/>
    </row>
    <row r="191" spans="1:21" ht="14.5" x14ac:dyDescent="0.35">
      <c r="A191" s="19" t="str">
        <f t="shared" si="4"/>
        <v>Kusto/clusters/databases/eventhubconnections(ehcon)</v>
      </c>
      <c r="B191" s="19" t="s">
        <v>839</v>
      </c>
      <c r="C191" s="19" t="s">
        <v>278</v>
      </c>
      <c r="D191" s="19" t="s">
        <v>279</v>
      </c>
      <c r="E191" s="19" t="s">
        <v>280</v>
      </c>
      <c r="F191" s="19" t="str">
        <f t="shared" si="5"/>
        <v>ehcon</v>
      </c>
      <c r="G191" s="19" t="s">
        <v>836</v>
      </c>
      <c r="H191" s="19" t="s">
        <v>285</v>
      </c>
      <c r="I191" s="19" t="s">
        <v>837</v>
      </c>
      <c r="J191" s="19" t="s">
        <v>832</v>
      </c>
      <c r="K191" s="19" t="s">
        <v>280</v>
      </c>
      <c r="L191" s="19" t="s">
        <v>280</v>
      </c>
      <c r="M191" s="19" t="s">
        <v>280</v>
      </c>
      <c r="N191" s="19" t="s">
        <v>280</v>
      </c>
      <c r="O191" s="19" t="s">
        <v>280</v>
      </c>
      <c r="P191" s="19" t="s">
        <v>838</v>
      </c>
      <c r="Q191" s="20" t="s">
        <v>280</v>
      </c>
      <c r="R191" s="19" t="s">
        <v>1272</v>
      </c>
      <c r="S191" s="20" t="s">
        <v>1273</v>
      </c>
      <c r="T191" s="19" t="s">
        <v>840</v>
      </c>
      <c r="U191" s="19"/>
    </row>
    <row r="192" spans="1:21" ht="14.5" x14ac:dyDescent="0.35">
      <c r="A192" s="18" t="str">
        <f t="shared" si="4"/>
        <v>Logic/integrationAccounts(ia-)</v>
      </c>
      <c r="B192" s="18" t="s">
        <v>841</v>
      </c>
      <c r="C192" s="18" t="s">
        <v>278</v>
      </c>
      <c r="D192" s="18" t="s">
        <v>279</v>
      </c>
      <c r="E192" s="18" t="s">
        <v>280</v>
      </c>
      <c r="F192" s="18" t="str">
        <f t="shared" si="5"/>
        <v>ia-</v>
      </c>
      <c r="G192" s="18" t="s">
        <v>78</v>
      </c>
      <c r="H192" s="18" t="s">
        <v>285</v>
      </c>
      <c r="I192" s="18" t="s">
        <v>306</v>
      </c>
      <c r="J192" s="18" t="s">
        <v>843</v>
      </c>
      <c r="K192" s="18" t="s">
        <v>280</v>
      </c>
      <c r="L192" s="18" t="s">
        <v>280</v>
      </c>
      <c r="M192" s="18" t="s">
        <v>280</v>
      </c>
      <c r="N192" s="18" t="s">
        <v>280</v>
      </c>
      <c r="O192" s="18" t="s">
        <v>280</v>
      </c>
      <c r="P192" s="18" t="s">
        <v>844</v>
      </c>
      <c r="Q192" s="21" t="s">
        <v>280</v>
      </c>
      <c r="R192" s="18" t="s">
        <v>1272</v>
      </c>
      <c r="S192" s="21" t="s">
        <v>1273</v>
      </c>
      <c r="T192" s="18" t="s">
        <v>842</v>
      </c>
      <c r="U192" s="18" t="s">
        <v>464</v>
      </c>
    </row>
    <row r="193" spans="1:21" ht="14.5" x14ac:dyDescent="0.35">
      <c r="A193" s="19" t="str">
        <f t="shared" si="4"/>
        <v>Logic/integrationAccounts/assemblies(assem-)</v>
      </c>
      <c r="B193" s="19" t="s">
        <v>845</v>
      </c>
      <c r="C193" s="19" t="s">
        <v>278</v>
      </c>
      <c r="D193" s="19" t="s">
        <v>279</v>
      </c>
      <c r="E193" s="19" t="s">
        <v>280</v>
      </c>
      <c r="F193" s="19" t="str">
        <f t="shared" si="5"/>
        <v>assem-</v>
      </c>
      <c r="G193" s="19" t="s">
        <v>847</v>
      </c>
      <c r="H193" s="19" t="s">
        <v>285</v>
      </c>
      <c r="I193" s="19" t="s">
        <v>306</v>
      </c>
      <c r="J193" s="19" t="s">
        <v>843</v>
      </c>
      <c r="K193" s="19" t="s">
        <v>280</v>
      </c>
      <c r="L193" s="19" t="s">
        <v>280</v>
      </c>
      <c r="M193" s="19" t="s">
        <v>280</v>
      </c>
      <c r="N193" s="19" t="s">
        <v>280</v>
      </c>
      <c r="O193" s="19" t="s">
        <v>280</v>
      </c>
      <c r="P193" s="19" t="s">
        <v>844</v>
      </c>
      <c r="Q193" s="20" t="s">
        <v>280</v>
      </c>
      <c r="R193" s="19" t="s">
        <v>1272</v>
      </c>
      <c r="S193" s="20" t="s">
        <v>1273</v>
      </c>
      <c r="T193" s="19" t="s">
        <v>846</v>
      </c>
      <c r="U193" s="19" t="s">
        <v>464</v>
      </c>
    </row>
    <row r="194" spans="1:21" ht="14.5" x14ac:dyDescent="0.35">
      <c r="A194" s="18" t="str">
        <f t="shared" si="4"/>
        <v>Logic/integrationAccounts/batchConfigurations(bconf-)</v>
      </c>
      <c r="B194" s="18" t="s">
        <v>848</v>
      </c>
      <c r="C194" s="18" t="s">
        <v>278</v>
      </c>
      <c r="D194" s="18" t="s">
        <v>279</v>
      </c>
      <c r="E194" s="18" t="s">
        <v>280</v>
      </c>
      <c r="F194" s="18" t="str">
        <f t="shared" si="5"/>
        <v>bconf-</v>
      </c>
      <c r="G194" s="18" t="s">
        <v>847</v>
      </c>
      <c r="H194" s="18" t="s">
        <v>285</v>
      </c>
      <c r="I194" s="18" t="s">
        <v>433</v>
      </c>
      <c r="J194" s="18" t="s">
        <v>481</v>
      </c>
      <c r="K194" s="18" t="s">
        <v>280</v>
      </c>
      <c r="L194" s="18" t="s">
        <v>280</v>
      </c>
      <c r="M194" s="18" t="s">
        <v>280</v>
      </c>
      <c r="N194" s="18" t="s">
        <v>280</v>
      </c>
      <c r="O194" s="18" t="s">
        <v>280</v>
      </c>
      <c r="P194" s="18" t="s">
        <v>850</v>
      </c>
      <c r="Q194" s="21" t="s">
        <v>280</v>
      </c>
      <c r="R194" s="18" t="s">
        <v>1272</v>
      </c>
      <c r="S194" s="21" t="s">
        <v>1273</v>
      </c>
      <c r="T194" s="18" t="s">
        <v>849</v>
      </c>
      <c r="U194" s="18" t="s">
        <v>464</v>
      </c>
    </row>
    <row r="195" spans="1:21" ht="14.5" x14ac:dyDescent="0.35">
      <c r="A195" s="19" t="str">
        <f t="shared" ref="A195:A258" si="6">_xlfn.CONCAT(B195, E195,"(",F195,")")</f>
        <v>Logic/integrationAccounts/certificates(cert-)</v>
      </c>
      <c r="B195" s="19" t="s">
        <v>851</v>
      </c>
      <c r="C195" s="19" t="s">
        <v>278</v>
      </c>
      <c r="D195" s="19" t="s">
        <v>279</v>
      </c>
      <c r="E195" s="19" t="s">
        <v>280</v>
      </c>
      <c r="F195" s="19" t="str">
        <f t="shared" ref="F195:F258" si="7">_xlfn.CONCAT(T195,U195)</f>
        <v>cert-</v>
      </c>
      <c r="G195" s="19" t="s">
        <v>847</v>
      </c>
      <c r="H195" s="19" t="s">
        <v>285</v>
      </c>
      <c r="I195" s="19" t="s">
        <v>306</v>
      </c>
      <c r="J195" s="19" t="s">
        <v>843</v>
      </c>
      <c r="K195" s="19" t="s">
        <v>280</v>
      </c>
      <c r="L195" s="19" t="s">
        <v>280</v>
      </c>
      <c r="M195" s="19" t="s">
        <v>280</v>
      </c>
      <c r="N195" s="19" t="s">
        <v>280</v>
      </c>
      <c r="O195" s="19" t="s">
        <v>280</v>
      </c>
      <c r="P195" s="19" t="s">
        <v>852</v>
      </c>
      <c r="Q195" s="20" t="s">
        <v>280</v>
      </c>
      <c r="R195" s="19" t="s">
        <v>1272</v>
      </c>
      <c r="S195" s="20" t="s">
        <v>1273</v>
      </c>
      <c r="T195" s="19" t="s">
        <v>396</v>
      </c>
      <c r="U195" s="19" t="s">
        <v>464</v>
      </c>
    </row>
    <row r="196" spans="1:21" ht="14.5" x14ac:dyDescent="0.35">
      <c r="A196" s="18" t="str">
        <f t="shared" si="6"/>
        <v>Logic/integrationAccounts/maps(map-)</v>
      </c>
      <c r="B196" s="18" t="s">
        <v>853</v>
      </c>
      <c r="C196" s="18" t="s">
        <v>278</v>
      </c>
      <c r="D196" s="18" t="s">
        <v>279</v>
      </c>
      <c r="E196" s="18" t="s">
        <v>280</v>
      </c>
      <c r="F196" s="18" t="str">
        <f t="shared" si="7"/>
        <v>map-</v>
      </c>
      <c r="G196" s="18" t="s">
        <v>847</v>
      </c>
      <c r="H196" s="18" t="s">
        <v>285</v>
      </c>
      <c r="I196" s="18" t="s">
        <v>306</v>
      </c>
      <c r="J196" s="18" t="s">
        <v>843</v>
      </c>
      <c r="K196" s="18" t="s">
        <v>280</v>
      </c>
      <c r="L196" s="18" t="s">
        <v>280</v>
      </c>
      <c r="M196" s="18" t="s">
        <v>280</v>
      </c>
      <c r="N196" s="18" t="s">
        <v>280</v>
      </c>
      <c r="O196" s="18" t="s">
        <v>280</v>
      </c>
      <c r="P196" s="18" t="s">
        <v>852</v>
      </c>
      <c r="Q196" s="21" t="s">
        <v>280</v>
      </c>
      <c r="R196" s="18" t="s">
        <v>1272</v>
      </c>
      <c r="S196" s="21" t="s">
        <v>1273</v>
      </c>
      <c r="T196" s="18" t="s">
        <v>586</v>
      </c>
      <c r="U196" s="18" t="s">
        <v>464</v>
      </c>
    </row>
    <row r="197" spans="1:21" ht="14.5" x14ac:dyDescent="0.35">
      <c r="A197" s="19" t="str">
        <f t="shared" si="6"/>
        <v>Logic/integrationAccounts/partners(part-)</v>
      </c>
      <c r="B197" s="19" t="s">
        <v>854</v>
      </c>
      <c r="C197" s="19" t="s">
        <v>278</v>
      </c>
      <c r="D197" s="19" t="s">
        <v>279</v>
      </c>
      <c r="E197" s="19" t="s">
        <v>280</v>
      </c>
      <c r="F197" s="19" t="str">
        <f t="shared" si="7"/>
        <v>part-</v>
      </c>
      <c r="G197" s="19" t="s">
        <v>847</v>
      </c>
      <c r="H197" s="19" t="s">
        <v>285</v>
      </c>
      <c r="I197" s="19" t="s">
        <v>306</v>
      </c>
      <c r="J197" s="19" t="s">
        <v>843</v>
      </c>
      <c r="K197" s="19" t="s">
        <v>280</v>
      </c>
      <c r="L197" s="19" t="s">
        <v>280</v>
      </c>
      <c r="M197" s="19" t="s">
        <v>280</v>
      </c>
      <c r="N197" s="19" t="s">
        <v>280</v>
      </c>
      <c r="O197" s="19" t="s">
        <v>280</v>
      </c>
      <c r="P197" s="19" t="s">
        <v>844</v>
      </c>
      <c r="Q197" s="20" t="s">
        <v>280</v>
      </c>
      <c r="R197" s="19" t="s">
        <v>1272</v>
      </c>
      <c r="S197" s="20" t="s">
        <v>1273</v>
      </c>
      <c r="T197" s="19" t="s">
        <v>855</v>
      </c>
      <c r="U197" s="19" t="s">
        <v>464</v>
      </c>
    </row>
    <row r="198" spans="1:21" ht="14.5" x14ac:dyDescent="0.35">
      <c r="A198" s="18" t="str">
        <f t="shared" si="6"/>
        <v>Logic/integrationAccounts/rosettanetprocessconfigurations(rpcnf-)</v>
      </c>
      <c r="B198" s="18" t="s">
        <v>856</v>
      </c>
      <c r="C198" s="18" t="s">
        <v>278</v>
      </c>
      <c r="D198" s="18" t="s">
        <v>279</v>
      </c>
      <c r="E198" s="18" t="s">
        <v>280</v>
      </c>
      <c r="F198" s="18" t="str">
        <f t="shared" si="7"/>
        <v>rpcnf-</v>
      </c>
      <c r="G198" s="18" t="s">
        <v>847</v>
      </c>
      <c r="H198" s="18" t="s">
        <v>285</v>
      </c>
      <c r="I198" s="18" t="s">
        <v>306</v>
      </c>
      <c r="J198" s="18" t="s">
        <v>843</v>
      </c>
      <c r="K198" s="18" t="s">
        <v>280</v>
      </c>
      <c r="L198" s="18" t="s">
        <v>280</v>
      </c>
      <c r="M198" s="18" t="s">
        <v>280</v>
      </c>
      <c r="N198" s="18" t="s">
        <v>280</v>
      </c>
      <c r="O198" s="18" t="s">
        <v>280</v>
      </c>
      <c r="P198" s="18" t="s">
        <v>844</v>
      </c>
      <c r="Q198" s="21" t="s">
        <v>280</v>
      </c>
      <c r="R198" s="18" t="s">
        <v>1272</v>
      </c>
      <c r="S198" s="21" t="s">
        <v>1273</v>
      </c>
      <c r="T198" s="18" t="s">
        <v>857</v>
      </c>
      <c r="U198" s="18" t="s">
        <v>464</v>
      </c>
    </row>
    <row r="199" spans="1:21" ht="14.5" x14ac:dyDescent="0.35">
      <c r="A199" s="19" t="str">
        <f t="shared" si="6"/>
        <v>Logic/integrationAccounts/schemas(schem-)</v>
      </c>
      <c r="B199" s="19" t="s">
        <v>858</v>
      </c>
      <c r="C199" s="19" t="s">
        <v>278</v>
      </c>
      <c r="D199" s="19" t="s">
        <v>279</v>
      </c>
      <c r="E199" s="19" t="s">
        <v>280</v>
      </c>
      <c r="F199" s="19" t="str">
        <f t="shared" si="7"/>
        <v>schem-</v>
      </c>
      <c r="G199" s="19" t="s">
        <v>847</v>
      </c>
      <c r="H199" s="19" t="s">
        <v>285</v>
      </c>
      <c r="I199" s="19" t="s">
        <v>306</v>
      </c>
      <c r="J199" s="19" t="s">
        <v>843</v>
      </c>
      <c r="K199" s="19" t="s">
        <v>280</v>
      </c>
      <c r="L199" s="19" t="s">
        <v>280</v>
      </c>
      <c r="M199" s="19" t="s">
        <v>280</v>
      </c>
      <c r="N199" s="19" t="s">
        <v>280</v>
      </c>
      <c r="O199" s="19" t="s">
        <v>280</v>
      </c>
      <c r="P199" s="19" t="s">
        <v>844</v>
      </c>
      <c r="Q199" s="20" t="s">
        <v>280</v>
      </c>
      <c r="R199" s="19" t="s">
        <v>1272</v>
      </c>
      <c r="S199" s="20" t="s">
        <v>1273</v>
      </c>
      <c r="T199" s="19" t="s">
        <v>859</v>
      </c>
      <c r="U199" s="19" t="s">
        <v>464</v>
      </c>
    </row>
    <row r="200" spans="1:21" ht="14.5" x14ac:dyDescent="0.35">
      <c r="A200" s="18" t="str">
        <f t="shared" si="6"/>
        <v>Logic/integrationAccounts/sessions(ses-)</v>
      </c>
      <c r="B200" s="18" t="s">
        <v>860</v>
      </c>
      <c r="C200" s="18" t="s">
        <v>278</v>
      </c>
      <c r="D200" s="18" t="s">
        <v>279</v>
      </c>
      <c r="E200" s="18" t="s">
        <v>280</v>
      </c>
      <c r="F200" s="18" t="str">
        <f t="shared" si="7"/>
        <v>ses-</v>
      </c>
      <c r="G200" s="18" t="s">
        <v>847</v>
      </c>
      <c r="H200" s="18" t="s">
        <v>285</v>
      </c>
      <c r="I200" s="18" t="s">
        <v>306</v>
      </c>
      <c r="J200" s="18" t="s">
        <v>843</v>
      </c>
      <c r="K200" s="18" t="s">
        <v>280</v>
      </c>
      <c r="L200" s="18" t="s">
        <v>280</v>
      </c>
      <c r="M200" s="18" t="s">
        <v>280</v>
      </c>
      <c r="N200" s="18" t="s">
        <v>280</v>
      </c>
      <c r="O200" s="18" t="s">
        <v>280</v>
      </c>
      <c r="P200" s="18" t="s">
        <v>844</v>
      </c>
      <c r="Q200" s="21" t="s">
        <v>280</v>
      </c>
      <c r="R200" s="18" t="s">
        <v>1272</v>
      </c>
      <c r="S200" s="21" t="s">
        <v>1273</v>
      </c>
      <c r="T200" s="18" t="s">
        <v>861</v>
      </c>
      <c r="U200" s="18" t="s">
        <v>464</v>
      </c>
    </row>
    <row r="201" spans="1:21" ht="14.5" x14ac:dyDescent="0.35">
      <c r="A201" s="19" t="str">
        <f t="shared" si="6"/>
        <v>Logic/integrationServiceEnvironments(lise-)</v>
      </c>
      <c r="B201" s="19" t="s">
        <v>862</v>
      </c>
      <c r="C201" s="19" t="s">
        <v>278</v>
      </c>
      <c r="D201" s="19" t="s">
        <v>279</v>
      </c>
      <c r="E201" s="19" t="s">
        <v>280</v>
      </c>
      <c r="F201" s="19" t="str">
        <f t="shared" si="7"/>
        <v>lise-</v>
      </c>
      <c r="G201" s="19" t="s">
        <v>78</v>
      </c>
      <c r="H201" s="19" t="s">
        <v>285</v>
      </c>
      <c r="I201" s="19" t="s">
        <v>306</v>
      </c>
      <c r="J201" s="19" t="s">
        <v>671</v>
      </c>
      <c r="K201" s="19" t="s">
        <v>280</v>
      </c>
      <c r="L201" s="19" t="s">
        <v>280</v>
      </c>
      <c r="M201" s="19" t="s">
        <v>280</v>
      </c>
      <c r="N201" s="19" t="s">
        <v>280</v>
      </c>
      <c r="O201" s="19" t="s">
        <v>280</v>
      </c>
      <c r="P201" s="19" t="s">
        <v>864</v>
      </c>
      <c r="Q201" s="20" t="s">
        <v>280</v>
      </c>
      <c r="R201" s="19" t="s">
        <v>1272</v>
      </c>
      <c r="S201" s="20" t="s">
        <v>1273</v>
      </c>
      <c r="T201" s="19" t="s">
        <v>863</v>
      </c>
      <c r="U201" s="19" t="s">
        <v>464</v>
      </c>
    </row>
    <row r="202" spans="1:21" ht="14.5" x14ac:dyDescent="0.35">
      <c r="A202" s="18" t="str">
        <f t="shared" si="6"/>
        <v>Logic/integrationServiceEnvironments/managedApis(mapi-)</v>
      </c>
      <c r="B202" s="18" t="s">
        <v>865</v>
      </c>
      <c r="C202" s="18" t="s">
        <v>278</v>
      </c>
      <c r="D202" s="18" t="s">
        <v>279</v>
      </c>
      <c r="E202" s="18" t="s">
        <v>280</v>
      </c>
      <c r="F202" s="18" t="str">
        <f t="shared" si="7"/>
        <v>mapi-</v>
      </c>
      <c r="G202" s="18" t="s">
        <v>867</v>
      </c>
      <c r="H202" s="18" t="s">
        <v>285</v>
      </c>
      <c r="I202" s="18" t="s">
        <v>306</v>
      </c>
      <c r="J202" s="18" t="s">
        <v>671</v>
      </c>
      <c r="K202" s="18" t="s">
        <v>280</v>
      </c>
      <c r="L202" s="18" t="s">
        <v>280</v>
      </c>
      <c r="M202" s="18" t="s">
        <v>280</v>
      </c>
      <c r="N202" s="18" t="s">
        <v>280</v>
      </c>
      <c r="O202" s="18" t="s">
        <v>280</v>
      </c>
      <c r="P202" s="18" t="s">
        <v>864</v>
      </c>
      <c r="Q202" s="21" t="s">
        <v>280</v>
      </c>
      <c r="R202" s="18" t="s">
        <v>1272</v>
      </c>
      <c r="S202" s="21" t="s">
        <v>1273</v>
      </c>
      <c r="T202" s="18" t="s">
        <v>866</v>
      </c>
      <c r="U202" s="18" t="s">
        <v>464</v>
      </c>
    </row>
    <row r="203" spans="1:21" ht="14.5" x14ac:dyDescent="0.35">
      <c r="A203" s="19" t="str">
        <f t="shared" si="6"/>
        <v>Logic/workflows(logic-)</v>
      </c>
      <c r="B203" s="19" t="s">
        <v>868</v>
      </c>
      <c r="C203" s="19" t="s">
        <v>278</v>
      </c>
      <c r="D203" s="19" t="s">
        <v>279</v>
      </c>
      <c r="E203" s="19" t="s">
        <v>280</v>
      </c>
      <c r="F203" s="19" t="str">
        <f t="shared" si="7"/>
        <v>logic-</v>
      </c>
      <c r="G203" s="19" t="s">
        <v>78</v>
      </c>
      <c r="H203" s="19" t="s">
        <v>285</v>
      </c>
      <c r="I203" s="19" t="s">
        <v>306</v>
      </c>
      <c r="J203" s="19" t="s">
        <v>843</v>
      </c>
      <c r="K203" s="19" t="s">
        <v>280</v>
      </c>
      <c r="L203" s="19" t="s">
        <v>280</v>
      </c>
      <c r="M203" s="19" t="s">
        <v>280</v>
      </c>
      <c r="N203" s="19" t="s">
        <v>280</v>
      </c>
      <c r="O203" s="19" t="s">
        <v>280</v>
      </c>
      <c r="P203" s="19" t="s">
        <v>844</v>
      </c>
      <c r="Q203" s="20" t="s">
        <v>280</v>
      </c>
      <c r="R203" s="19" t="s">
        <v>1272</v>
      </c>
      <c r="S203" s="20" t="s">
        <v>1273</v>
      </c>
      <c r="T203" s="19" t="s">
        <v>869</v>
      </c>
      <c r="U203" s="19" t="s">
        <v>464</v>
      </c>
    </row>
    <row r="204" spans="1:21" ht="14.5" x14ac:dyDescent="0.35">
      <c r="A204" s="18" t="str">
        <f t="shared" si="6"/>
        <v>MachineLearning/commitmentPlans(mlcp-)</v>
      </c>
      <c r="B204" s="18" t="s">
        <v>870</v>
      </c>
      <c r="C204" s="18" t="s">
        <v>278</v>
      </c>
      <c r="D204" s="18" t="s">
        <v>279</v>
      </c>
      <c r="E204" s="18" t="s">
        <v>280</v>
      </c>
      <c r="F204" s="18" t="str">
        <f t="shared" si="7"/>
        <v>mlcp-</v>
      </c>
      <c r="G204" s="18" t="s">
        <v>78</v>
      </c>
      <c r="H204" s="18" t="s">
        <v>285</v>
      </c>
      <c r="I204" s="18" t="s">
        <v>473</v>
      </c>
      <c r="J204" s="18" t="s">
        <v>280</v>
      </c>
      <c r="K204" s="18" t="s">
        <v>872</v>
      </c>
      <c r="L204" s="18" t="s">
        <v>873</v>
      </c>
      <c r="M204" s="18" t="s">
        <v>280</v>
      </c>
      <c r="N204" s="18" t="s">
        <v>280</v>
      </c>
      <c r="O204" s="18" t="s">
        <v>280</v>
      </c>
      <c r="P204" s="18" t="s">
        <v>874</v>
      </c>
      <c r="Q204" s="21" t="s">
        <v>280</v>
      </c>
      <c r="R204" s="18" t="s">
        <v>1272</v>
      </c>
      <c r="S204" s="21" t="s">
        <v>1273</v>
      </c>
      <c r="T204" s="18" t="s">
        <v>871</v>
      </c>
      <c r="U204" s="18" t="s">
        <v>464</v>
      </c>
    </row>
    <row r="205" spans="1:21" ht="14.5" x14ac:dyDescent="0.35">
      <c r="A205" s="19" t="str">
        <f t="shared" si="6"/>
        <v>MachineLearning/webServices(mlweb-)</v>
      </c>
      <c r="B205" s="19" t="s">
        <v>875</v>
      </c>
      <c r="C205" s="19" t="s">
        <v>278</v>
      </c>
      <c r="D205" s="19" t="s">
        <v>279</v>
      </c>
      <c r="E205" s="19" t="s">
        <v>280</v>
      </c>
      <c r="F205" s="19" t="str">
        <f t="shared" si="7"/>
        <v>mlweb-</v>
      </c>
      <c r="G205" s="19" t="s">
        <v>78</v>
      </c>
      <c r="H205" s="19" t="s">
        <v>285</v>
      </c>
      <c r="I205" s="19" t="s">
        <v>473</v>
      </c>
      <c r="J205" s="19" t="s">
        <v>280</v>
      </c>
      <c r="K205" s="19" t="s">
        <v>872</v>
      </c>
      <c r="L205" s="19" t="s">
        <v>873</v>
      </c>
      <c r="M205" s="19" t="s">
        <v>280</v>
      </c>
      <c r="N205" s="19" t="s">
        <v>280</v>
      </c>
      <c r="O205" s="19" t="s">
        <v>280</v>
      </c>
      <c r="P205" s="19" t="s">
        <v>874</v>
      </c>
      <c r="Q205" s="20" t="s">
        <v>280</v>
      </c>
      <c r="R205" s="19" t="s">
        <v>1272</v>
      </c>
      <c r="S205" s="20" t="s">
        <v>1273</v>
      </c>
      <c r="T205" s="19" t="s">
        <v>876</v>
      </c>
      <c r="U205" s="19" t="s">
        <v>464</v>
      </c>
    </row>
    <row r="206" spans="1:21" ht="14.5" x14ac:dyDescent="0.35">
      <c r="A206" s="18" t="str">
        <f t="shared" si="6"/>
        <v>MachineLearning/workspaces(mlws-)</v>
      </c>
      <c r="B206" s="18" t="s">
        <v>877</v>
      </c>
      <c r="C206" s="18" t="s">
        <v>278</v>
      </c>
      <c r="D206" s="18" t="s">
        <v>279</v>
      </c>
      <c r="E206" s="18" t="s">
        <v>280</v>
      </c>
      <c r="F206" s="18" t="str">
        <f t="shared" si="7"/>
        <v>mlws-</v>
      </c>
      <c r="G206" s="18" t="s">
        <v>78</v>
      </c>
      <c r="H206" s="18" t="s">
        <v>285</v>
      </c>
      <c r="I206" s="18" t="s">
        <v>473</v>
      </c>
      <c r="J206" s="18" t="s">
        <v>280</v>
      </c>
      <c r="K206" s="18" t="s">
        <v>872</v>
      </c>
      <c r="L206" s="18" t="s">
        <v>873</v>
      </c>
      <c r="M206" s="18" t="s">
        <v>280</v>
      </c>
      <c r="N206" s="18" t="s">
        <v>280</v>
      </c>
      <c r="O206" s="18" t="s">
        <v>280</v>
      </c>
      <c r="P206" s="18" t="s">
        <v>874</v>
      </c>
      <c r="Q206" s="21" t="s">
        <v>280</v>
      </c>
      <c r="R206" s="18" t="s">
        <v>1272</v>
      </c>
      <c r="S206" s="21" t="s">
        <v>1273</v>
      </c>
      <c r="T206" s="18" t="s">
        <v>878</v>
      </c>
      <c r="U206" s="18" t="s">
        <v>464</v>
      </c>
    </row>
    <row r="207" spans="1:21" ht="14.5" x14ac:dyDescent="0.35">
      <c r="A207" s="19" t="str">
        <f t="shared" si="6"/>
        <v>MachineLearningServices/workspaces(mlw-)</v>
      </c>
      <c r="B207" s="19" t="s">
        <v>879</v>
      </c>
      <c r="C207" s="19" t="s">
        <v>278</v>
      </c>
      <c r="D207" s="19" t="s">
        <v>279</v>
      </c>
      <c r="E207" s="19" t="s">
        <v>280</v>
      </c>
      <c r="F207" s="19" t="str">
        <f t="shared" si="7"/>
        <v>mlw-</v>
      </c>
      <c r="G207" s="19" t="s">
        <v>78</v>
      </c>
      <c r="H207" s="19" t="s">
        <v>281</v>
      </c>
      <c r="I207" s="19" t="s">
        <v>881</v>
      </c>
      <c r="J207" s="19" t="s">
        <v>681</v>
      </c>
      <c r="K207" s="19" t="s">
        <v>280</v>
      </c>
      <c r="L207" s="19" t="s">
        <v>280</v>
      </c>
      <c r="M207" s="19" t="s">
        <v>280</v>
      </c>
      <c r="N207" s="19" t="s">
        <v>280</v>
      </c>
      <c r="O207" s="19" t="s">
        <v>280</v>
      </c>
      <c r="P207" s="19" t="s">
        <v>882</v>
      </c>
      <c r="Q207" s="20" t="s">
        <v>280</v>
      </c>
      <c r="R207" s="19" t="s">
        <v>1272</v>
      </c>
      <c r="S207" s="20" t="s">
        <v>1273</v>
      </c>
      <c r="T207" s="19" t="s">
        <v>880</v>
      </c>
      <c r="U207" s="19" t="s">
        <v>464</v>
      </c>
    </row>
    <row r="208" spans="1:21" ht="14.5" x14ac:dyDescent="0.35">
      <c r="A208" s="18" t="str">
        <f t="shared" si="6"/>
        <v>MachineLearningServices/workspaces/computes(mlswc-)</v>
      </c>
      <c r="B208" s="18" t="s">
        <v>883</v>
      </c>
      <c r="C208" s="18" t="s">
        <v>278</v>
      </c>
      <c r="D208" s="18" t="s">
        <v>279</v>
      </c>
      <c r="E208" s="18" t="s">
        <v>280</v>
      </c>
      <c r="F208" s="18" t="str">
        <f t="shared" si="7"/>
        <v>mlswc-</v>
      </c>
      <c r="G208" s="18" t="s">
        <v>885</v>
      </c>
      <c r="H208" s="18" t="s">
        <v>432</v>
      </c>
      <c r="I208" s="18" t="s">
        <v>886</v>
      </c>
      <c r="J208" s="18" t="s">
        <v>681</v>
      </c>
      <c r="K208" s="18" t="s">
        <v>280</v>
      </c>
      <c r="L208" s="18" t="s">
        <v>280</v>
      </c>
      <c r="M208" s="18" t="s">
        <v>280</v>
      </c>
      <c r="N208" s="18" t="s">
        <v>280</v>
      </c>
      <c r="O208" s="18" t="s">
        <v>280</v>
      </c>
      <c r="P208" s="18" t="s">
        <v>887</v>
      </c>
      <c r="Q208" s="21" t="s">
        <v>280</v>
      </c>
      <c r="R208" s="18" t="s">
        <v>1272</v>
      </c>
      <c r="S208" s="21" t="s">
        <v>1273</v>
      </c>
      <c r="T208" s="18" t="s">
        <v>884</v>
      </c>
      <c r="U208" s="18" t="s">
        <v>464</v>
      </c>
    </row>
    <row r="209" spans="1:21" ht="14.5" x14ac:dyDescent="0.35">
      <c r="A209" s="19" t="str">
        <f t="shared" si="6"/>
        <v>ManagedIdentity/userAssignedIdentities(id-)</v>
      </c>
      <c r="B209" s="19" t="s">
        <v>888</v>
      </c>
      <c r="C209" s="19" t="s">
        <v>278</v>
      </c>
      <c r="D209" s="19" t="s">
        <v>279</v>
      </c>
      <c r="E209" s="19" t="s">
        <v>280</v>
      </c>
      <c r="F209" s="19" t="str">
        <f t="shared" si="7"/>
        <v>id-</v>
      </c>
      <c r="G209" s="19" t="s">
        <v>78</v>
      </c>
      <c r="H209" s="19" t="s">
        <v>281</v>
      </c>
      <c r="I209" s="19" t="s">
        <v>382</v>
      </c>
      <c r="J209" s="19" t="s">
        <v>889</v>
      </c>
      <c r="K209" s="19" t="s">
        <v>280</v>
      </c>
      <c r="L209" s="19" t="s">
        <v>280</v>
      </c>
      <c r="M209" s="19" t="s">
        <v>280</v>
      </c>
      <c r="N209" s="19" t="s">
        <v>280</v>
      </c>
      <c r="O209" s="19" t="s">
        <v>280</v>
      </c>
      <c r="P209" s="19" t="s">
        <v>890</v>
      </c>
      <c r="Q209" s="20" t="s">
        <v>280</v>
      </c>
      <c r="R209" s="19" t="s">
        <v>1272</v>
      </c>
      <c r="S209" s="20" t="s">
        <v>1273</v>
      </c>
      <c r="T209" s="19" t="s">
        <v>261</v>
      </c>
      <c r="U209" s="19" t="s">
        <v>464</v>
      </c>
    </row>
    <row r="210" spans="1:21" ht="14.5" x14ac:dyDescent="0.35">
      <c r="A210" s="18" t="str">
        <f t="shared" si="6"/>
        <v>Management/managementGroups(mg-)</v>
      </c>
      <c r="B210" s="18" t="s">
        <v>891</v>
      </c>
      <c r="C210" s="18" t="s">
        <v>892</v>
      </c>
      <c r="D210" s="18" t="s">
        <v>893</v>
      </c>
      <c r="E210" s="18" t="s">
        <v>280</v>
      </c>
      <c r="F210" s="18" t="str">
        <f t="shared" si="7"/>
        <v>mg-</v>
      </c>
      <c r="G210" s="18" t="s">
        <v>438</v>
      </c>
      <c r="H210" s="18" t="s">
        <v>280</v>
      </c>
      <c r="I210" s="18">
        <v>100</v>
      </c>
      <c r="J210" s="18" t="s">
        <v>280</v>
      </c>
      <c r="K210" s="18" t="s">
        <v>280</v>
      </c>
      <c r="L210" s="18" t="s">
        <v>280</v>
      </c>
      <c r="M210" s="18" t="s">
        <v>280</v>
      </c>
      <c r="N210" s="18" t="s">
        <v>280</v>
      </c>
      <c r="O210" s="18" t="s">
        <v>280</v>
      </c>
      <c r="P210" s="18" t="s">
        <v>280</v>
      </c>
      <c r="Q210" s="21"/>
      <c r="R210" s="18" t="s">
        <v>1266</v>
      </c>
      <c r="S210" s="21"/>
      <c r="T210" s="18" t="s">
        <v>894</v>
      </c>
      <c r="U210" s="18" t="s">
        <v>464</v>
      </c>
    </row>
    <row r="211" spans="1:21" ht="14.5" x14ac:dyDescent="0.35">
      <c r="A211" s="19" t="str">
        <f t="shared" si="6"/>
        <v>Maps/accounts(macc-)</v>
      </c>
      <c r="B211" s="19" t="s">
        <v>895</v>
      </c>
      <c r="C211" s="19" t="s">
        <v>278</v>
      </c>
      <c r="D211" s="19" t="s">
        <v>279</v>
      </c>
      <c r="E211" s="19" t="s">
        <v>280</v>
      </c>
      <c r="F211" s="19" t="str">
        <f t="shared" si="7"/>
        <v>macc-</v>
      </c>
      <c r="G211" s="19" t="s">
        <v>78</v>
      </c>
      <c r="H211" s="19" t="s">
        <v>285</v>
      </c>
      <c r="I211" s="19" t="s">
        <v>897</v>
      </c>
      <c r="J211" s="19" t="s">
        <v>452</v>
      </c>
      <c r="K211" s="19" t="s">
        <v>280</v>
      </c>
      <c r="L211" s="19" t="s">
        <v>280</v>
      </c>
      <c r="M211" s="19" t="s">
        <v>280</v>
      </c>
      <c r="N211" s="19" t="s">
        <v>280</v>
      </c>
      <c r="O211" s="19" t="s">
        <v>280</v>
      </c>
      <c r="P211" s="19" t="s">
        <v>898</v>
      </c>
      <c r="Q211" s="20" t="s">
        <v>280</v>
      </c>
      <c r="R211" s="19" t="s">
        <v>1272</v>
      </c>
      <c r="S211" s="20" t="s">
        <v>1273</v>
      </c>
      <c r="T211" s="19" t="s">
        <v>896</v>
      </c>
      <c r="U211" s="19" t="s">
        <v>464</v>
      </c>
    </row>
    <row r="212" spans="1:21" ht="14.5" x14ac:dyDescent="0.35">
      <c r="A212" s="18" t="str">
        <f t="shared" si="6"/>
        <v>Media/mediaservices(mms)</v>
      </c>
      <c r="B212" s="18" t="s">
        <v>899</v>
      </c>
      <c r="C212" s="18" t="s">
        <v>278</v>
      </c>
      <c r="D212" s="18" t="s">
        <v>279</v>
      </c>
      <c r="E212" s="18" t="s">
        <v>280</v>
      </c>
      <c r="F212" s="18" t="str">
        <f t="shared" si="7"/>
        <v>mms</v>
      </c>
      <c r="G212" s="18" t="s">
        <v>78</v>
      </c>
      <c r="H212" s="18" t="s">
        <v>281</v>
      </c>
      <c r="I212" s="18" t="s">
        <v>373</v>
      </c>
      <c r="J212" s="18" t="s">
        <v>420</v>
      </c>
      <c r="K212" s="18" t="s">
        <v>280</v>
      </c>
      <c r="L212" s="18" t="s">
        <v>280</v>
      </c>
      <c r="M212" s="18" t="s">
        <v>280</v>
      </c>
      <c r="N212" s="18" t="s">
        <v>280</v>
      </c>
      <c r="O212" s="18" t="s">
        <v>280</v>
      </c>
      <c r="P212" s="18" t="s">
        <v>421</v>
      </c>
      <c r="Q212" s="21" t="s">
        <v>280</v>
      </c>
      <c r="R212" s="18" t="s">
        <v>1272</v>
      </c>
      <c r="S212" s="21" t="s">
        <v>1273</v>
      </c>
      <c r="T212" s="18" t="s">
        <v>900</v>
      </c>
      <c r="U212" s="18"/>
    </row>
    <row r="213" spans="1:21" ht="14.5" x14ac:dyDescent="0.35">
      <c r="A213" s="19" t="str">
        <f t="shared" si="6"/>
        <v>Media/mediaservices/liveEvents(lievt)</v>
      </c>
      <c r="B213" s="19" t="s">
        <v>901</v>
      </c>
      <c r="C213" s="19" t="s">
        <v>278</v>
      </c>
      <c r="D213" s="19" t="s">
        <v>279</v>
      </c>
      <c r="E213" s="19" t="s">
        <v>280</v>
      </c>
      <c r="F213" s="19" t="str">
        <f t="shared" si="7"/>
        <v>lievt</v>
      </c>
      <c r="G213" s="19" t="s">
        <v>903</v>
      </c>
      <c r="H213" s="19" t="s">
        <v>285</v>
      </c>
      <c r="I213" s="19" t="s">
        <v>904</v>
      </c>
      <c r="J213" s="19" t="s">
        <v>905</v>
      </c>
      <c r="K213" s="19" t="s">
        <v>280</v>
      </c>
      <c r="L213" s="19" t="s">
        <v>280</v>
      </c>
      <c r="M213" s="19" t="s">
        <v>280</v>
      </c>
      <c r="N213" s="19" t="s">
        <v>280</v>
      </c>
      <c r="O213" s="19" t="s">
        <v>280</v>
      </c>
      <c r="P213" s="19" t="s">
        <v>906</v>
      </c>
      <c r="Q213" s="20" t="s">
        <v>280</v>
      </c>
      <c r="R213" s="19" t="s">
        <v>1272</v>
      </c>
      <c r="S213" s="20" t="s">
        <v>1273</v>
      </c>
      <c r="T213" s="19" t="s">
        <v>902</v>
      </c>
      <c r="U213" s="19"/>
    </row>
    <row r="214" spans="1:21" ht="14.5" x14ac:dyDescent="0.35">
      <c r="A214" s="18" t="str">
        <f t="shared" si="6"/>
        <v>Media/mediaservices/liveEvents/liveOutputs(liout)</v>
      </c>
      <c r="B214" s="18" t="s">
        <v>907</v>
      </c>
      <c r="C214" s="18" t="s">
        <v>278</v>
      </c>
      <c r="D214" s="18" t="s">
        <v>279</v>
      </c>
      <c r="E214" s="18" t="s">
        <v>280</v>
      </c>
      <c r="F214" s="18" t="str">
        <f t="shared" si="7"/>
        <v>liout</v>
      </c>
      <c r="G214" s="18" t="s">
        <v>909</v>
      </c>
      <c r="H214" s="18" t="s">
        <v>285</v>
      </c>
      <c r="I214" s="18" t="s">
        <v>289</v>
      </c>
      <c r="J214" s="18" t="s">
        <v>905</v>
      </c>
      <c r="K214" s="18" t="s">
        <v>280</v>
      </c>
      <c r="L214" s="18" t="s">
        <v>280</v>
      </c>
      <c r="M214" s="18" t="s">
        <v>280</v>
      </c>
      <c r="N214" s="18" t="s">
        <v>280</v>
      </c>
      <c r="O214" s="18" t="s">
        <v>280</v>
      </c>
      <c r="P214" s="18" t="s">
        <v>910</v>
      </c>
      <c r="Q214" s="21" t="s">
        <v>280</v>
      </c>
      <c r="R214" s="18" t="s">
        <v>1272</v>
      </c>
      <c r="S214" s="21" t="s">
        <v>1273</v>
      </c>
      <c r="T214" s="18" t="s">
        <v>908</v>
      </c>
      <c r="U214" s="18"/>
    </row>
    <row r="215" spans="1:21" ht="14.5" x14ac:dyDescent="0.35">
      <c r="A215" s="19" t="str">
        <f t="shared" si="6"/>
        <v>Media/mediaservices/streamingEndpoints(strep)</v>
      </c>
      <c r="B215" s="19" t="s">
        <v>911</v>
      </c>
      <c r="C215" s="19" t="s">
        <v>278</v>
      </c>
      <c r="D215" s="19" t="s">
        <v>279</v>
      </c>
      <c r="E215" s="19" t="s">
        <v>280</v>
      </c>
      <c r="F215" s="19" t="str">
        <f t="shared" si="7"/>
        <v>strep</v>
      </c>
      <c r="G215" s="19" t="s">
        <v>903</v>
      </c>
      <c r="H215" s="19" t="s">
        <v>285</v>
      </c>
      <c r="I215" s="19" t="s">
        <v>289</v>
      </c>
      <c r="J215" s="19" t="s">
        <v>681</v>
      </c>
      <c r="K215" s="19" t="s">
        <v>280</v>
      </c>
      <c r="L215" s="19" t="s">
        <v>280</v>
      </c>
      <c r="M215" s="19" t="s">
        <v>280</v>
      </c>
      <c r="N215" s="19" t="s">
        <v>280</v>
      </c>
      <c r="O215" s="19" t="s">
        <v>280</v>
      </c>
      <c r="P215" s="19" t="s">
        <v>913</v>
      </c>
      <c r="Q215" s="20" t="s">
        <v>280</v>
      </c>
      <c r="R215" s="19" t="s">
        <v>1272</v>
      </c>
      <c r="S215" s="20" t="s">
        <v>1273</v>
      </c>
      <c r="T215" s="19" t="s">
        <v>912</v>
      </c>
      <c r="U215" s="19"/>
    </row>
    <row r="216" spans="1:21" ht="14.5" x14ac:dyDescent="0.35">
      <c r="A216" s="18" t="str">
        <f t="shared" si="6"/>
        <v>Migrate/assessmentProjects(migr)</v>
      </c>
      <c r="B216" s="18" t="s">
        <v>914</v>
      </c>
      <c r="C216" s="18" t="s">
        <v>280</v>
      </c>
      <c r="D216" s="18" t="s">
        <v>280</v>
      </c>
      <c r="E216" s="18" t="s">
        <v>280</v>
      </c>
      <c r="F216" s="18" t="str">
        <f t="shared" si="7"/>
        <v>migr</v>
      </c>
      <c r="G216" s="18" t="s">
        <v>280</v>
      </c>
      <c r="H216" s="18" t="s">
        <v>280</v>
      </c>
      <c r="I216" s="18" t="s">
        <v>280</v>
      </c>
      <c r="J216" s="18" t="s">
        <v>280</v>
      </c>
      <c r="K216" s="18" t="s">
        <v>280</v>
      </c>
      <c r="L216" s="18" t="s">
        <v>280</v>
      </c>
      <c r="M216" s="18" t="s">
        <v>280</v>
      </c>
      <c r="N216" s="18" t="s">
        <v>280</v>
      </c>
      <c r="O216" s="18" t="s">
        <v>280</v>
      </c>
      <c r="P216" s="18" t="s">
        <v>280</v>
      </c>
      <c r="Q216" s="21" t="s">
        <v>280</v>
      </c>
      <c r="R216" s="18" t="s">
        <v>1268</v>
      </c>
      <c r="S216" s="21"/>
      <c r="T216" s="18" t="s">
        <v>915</v>
      </c>
      <c r="U216" s="18"/>
    </row>
    <row r="217" spans="1:21" ht="14.5" x14ac:dyDescent="0.35">
      <c r="A217" s="19" t="str">
        <f t="shared" si="6"/>
        <v>Network/applicationGateways(agw-)</v>
      </c>
      <c r="B217" s="19" t="s">
        <v>916</v>
      </c>
      <c r="C217" s="19" t="s">
        <v>278</v>
      </c>
      <c r="D217" s="19" t="s">
        <v>279</v>
      </c>
      <c r="E217" s="19" t="s">
        <v>280</v>
      </c>
      <c r="F217" s="19" t="str">
        <f t="shared" si="7"/>
        <v>agw-</v>
      </c>
      <c r="G217" s="19" t="s">
        <v>78</v>
      </c>
      <c r="H217" s="19" t="s">
        <v>285</v>
      </c>
      <c r="I217" s="19" t="s">
        <v>373</v>
      </c>
      <c r="J217" s="19" t="s">
        <v>918</v>
      </c>
      <c r="K217" s="19" t="s">
        <v>280</v>
      </c>
      <c r="L217" s="19" t="s">
        <v>280</v>
      </c>
      <c r="M217" s="19" t="s">
        <v>280</v>
      </c>
      <c r="N217" s="19" t="s">
        <v>280</v>
      </c>
      <c r="O217" s="19" t="s">
        <v>280</v>
      </c>
      <c r="P217" s="19" t="s">
        <v>919</v>
      </c>
      <c r="Q217" s="20" t="s">
        <v>280</v>
      </c>
      <c r="R217" s="19" t="s">
        <v>1272</v>
      </c>
      <c r="S217" s="20" t="s">
        <v>1273</v>
      </c>
      <c r="T217" s="19" t="s">
        <v>917</v>
      </c>
      <c r="U217" s="19" t="s">
        <v>464</v>
      </c>
    </row>
    <row r="218" spans="1:21" ht="14.5" x14ac:dyDescent="0.35">
      <c r="A218" s="18" t="str">
        <f t="shared" si="6"/>
        <v>Network/applicationSecurityGroups(asg-)</v>
      </c>
      <c r="B218" s="18" t="s">
        <v>920</v>
      </c>
      <c r="C218" s="18" t="s">
        <v>278</v>
      </c>
      <c r="D218" s="18" t="s">
        <v>279</v>
      </c>
      <c r="E218" s="18" t="s">
        <v>280</v>
      </c>
      <c r="F218" s="18" t="str">
        <f t="shared" si="7"/>
        <v>asg-</v>
      </c>
      <c r="G218" s="18" t="s">
        <v>78</v>
      </c>
      <c r="H218" s="18" t="s">
        <v>285</v>
      </c>
      <c r="I218" s="18" t="s">
        <v>306</v>
      </c>
      <c r="J218" s="18" t="s">
        <v>918</v>
      </c>
      <c r="K218" s="18" t="s">
        <v>280</v>
      </c>
      <c r="L218" s="18" t="s">
        <v>280</v>
      </c>
      <c r="M218" s="18" t="s">
        <v>280</v>
      </c>
      <c r="N218" s="18" t="s">
        <v>280</v>
      </c>
      <c r="O218" s="18" t="s">
        <v>280</v>
      </c>
      <c r="P218" s="18" t="s">
        <v>490</v>
      </c>
      <c r="Q218" s="21" t="s">
        <v>280</v>
      </c>
      <c r="R218" s="18" t="s">
        <v>1272</v>
      </c>
      <c r="S218" s="21" t="s">
        <v>1273</v>
      </c>
      <c r="T218" s="18" t="s">
        <v>921</v>
      </c>
      <c r="U218" s="18" t="s">
        <v>464</v>
      </c>
    </row>
    <row r="219" spans="1:21" ht="14.5" x14ac:dyDescent="0.35">
      <c r="A219" s="19" t="str">
        <f t="shared" si="6"/>
        <v>Network/azureFirewalls(afw-)</v>
      </c>
      <c r="B219" s="19" t="s">
        <v>922</v>
      </c>
      <c r="C219" s="19" t="s">
        <v>278</v>
      </c>
      <c r="D219" s="19" t="s">
        <v>279</v>
      </c>
      <c r="E219" s="19" t="s">
        <v>280</v>
      </c>
      <c r="F219" s="19" t="str">
        <f t="shared" si="7"/>
        <v>afw-</v>
      </c>
      <c r="G219" s="19" t="s">
        <v>78</v>
      </c>
      <c r="H219" s="19" t="s">
        <v>285</v>
      </c>
      <c r="I219" s="19" t="s">
        <v>306</v>
      </c>
      <c r="J219" s="19" t="s">
        <v>918</v>
      </c>
      <c r="K219" s="19" t="s">
        <v>280</v>
      </c>
      <c r="L219" s="19" t="s">
        <v>280</v>
      </c>
      <c r="M219" s="19" t="s">
        <v>280</v>
      </c>
      <c r="N219" s="19" t="s">
        <v>280</v>
      </c>
      <c r="O219" s="19" t="s">
        <v>280</v>
      </c>
      <c r="P219" s="19" t="s">
        <v>490</v>
      </c>
      <c r="Q219" s="20" t="s">
        <v>280</v>
      </c>
      <c r="R219" s="19" t="s">
        <v>1272</v>
      </c>
      <c r="S219" s="20" t="s">
        <v>1273</v>
      </c>
      <c r="T219" s="19" t="s">
        <v>923</v>
      </c>
      <c r="U219" s="19" t="s">
        <v>464</v>
      </c>
    </row>
    <row r="220" spans="1:21" ht="14.5" x14ac:dyDescent="0.35">
      <c r="A220" s="18" t="str">
        <f t="shared" si="6"/>
        <v>Network/bastionHosts(bas-)</v>
      </c>
      <c r="B220" s="18" t="s">
        <v>924</v>
      </c>
      <c r="C220" s="18" t="s">
        <v>278</v>
      </c>
      <c r="D220" s="18" t="s">
        <v>279</v>
      </c>
      <c r="E220" s="18" t="s">
        <v>280</v>
      </c>
      <c r="F220" s="18" t="str">
        <f t="shared" si="7"/>
        <v>bas-</v>
      </c>
      <c r="G220" s="18" t="s">
        <v>78</v>
      </c>
      <c r="H220" s="18" t="s">
        <v>285</v>
      </c>
      <c r="I220" s="18" t="s">
        <v>306</v>
      </c>
      <c r="J220" s="18" t="s">
        <v>918</v>
      </c>
      <c r="K220" s="18" t="s">
        <v>280</v>
      </c>
      <c r="L220" s="18" t="s">
        <v>280</v>
      </c>
      <c r="M220" s="18" t="s">
        <v>280</v>
      </c>
      <c r="N220" s="18" t="s">
        <v>280</v>
      </c>
      <c r="O220" s="18" t="s">
        <v>280</v>
      </c>
      <c r="P220" s="18" t="s">
        <v>490</v>
      </c>
      <c r="Q220" s="21" t="s">
        <v>280</v>
      </c>
      <c r="R220" s="18" t="s">
        <v>1272</v>
      </c>
      <c r="S220" s="21" t="s">
        <v>1273</v>
      </c>
      <c r="T220" s="18" t="s">
        <v>925</v>
      </c>
      <c r="U220" s="18" t="s">
        <v>464</v>
      </c>
    </row>
    <row r="221" spans="1:21" ht="14.5" x14ac:dyDescent="0.35">
      <c r="A221" s="19" t="str">
        <f t="shared" si="6"/>
        <v>Network/connections(con-)</v>
      </c>
      <c r="B221" s="19" t="s">
        <v>926</v>
      </c>
      <c r="C221" s="19" t="s">
        <v>278</v>
      </c>
      <c r="D221" s="19" t="s">
        <v>279</v>
      </c>
      <c r="E221" s="19" t="s">
        <v>280</v>
      </c>
      <c r="F221" s="19" t="str">
        <f t="shared" si="7"/>
        <v>con-</v>
      </c>
      <c r="G221" s="19" t="s">
        <v>78</v>
      </c>
      <c r="H221" s="19" t="s">
        <v>285</v>
      </c>
      <c r="I221" s="19" t="s">
        <v>306</v>
      </c>
      <c r="J221" s="19" t="s">
        <v>918</v>
      </c>
      <c r="K221" s="19" t="s">
        <v>280</v>
      </c>
      <c r="L221" s="19" t="s">
        <v>280</v>
      </c>
      <c r="M221" s="19" t="s">
        <v>280</v>
      </c>
      <c r="N221" s="19" t="s">
        <v>280</v>
      </c>
      <c r="O221" s="19" t="s">
        <v>280</v>
      </c>
      <c r="P221" s="19" t="s">
        <v>490</v>
      </c>
      <c r="Q221" s="20" t="s">
        <v>280</v>
      </c>
      <c r="R221" s="19" t="s">
        <v>1272</v>
      </c>
      <c r="S221" s="20" t="s">
        <v>1273</v>
      </c>
      <c r="T221" s="19" t="s">
        <v>51</v>
      </c>
      <c r="U221" s="19" t="s">
        <v>464</v>
      </c>
    </row>
    <row r="222" spans="1:21" ht="14.5" x14ac:dyDescent="0.35">
      <c r="A222" s="18" t="str">
        <f t="shared" si="6"/>
        <v>Network/dnsZones(dnsz-)</v>
      </c>
      <c r="B222" s="18" t="s">
        <v>927</v>
      </c>
      <c r="C222" s="18" t="s">
        <v>278</v>
      </c>
      <c r="D222" s="18" t="s">
        <v>279</v>
      </c>
      <c r="E222" s="18" t="s">
        <v>280</v>
      </c>
      <c r="F222" s="18" t="str">
        <f t="shared" si="7"/>
        <v>dnsz-</v>
      </c>
      <c r="G222" s="18" t="s">
        <v>78</v>
      </c>
      <c r="H222" s="18" t="s">
        <v>285</v>
      </c>
      <c r="I222" s="18" t="s">
        <v>282</v>
      </c>
      <c r="J222" s="18" t="s">
        <v>929</v>
      </c>
      <c r="K222" s="18" t="s">
        <v>280</v>
      </c>
      <c r="L222" s="18" t="s">
        <v>280</v>
      </c>
      <c r="M222" s="18" t="s">
        <v>280</v>
      </c>
      <c r="N222" s="18" t="s">
        <v>280</v>
      </c>
      <c r="O222" s="18" t="s">
        <v>280</v>
      </c>
      <c r="P222" s="18" t="s">
        <v>930</v>
      </c>
      <c r="Q222" s="21" t="s">
        <v>931</v>
      </c>
      <c r="R222" s="18" t="s">
        <v>1272</v>
      </c>
      <c r="S222" s="21" t="s">
        <v>1273</v>
      </c>
      <c r="T222" s="18" t="s">
        <v>928</v>
      </c>
      <c r="U222" s="18" t="s">
        <v>464</v>
      </c>
    </row>
    <row r="223" spans="1:21" ht="14.5" x14ac:dyDescent="0.35">
      <c r="A223" s="19" t="str">
        <f t="shared" si="6"/>
        <v>Network/expressRouteCircuits(erc-)</v>
      </c>
      <c r="B223" s="19" t="s">
        <v>932</v>
      </c>
      <c r="C223" s="19" t="s">
        <v>278</v>
      </c>
      <c r="D223" s="19" t="s">
        <v>279</v>
      </c>
      <c r="E223" s="19" t="s">
        <v>280</v>
      </c>
      <c r="F223" s="19" t="str">
        <f t="shared" si="7"/>
        <v>erc-</v>
      </c>
      <c r="G223" s="19" t="s">
        <v>78</v>
      </c>
      <c r="H223" s="19" t="s">
        <v>285</v>
      </c>
      <c r="I223" s="19" t="s">
        <v>306</v>
      </c>
      <c r="J223" s="19" t="s">
        <v>934</v>
      </c>
      <c r="K223" s="19" t="s">
        <v>280</v>
      </c>
      <c r="L223" s="19" t="s">
        <v>280</v>
      </c>
      <c r="M223" s="19" t="s">
        <v>280</v>
      </c>
      <c r="N223" s="19" t="s">
        <v>280</v>
      </c>
      <c r="O223" s="19" t="s">
        <v>280</v>
      </c>
      <c r="P223" s="19" t="s">
        <v>490</v>
      </c>
      <c r="Q223" s="20" t="s">
        <v>280</v>
      </c>
      <c r="R223" s="19" t="s">
        <v>1272</v>
      </c>
      <c r="S223" s="20" t="s">
        <v>1273</v>
      </c>
      <c r="T223" s="19" t="s">
        <v>933</v>
      </c>
      <c r="U223" s="19" t="s">
        <v>464</v>
      </c>
    </row>
    <row r="224" spans="1:21" ht="14.5" x14ac:dyDescent="0.35">
      <c r="A224" s="18" t="str">
        <f t="shared" si="6"/>
        <v>Network/firewallPolicies(waf-)</v>
      </c>
      <c r="B224" s="18" t="s">
        <v>935</v>
      </c>
      <c r="C224" s="18" t="s">
        <v>278</v>
      </c>
      <c r="D224" s="18" t="s">
        <v>279</v>
      </c>
      <c r="E224" s="18" t="s">
        <v>280</v>
      </c>
      <c r="F224" s="18" t="str">
        <f t="shared" si="7"/>
        <v>waf-</v>
      </c>
      <c r="G224" s="18" t="s">
        <v>78</v>
      </c>
      <c r="H224" s="18" t="s">
        <v>285</v>
      </c>
      <c r="I224" s="18" t="s">
        <v>306</v>
      </c>
      <c r="J224" s="18" t="s">
        <v>934</v>
      </c>
      <c r="K224" s="18" t="s">
        <v>280</v>
      </c>
      <c r="L224" s="18" t="s">
        <v>280</v>
      </c>
      <c r="M224" s="18" t="s">
        <v>280</v>
      </c>
      <c r="N224" s="18" t="s">
        <v>280</v>
      </c>
      <c r="O224" s="18" t="s">
        <v>280</v>
      </c>
      <c r="P224" s="18" t="s">
        <v>490</v>
      </c>
      <c r="Q224" s="21" t="s">
        <v>280</v>
      </c>
      <c r="R224" s="18" t="s">
        <v>1272</v>
      </c>
      <c r="S224" s="21" t="s">
        <v>1273</v>
      </c>
      <c r="T224" s="18" t="s">
        <v>52</v>
      </c>
      <c r="U224" s="18" t="s">
        <v>464</v>
      </c>
    </row>
    <row r="225" spans="1:21" ht="14.5" x14ac:dyDescent="0.35">
      <c r="A225" s="19" t="str">
        <f t="shared" si="6"/>
        <v>Network/firewallPolicies/ruleGroups(wafrg-)</v>
      </c>
      <c r="B225" s="19" t="s">
        <v>936</v>
      </c>
      <c r="C225" s="19" t="s">
        <v>278</v>
      </c>
      <c r="D225" s="19" t="s">
        <v>279</v>
      </c>
      <c r="E225" s="19" t="s">
        <v>280</v>
      </c>
      <c r="F225" s="19" t="str">
        <f t="shared" si="7"/>
        <v>wafrg-</v>
      </c>
      <c r="G225" s="19" t="s">
        <v>937</v>
      </c>
      <c r="H225" s="19" t="s">
        <v>285</v>
      </c>
      <c r="I225" s="19" t="s">
        <v>306</v>
      </c>
      <c r="J225" s="19" t="s">
        <v>934</v>
      </c>
      <c r="K225" s="19" t="s">
        <v>280</v>
      </c>
      <c r="L225" s="19" t="s">
        <v>280</v>
      </c>
      <c r="M225" s="19" t="s">
        <v>280</v>
      </c>
      <c r="N225" s="19" t="s">
        <v>280</v>
      </c>
      <c r="O225" s="19" t="s">
        <v>280</v>
      </c>
      <c r="P225" s="19" t="s">
        <v>490</v>
      </c>
      <c r="Q225" s="20" t="s">
        <v>280</v>
      </c>
      <c r="R225" s="19" t="s">
        <v>1272</v>
      </c>
      <c r="S225" s="20" t="s">
        <v>1273</v>
      </c>
      <c r="T225" s="19" t="s">
        <v>53</v>
      </c>
      <c r="U225" s="19" t="s">
        <v>464</v>
      </c>
    </row>
    <row r="226" spans="1:21" ht="14.5" x14ac:dyDescent="0.35">
      <c r="A226" s="18" t="str">
        <f t="shared" si="6"/>
        <v>Network/frontDoors(fd-)</v>
      </c>
      <c r="B226" s="18" t="s">
        <v>938</v>
      </c>
      <c r="C226" s="18" t="s">
        <v>278</v>
      </c>
      <c r="D226" s="18" t="s">
        <v>279</v>
      </c>
      <c r="E226" s="18" t="s">
        <v>280</v>
      </c>
      <c r="F226" s="18" t="str">
        <f t="shared" si="7"/>
        <v>fd-</v>
      </c>
      <c r="G226" s="18" t="s">
        <v>80</v>
      </c>
      <c r="H226" s="18" t="s">
        <v>281</v>
      </c>
      <c r="I226" s="18" t="s">
        <v>379</v>
      </c>
      <c r="J226" s="18" t="s">
        <v>462</v>
      </c>
      <c r="K226" s="18" t="s">
        <v>280</v>
      </c>
      <c r="L226" s="18" t="s">
        <v>280</v>
      </c>
      <c r="M226" s="18" t="s">
        <v>280</v>
      </c>
      <c r="N226" s="18" t="s">
        <v>280</v>
      </c>
      <c r="O226" s="18" t="s">
        <v>280</v>
      </c>
      <c r="P226" s="18" t="s">
        <v>940</v>
      </c>
      <c r="Q226" s="21" t="s">
        <v>280</v>
      </c>
      <c r="R226" s="18" t="s">
        <v>1272</v>
      </c>
      <c r="S226" s="21" t="s">
        <v>1273</v>
      </c>
      <c r="T226" s="18" t="s">
        <v>939</v>
      </c>
      <c r="U226" s="18" t="s">
        <v>464</v>
      </c>
    </row>
    <row r="227" spans="1:21" ht="14.5" x14ac:dyDescent="0.35">
      <c r="A227" s="19" t="str">
        <f t="shared" si="6"/>
        <v>Network/frontdoorWebApplicationFirewallPolicies(fdfp)</v>
      </c>
      <c r="B227" s="19" t="s">
        <v>941</v>
      </c>
      <c r="C227" s="19" t="s">
        <v>278</v>
      </c>
      <c r="D227" s="19" t="s">
        <v>279</v>
      </c>
      <c r="E227" s="19" t="s">
        <v>280</v>
      </c>
      <c r="F227" s="19" t="str">
        <f t="shared" si="7"/>
        <v>fdfp</v>
      </c>
      <c r="G227" s="19" t="s">
        <v>78</v>
      </c>
      <c r="H227" s="19" t="s">
        <v>285</v>
      </c>
      <c r="I227" s="19" t="s">
        <v>382</v>
      </c>
      <c r="J227" s="19" t="s">
        <v>575</v>
      </c>
      <c r="K227" s="19" t="s">
        <v>280</v>
      </c>
      <c r="L227" s="19" t="s">
        <v>280</v>
      </c>
      <c r="M227" s="19" t="s">
        <v>280</v>
      </c>
      <c r="N227" s="19" t="s">
        <v>280</v>
      </c>
      <c r="O227" s="19" t="s">
        <v>280</v>
      </c>
      <c r="P227" s="19" t="s">
        <v>943</v>
      </c>
      <c r="Q227" s="20" t="s">
        <v>280</v>
      </c>
      <c r="R227" s="19" t="s">
        <v>1272</v>
      </c>
      <c r="S227" s="20" t="s">
        <v>1273</v>
      </c>
      <c r="T227" s="19" t="s">
        <v>942</v>
      </c>
      <c r="U227" s="19"/>
    </row>
    <row r="228" spans="1:21" ht="14.5" x14ac:dyDescent="0.35">
      <c r="A228" s="18" t="str">
        <f t="shared" si="6"/>
        <v>Network/loadBalancersinternal(lbi-)</v>
      </c>
      <c r="B228" s="18" t="s">
        <v>944</v>
      </c>
      <c r="C228" s="18" t="s">
        <v>278</v>
      </c>
      <c r="D228" s="18" t="s">
        <v>279</v>
      </c>
      <c r="E228" s="18" t="s">
        <v>945</v>
      </c>
      <c r="F228" s="18" t="str">
        <f t="shared" si="7"/>
        <v>lbi-</v>
      </c>
      <c r="G228" s="18" t="s">
        <v>78</v>
      </c>
      <c r="H228" s="18" t="s">
        <v>285</v>
      </c>
      <c r="I228" s="18" t="s">
        <v>306</v>
      </c>
      <c r="J228" s="18" t="s">
        <v>934</v>
      </c>
      <c r="K228" s="18" t="s">
        <v>280</v>
      </c>
      <c r="L228" s="18" t="s">
        <v>280</v>
      </c>
      <c r="M228" s="18" t="s">
        <v>280</v>
      </c>
      <c r="N228" s="18" t="s">
        <v>280</v>
      </c>
      <c r="O228" s="18" t="s">
        <v>280</v>
      </c>
      <c r="P228" s="18" t="s">
        <v>490</v>
      </c>
      <c r="Q228" s="21" t="s">
        <v>280</v>
      </c>
      <c r="R228" s="18" t="s">
        <v>1272</v>
      </c>
      <c r="S228" s="21" t="s">
        <v>1273</v>
      </c>
      <c r="T228" s="18" t="s">
        <v>946</v>
      </c>
      <c r="U228" s="18" t="s">
        <v>464</v>
      </c>
    </row>
    <row r="229" spans="1:21" ht="14.5" x14ac:dyDescent="0.35">
      <c r="A229" s="19" t="str">
        <f t="shared" si="6"/>
        <v>Network/loadBalancersexternal(lbe-)</v>
      </c>
      <c r="B229" s="19" t="s">
        <v>944</v>
      </c>
      <c r="C229" s="19" t="s">
        <v>278</v>
      </c>
      <c r="D229" s="19" t="s">
        <v>279</v>
      </c>
      <c r="E229" s="19" t="s">
        <v>947</v>
      </c>
      <c r="F229" s="19" t="str">
        <f t="shared" si="7"/>
        <v>lbe-</v>
      </c>
      <c r="G229" s="19" t="s">
        <v>78</v>
      </c>
      <c r="H229" s="19" t="s">
        <v>285</v>
      </c>
      <c r="I229" s="19" t="s">
        <v>306</v>
      </c>
      <c r="J229" s="19" t="s">
        <v>934</v>
      </c>
      <c r="K229" s="19" t="s">
        <v>280</v>
      </c>
      <c r="L229" s="19" t="s">
        <v>280</v>
      </c>
      <c r="M229" s="19" t="s">
        <v>280</v>
      </c>
      <c r="N229" s="19" t="s">
        <v>280</v>
      </c>
      <c r="O229" s="19" t="s">
        <v>280</v>
      </c>
      <c r="P229" s="19" t="s">
        <v>490</v>
      </c>
      <c r="Q229" s="20" t="s">
        <v>280</v>
      </c>
      <c r="R229" s="19" t="s">
        <v>1272</v>
      </c>
      <c r="S229" s="20" t="s">
        <v>1273</v>
      </c>
      <c r="T229" s="19" t="s">
        <v>948</v>
      </c>
      <c r="U229" s="19" t="s">
        <v>464</v>
      </c>
    </row>
    <row r="230" spans="1:21" ht="14.5" x14ac:dyDescent="0.35">
      <c r="A230" s="18" t="str">
        <f t="shared" si="6"/>
        <v>Network/loadBalancers/inboundNatRules(rule-)</v>
      </c>
      <c r="B230" s="18" t="s">
        <v>949</v>
      </c>
      <c r="C230" s="18" t="s">
        <v>278</v>
      </c>
      <c r="D230" s="18" t="s">
        <v>279</v>
      </c>
      <c r="E230" s="18" t="s">
        <v>280</v>
      </c>
      <c r="F230" s="18" t="str">
        <f t="shared" si="7"/>
        <v>rule-</v>
      </c>
      <c r="G230" s="18" t="s">
        <v>950</v>
      </c>
      <c r="H230" s="18" t="s">
        <v>285</v>
      </c>
      <c r="I230" s="18" t="s">
        <v>306</v>
      </c>
      <c r="J230" s="18" t="s">
        <v>934</v>
      </c>
      <c r="K230" s="18" t="s">
        <v>280</v>
      </c>
      <c r="L230" s="18" t="s">
        <v>280</v>
      </c>
      <c r="M230" s="18" t="s">
        <v>280</v>
      </c>
      <c r="N230" s="18" t="s">
        <v>280</v>
      </c>
      <c r="O230" s="18" t="s">
        <v>280</v>
      </c>
      <c r="P230" s="18" t="s">
        <v>490</v>
      </c>
      <c r="Q230" s="21" t="s">
        <v>280</v>
      </c>
      <c r="R230" s="18" t="s">
        <v>1272</v>
      </c>
      <c r="S230" s="21" t="s">
        <v>1273</v>
      </c>
      <c r="T230" s="18" t="s">
        <v>467</v>
      </c>
      <c r="U230" s="18" t="s">
        <v>464</v>
      </c>
    </row>
    <row r="231" spans="1:21" ht="14.5" x14ac:dyDescent="0.35">
      <c r="A231" s="19" t="str">
        <f t="shared" si="6"/>
        <v>Network/localNetworkGateways(lgw-)</v>
      </c>
      <c r="B231" s="19" t="s">
        <v>951</v>
      </c>
      <c r="C231" s="19" t="s">
        <v>278</v>
      </c>
      <c r="D231" s="19" t="s">
        <v>279</v>
      </c>
      <c r="E231" s="19" t="s">
        <v>280</v>
      </c>
      <c r="F231" s="19" t="str">
        <f t="shared" si="7"/>
        <v>lgw-</v>
      </c>
      <c r="G231" s="19" t="s">
        <v>78</v>
      </c>
      <c r="H231" s="19" t="s">
        <v>285</v>
      </c>
      <c r="I231" s="19" t="s">
        <v>306</v>
      </c>
      <c r="J231" s="19" t="s">
        <v>934</v>
      </c>
      <c r="K231" s="19" t="s">
        <v>280</v>
      </c>
      <c r="L231" s="19" t="s">
        <v>280</v>
      </c>
      <c r="M231" s="19" t="s">
        <v>280</v>
      </c>
      <c r="N231" s="19" t="s">
        <v>280</v>
      </c>
      <c r="O231" s="19" t="s">
        <v>280</v>
      </c>
      <c r="P231" s="19" t="s">
        <v>490</v>
      </c>
      <c r="Q231" s="20" t="s">
        <v>280</v>
      </c>
      <c r="R231" s="19" t="s">
        <v>1272</v>
      </c>
      <c r="S231" s="20" t="s">
        <v>1273</v>
      </c>
      <c r="T231" s="19" t="s">
        <v>952</v>
      </c>
      <c r="U231" s="19" t="s">
        <v>464</v>
      </c>
    </row>
    <row r="232" spans="1:21" ht="14.5" x14ac:dyDescent="0.35">
      <c r="A232" s="18" t="str">
        <f t="shared" si="6"/>
        <v>Network/networkInterfaces(nic-)</v>
      </c>
      <c r="B232" s="18" t="s">
        <v>953</v>
      </c>
      <c r="C232" s="18" t="s">
        <v>487</v>
      </c>
      <c r="D232" s="18" t="s">
        <v>221</v>
      </c>
      <c r="E232" s="18" t="s">
        <v>280</v>
      </c>
      <c r="F232" s="18" t="str">
        <f t="shared" si="7"/>
        <v>nic-</v>
      </c>
      <c r="G232" s="18" t="s">
        <v>78</v>
      </c>
      <c r="H232" s="18" t="s">
        <v>285</v>
      </c>
      <c r="I232" s="18" t="s">
        <v>306</v>
      </c>
      <c r="J232" s="18" t="s">
        <v>934</v>
      </c>
      <c r="K232" s="18" t="s">
        <v>280</v>
      </c>
      <c r="L232" s="18" t="s">
        <v>280</v>
      </c>
      <c r="M232" s="18" t="s">
        <v>280</v>
      </c>
      <c r="N232" s="18" t="s">
        <v>280</v>
      </c>
      <c r="O232" s="18" t="s">
        <v>280</v>
      </c>
      <c r="P232" s="18" t="s">
        <v>490</v>
      </c>
      <c r="Q232" s="21" t="s">
        <v>280</v>
      </c>
      <c r="R232" s="18" t="s">
        <v>1270</v>
      </c>
      <c r="S232" s="21"/>
      <c r="T232" s="18" t="s">
        <v>954</v>
      </c>
      <c r="U232" s="18" t="s">
        <v>464</v>
      </c>
    </row>
    <row r="233" spans="1:21" ht="14.5" x14ac:dyDescent="0.35">
      <c r="A233" s="19" t="str">
        <f t="shared" si="6"/>
        <v>Network/networkSecurityGroups(nsg-)</v>
      </c>
      <c r="B233" s="19" t="s">
        <v>955</v>
      </c>
      <c r="C233" s="19" t="s">
        <v>487</v>
      </c>
      <c r="D233" s="19" t="s">
        <v>221</v>
      </c>
      <c r="E233" s="19" t="s">
        <v>280</v>
      </c>
      <c r="F233" s="19" t="str">
        <f t="shared" si="7"/>
        <v>nsg-</v>
      </c>
      <c r="G233" s="19" t="s">
        <v>78</v>
      </c>
      <c r="H233" s="19" t="s">
        <v>285</v>
      </c>
      <c r="I233" s="19" t="s">
        <v>306</v>
      </c>
      <c r="J233" s="19" t="s">
        <v>934</v>
      </c>
      <c r="K233" s="19" t="s">
        <v>280</v>
      </c>
      <c r="L233" s="19" t="s">
        <v>280</v>
      </c>
      <c r="M233" s="19" t="s">
        <v>280</v>
      </c>
      <c r="N233" s="19" t="s">
        <v>280</v>
      </c>
      <c r="O233" s="19" t="s">
        <v>280</v>
      </c>
      <c r="P233" s="19" t="s">
        <v>490</v>
      </c>
      <c r="Q233" s="20" t="s">
        <v>280</v>
      </c>
      <c r="R233" s="19" t="s">
        <v>1270</v>
      </c>
      <c r="S233" s="20"/>
      <c r="T233" s="19" t="s">
        <v>956</v>
      </c>
      <c r="U233" s="19" t="s">
        <v>464</v>
      </c>
    </row>
    <row r="234" spans="1:21" ht="14.5" x14ac:dyDescent="0.35">
      <c r="A234" s="18" t="str">
        <f t="shared" si="6"/>
        <v>Network/networkSecurityGroups/securityRules(nsgsr-)</v>
      </c>
      <c r="B234" s="18" t="s">
        <v>957</v>
      </c>
      <c r="C234" s="18" t="s">
        <v>278</v>
      </c>
      <c r="D234" s="18" t="s">
        <v>279</v>
      </c>
      <c r="E234" s="18" t="s">
        <v>280</v>
      </c>
      <c r="F234" s="18" t="str">
        <f t="shared" si="7"/>
        <v>nsgsr-</v>
      </c>
      <c r="G234" s="18" t="s">
        <v>959</v>
      </c>
      <c r="H234" s="18" t="s">
        <v>285</v>
      </c>
      <c r="I234" s="18" t="s">
        <v>306</v>
      </c>
      <c r="J234" s="18" t="s">
        <v>934</v>
      </c>
      <c r="K234" s="18" t="s">
        <v>280</v>
      </c>
      <c r="L234" s="18" t="s">
        <v>280</v>
      </c>
      <c r="M234" s="18" t="s">
        <v>280</v>
      </c>
      <c r="N234" s="18" t="s">
        <v>280</v>
      </c>
      <c r="O234" s="18" t="s">
        <v>280</v>
      </c>
      <c r="P234" s="18" t="s">
        <v>490</v>
      </c>
      <c r="Q234" s="21" t="s">
        <v>960</v>
      </c>
      <c r="R234" s="18" t="s">
        <v>1272</v>
      </c>
      <c r="S234" s="21" t="s">
        <v>1273</v>
      </c>
      <c r="T234" s="18" t="s">
        <v>958</v>
      </c>
      <c r="U234" s="18" t="s">
        <v>464</v>
      </c>
    </row>
    <row r="235" spans="1:21" ht="14.5" x14ac:dyDescent="0.35">
      <c r="A235" s="19" t="str">
        <f t="shared" si="6"/>
        <v>Network/networkWatchers(nw-)</v>
      </c>
      <c r="B235" s="19" t="s">
        <v>961</v>
      </c>
      <c r="C235" s="19" t="s">
        <v>278</v>
      </c>
      <c r="D235" s="19" t="s">
        <v>279</v>
      </c>
      <c r="E235" s="19" t="s">
        <v>280</v>
      </c>
      <c r="F235" s="19" t="str">
        <f t="shared" si="7"/>
        <v>nw-</v>
      </c>
      <c r="G235" s="19" t="s">
        <v>78</v>
      </c>
      <c r="H235" s="19" t="s">
        <v>285</v>
      </c>
      <c r="I235" s="19" t="s">
        <v>306</v>
      </c>
      <c r="J235" s="19" t="s">
        <v>934</v>
      </c>
      <c r="K235" s="19" t="s">
        <v>280</v>
      </c>
      <c r="L235" s="19" t="s">
        <v>280</v>
      </c>
      <c r="M235" s="19" t="s">
        <v>280</v>
      </c>
      <c r="N235" s="19" t="s">
        <v>280</v>
      </c>
      <c r="O235" s="19" t="s">
        <v>280</v>
      </c>
      <c r="P235" s="19" t="s">
        <v>490</v>
      </c>
      <c r="Q235" s="20" t="s">
        <v>280</v>
      </c>
      <c r="R235" s="19" t="s">
        <v>1272</v>
      </c>
      <c r="S235" s="20" t="s">
        <v>1273</v>
      </c>
      <c r="T235" s="19" t="s">
        <v>962</v>
      </c>
      <c r="U235" s="19" t="s">
        <v>464</v>
      </c>
    </row>
    <row r="236" spans="1:21" ht="14.5" x14ac:dyDescent="0.35">
      <c r="A236" s="18" t="str">
        <f t="shared" si="6"/>
        <v>Network/privateDnsZones(pdnsz-)</v>
      </c>
      <c r="B236" s="18" t="s">
        <v>963</v>
      </c>
      <c r="C236" s="18" t="s">
        <v>278</v>
      </c>
      <c r="D236" s="18" t="s">
        <v>279</v>
      </c>
      <c r="E236" s="18" t="s">
        <v>280</v>
      </c>
      <c r="F236" s="18" t="str">
        <f t="shared" si="7"/>
        <v>pdnsz-</v>
      </c>
      <c r="G236" s="18" t="s">
        <v>78</v>
      </c>
      <c r="H236" s="18" t="s">
        <v>285</v>
      </c>
      <c r="I236" s="18" t="s">
        <v>282</v>
      </c>
      <c r="J236" s="18" t="s">
        <v>965</v>
      </c>
      <c r="K236" s="18" t="s">
        <v>280</v>
      </c>
      <c r="L236" s="18" t="s">
        <v>280</v>
      </c>
      <c r="M236" s="18" t="s">
        <v>280</v>
      </c>
      <c r="N236" s="18" t="s">
        <v>280</v>
      </c>
      <c r="O236" s="18" t="s">
        <v>280</v>
      </c>
      <c r="P236" s="18" t="s">
        <v>966</v>
      </c>
      <c r="Q236" s="21" t="s">
        <v>967</v>
      </c>
      <c r="R236" s="18" t="s">
        <v>1264</v>
      </c>
      <c r="S236" s="21" t="s">
        <v>1264</v>
      </c>
      <c r="T236" s="18" t="s">
        <v>964</v>
      </c>
      <c r="U236" s="18" t="s">
        <v>464</v>
      </c>
    </row>
    <row r="237" spans="1:21" ht="14.5" x14ac:dyDescent="0.35">
      <c r="A237" s="19" t="str">
        <f t="shared" si="6"/>
        <v>Network/privateDnsZones/virtualNetworkLinks(pdnsv-)</v>
      </c>
      <c r="B237" s="19" t="s">
        <v>968</v>
      </c>
      <c r="C237" s="19" t="s">
        <v>278</v>
      </c>
      <c r="D237" s="19" t="s">
        <v>279</v>
      </c>
      <c r="E237" s="19" t="s">
        <v>280</v>
      </c>
      <c r="F237" s="19" t="str">
        <f t="shared" si="7"/>
        <v>pdnsv-</v>
      </c>
      <c r="G237" s="19" t="s">
        <v>970</v>
      </c>
      <c r="H237" s="19" t="s">
        <v>285</v>
      </c>
      <c r="I237" s="19" t="s">
        <v>306</v>
      </c>
      <c r="J237" s="19" t="s">
        <v>971</v>
      </c>
      <c r="K237" s="19" t="s">
        <v>280</v>
      </c>
      <c r="L237" s="19" t="s">
        <v>280</v>
      </c>
      <c r="M237" s="19" t="s">
        <v>280</v>
      </c>
      <c r="N237" s="19" t="s">
        <v>280</v>
      </c>
      <c r="O237" s="19" t="s">
        <v>280</v>
      </c>
      <c r="P237" s="19" t="s">
        <v>864</v>
      </c>
      <c r="Q237" s="20" t="s">
        <v>280</v>
      </c>
      <c r="R237" s="19" t="s">
        <v>1272</v>
      </c>
      <c r="S237" s="20" t="s">
        <v>1273</v>
      </c>
      <c r="T237" s="19" t="s">
        <v>969</v>
      </c>
      <c r="U237" s="19" t="s">
        <v>464</v>
      </c>
    </row>
    <row r="238" spans="1:21" ht="14.5" x14ac:dyDescent="0.35">
      <c r="A238" s="18" t="str">
        <f t="shared" si="6"/>
        <v>Network/privateLinkServices(pl-)</v>
      </c>
      <c r="B238" s="18" t="s">
        <v>972</v>
      </c>
      <c r="C238" s="18" t="s">
        <v>280</v>
      </c>
      <c r="D238" s="18" t="s">
        <v>280</v>
      </c>
      <c r="E238" s="18" t="s">
        <v>280</v>
      </c>
      <c r="F238" s="18" t="str">
        <f t="shared" si="7"/>
        <v>pl-</v>
      </c>
      <c r="G238" s="18" t="s">
        <v>280</v>
      </c>
      <c r="H238" s="18" t="s">
        <v>280</v>
      </c>
      <c r="I238" s="18" t="s">
        <v>280</v>
      </c>
      <c r="J238" s="18" t="s">
        <v>280</v>
      </c>
      <c r="K238" s="18" t="s">
        <v>280</v>
      </c>
      <c r="L238" s="18" t="s">
        <v>280</v>
      </c>
      <c r="M238" s="18" t="s">
        <v>280</v>
      </c>
      <c r="N238" s="18" t="s">
        <v>280</v>
      </c>
      <c r="O238" s="18" t="s">
        <v>280</v>
      </c>
      <c r="P238" s="18" t="s">
        <v>280</v>
      </c>
      <c r="Q238" s="21" t="s">
        <v>280</v>
      </c>
      <c r="R238" s="18" t="s">
        <v>1268</v>
      </c>
      <c r="S238" s="21"/>
      <c r="T238" s="18" t="s">
        <v>973</v>
      </c>
      <c r="U238" s="18" t="s">
        <v>464</v>
      </c>
    </row>
    <row r="239" spans="1:21" ht="14.5" x14ac:dyDescent="0.35">
      <c r="A239" s="19" t="str">
        <f t="shared" si="6"/>
        <v>Network/publicIPAddresses(pip-)</v>
      </c>
      <c r="B239" s="19" t="s">
        <v>974</v>
      </c>
      <c r="C239" s="19" t="s">
        <v>487</v>
      </c>
      <c r="D239" s="19" t="s">
        <v>221</v>
      </c>
      <c r="E239" s="19" t="s">
        <v>280</v>
      </c>
      <c r="F239" s="19" t="str">
        <f t="shared" si="7"/>
        <v>pip-</v>
      </c>
      <c r="G239" s="19" t="s">
        <v>78</v>
      </c>
      <c r="H239" s="19" t="s">
        <v>285</v>
      </c>
      <c r="I239" s="19" t="s">
        <v>306</v>
      </c>
      <c r="J239" s="19" t="s">
        <v>934</v>
      </c>
      <c r="K239" s="19" t="s">
        <v>280</v>
      </c>
      <c r="L239" s="19" t="s">
        <v>280</v>
      </c>
      <c r="M239" s="19" t="s">
        <v>280</v>
      </c>
      <c r="N239" s="19" t="s">
        <v>280</v>
      </c>
      <c r="O239" s="19" t="s">
        <v>280</v>
      </c>
      <c r="P239" s="19" t="s">
        <v>490</v>
      </c>
      <c r="Q239" s="20" t="s">
        <v>280</v>
      </c>
      <c r="R239" s="19" t="s">
        <v>1267</v>
      </c>
      <c r="S239" s="20"/>
      <c r="T239" s="19" t="s">
        <v>975</v>
      </c>
      <c r="U239" s="19" t="s">
        <v>464</v>
      </c>
    </row>
    <row r="240" spans="1:21" ht="14.5" x14ac:dyDescent="0.35">
      <c r="A240" s="18" t="str">
        <f t="shared" si="6"/>
        <v>Network/publicIPPrefixes(ippre-)</v>
      </c>
      <c r="B240" s="18" t="s">
        <v>976</v>
      </c>
      <c r="C240" s="18" t="s">
        <v>280</v>
      </c>
      <c r="D240" s="18" t="s">
        <v>280</v>
      </c>
      <c r="E240" s="18" t="s">
        <v>280</v>
      </c>
      <c r="F240" s="18" t="str">
        <f t="shared" si="7"/>
        <v>ippre-</v>
      </c>
      <c r="G240" s="18" t="s">
        <v>280</v>
      </c>
      <c r="H240" s="18" t="s">
        <v>280</v>
      </c>
      <c r="I240" s="18" t="s">
        <v>280</v>
      </c>
      <c r="J240" s="18" t="s">
        <v>280</v>
      </c>
      <c r="K240" s="18" t="s">
        <v>280</v>
      </c>
      <c r="L240" s="18" t="s">
        <v>280</v>
      </c>
      <c r="M240" s="18" t="s">
        <v>280</v>
      </c>
      <c r="N240" s="18" t="s">
        <v>280</v>
      </c>
      <c r="O240" s="18" t="s">
        <v>280</v>
      </c>
      <c r="P240" s="18" t="s">
        <v>280</v>
      </c>
      <c r="Q240" s="21" t="s">
        <v>280</v>
      </c>
      <c r="R240" s="18" t="s">
        <v>1268</v>
      </c>
      <c r="S240" s="21"/>
      <c r="T240" s="18" t="s">
        <v>977</v>
      </c>
      <c r="U240" s="18" t="s">
        <v>464</v>
      </c>
    </row>
    <row r="241" spans="1:21" ht="14.5" x14ac:dyDescent="0.35">
      <c r="A241" s="19" t="str">
        <f t="shared" si="6"/>
        <v>Network/routeFilters(rf-)</v>
      </c>
      <c r="B241" s="19" t="s">
        <v>978</v>
      </c>
      <c r="C241" s="19" t="s">
        <v>278</v>
      </c>
      <c r="D241" s="19" t="s">
        <v>279</v>
      </c>
      <c r="E241" s="19" t="s">
        <v>280</v>
      </c>
      <c r="F241" s="19" t="str">
        <f t="shared" si="7"/>
        <v>rf-</v>
      </c>
      <c r="G241" s="19" t="s">
        <v>78</v>
      </c>
      <c r="H241" s="19" t="s">
        <v>285</v>
      </c>
      <c r="I241" s="19" t="s">
        <v>306</v>
      </c>
      <c r="J241" s="19" t="s">
        <v>971</v>
      </c>
      <c r="K241" s="19" t="s">
        <v>280</v>
      </c>
      <c r="L241" s="19" t="s">
        <v>280</v>
      </c>
      <c r="M241" s="19" t="s">
        <v>280</v>
      </c>
      <c r="N241" s="19" t="s">
        <v>280</v>
      </c>
      <c r="O241" s="19" t="s">
        <v>280</v>
      </c>
      <c r="P241" s="19" t="s">
        <v>864</v>
      </c>
      <c r="Q241" s="20" t="s">
        <v>280</v>
      </c>
      <c r="R241" s="19" t="s">
        <v>1272</v>
      </c>
      <c r="S241" s="20" t="s">
        <v>1273</v>
      </c>
      <c r="T241" s="19" t="s">
        <v>979</v>
      </c>
      <c r="U241" s="19" t="s">
        <v>464</v>
      </c>
    </row>
    <row r="242" spans="1:21" ht="14.5" x14ac:dyDescent="0.35">
      <c r="A242" s="18" t="str">
        <f t="shared" si="6"/>
        <v>Network/routeFilters/routeFilterRules(nrfrr-)</v>
      </c>
      <c r="B242" s="18" t="s">
        <v>980</v>
      </c>
      <c r="C242" s="18" t="s">
        <v>278</v>
      </c>
      <c r="D242" s="18" t="s">
        <v>279</v>
      </c>
      <c r="E242" s="18" t="s">
        <v>280</v>
      </c>
      <c r="F242" s="18" t="str">
        <f t="shared" si="7"/>
        <v>nrfrr-</v>
      </c>
      <c r="G242" s="18" t="s">
        <v>982</v>
      </c>
      <c r="H242" s="18" t="s">
        <v>285</v>
      </c>
      <c r="I242" s="18" t="s">
        <v>306</v>
      </c>
      <c r="J242" s="18" t="s">
        <v>934</v>
      </c>
      <c r="K242" s="18" t="s">
        <v>280</v>
      </c>
      <c r="L242" s="18" t="s">
        <v>280</v>
      </c>
      <c r="M242" s="18" t="s">
        <v>280</v>
      </c>
      <c r="N242" s="18" t="s">
        <v>280</v>
      </c>
      <c r="O242" s="18" t="s">
        <v>280</v>
      </c>
      <c r="P242" s="18" t="s">
        <v>490</v>
      </c>
      <c r="Q242" s="21" t="s">
        <v>280</v>
      </c>
      <c r="R242" s="18" t="s">
        <v>1272</v>
      </c>
      <c r="S242" s="21" t="s">
        <v>1273</v>
      </c>
      <c r="T242" s="18" t="s">
        <v>981</v>
      </c>
      <c r="U242" s="18" t="s">
        <v>464</v>
      </c>
    </row>
    <row r="243" spans="1:21" ht="14.5" x14ac:dyDescent="0.35">
      <c r="A243" s="19" t="str">
        <f t="shared" si="6"/>
        <v>Network/routeTables(rt-)</v>
      </c>
      <c r="B243" s="19" t="s">
        <v>983</v>
      </c>
      <c r="C243" s="19" t="s">
        <v>280</v>
      </c>
      <c r="D243" s="19" t="s">
        <v>280</v>
      </c>
      <c r="E243" s="19" t="s">
        <v>280</v>
      </c>
      <c r="F243" s="19" t="str">
        <f t="shared" si="7"/>
        <v>rt-</v>
      </c>
      <c r="G243" s="19" t="s">
        <v>280</v>
      </c>
      <c r="H243" s="19" t="s">
        <v>280</v>
      </c>
      <c r="I243" s="19" t="s">
        <v>280</v>
      </c>
      <c r="J243" s="19" t="s">
        <v>280</v>
      </c>
      <c r="K243" s="19" t="s">
        <v>280</v>
      </c>
      <c r="L243" s="19" t="s">
        <v>280</v>
      </c>
      <c r="M243" s="19" t="s">
        <v>280</v>
      </c>
      <c r="N243" s="19" t="s">
        <v>280</v>
      </c>
      <c r="O243" s="19" t="s">
        <v>280</v>
      </c>
      <c r="P243" s="19" t="s">
        <v>280</v>
      </c>
      <c r="Q243" s="20" t="s">
        <v>280</v>
      </c>
      <c r="R243" s="19" t="s">
        <v>1268</v>
      </c>
      <c r="S243" s="20"/>
      <c r="T243" s="19" t="s">
        <v>984</v>
      </c>
      <c r="U243" s="19" t="s">
        <v>464</v>
      </c>
    </row>
    <row r="244" spans="1:21" ht="14.5" x14ac:dyDescent="0.35">
      <c r="A244" s="18" t="str">
        <f t="shared" si="6"/>
        <v>Network/routeTables/routes(udr-)</v>
      </c>
      <c r="B244" s="18" t="s">
        <v>985</v>
      </c>
      <c r="C244" s="18" t="s">
        <v>278</v>
      </c>
      <c r="D244" s="18" t="s">
        <v>279</v>
      </c>
      <c r="E244" s="18" t="s">
        <v>280</v>
      </c>
      <c r="F244" s="18" t="str">
        <f t="shared" si="7"/>
        <v>udr-</v>
      </c>
      <c r="G244" s="18" t="s">
        <v>84</v>
      </c>
      <c r="H244" s="18" t="s">
        <v>285</v>
      </c>
      <c r="I244" s="18" t="s">
        <v>306</v>
      </c>
      <c r="J244" s="18" t="s">
        <v>971</v>
      </c>
      <c r="K244" s="18" t="s">
        <v>280</v>
      </c>
      <c r="L244" s="18" t="s">
        <v>280</v>
      </c>
      <c r="M244" s="18" t="s">
        <v>280</v>
      </c>
      <c r="N244" s="18" t="s">
        <v>280</v>
      </c>
      <c r="O244" s="18" t="s">
        <v>280</v>
      </c>
      <c r="P244" s="18" t="s">
        <v>864</v>
      </c>
      <c r="Q244" s="21" t="s">
        <v>280</v>
      </c>
      <c r="R244" s="18" t="s">
        <v>1272</v>
      </c>
      <c r="S244" s="21" t="s">
        <v>1273</v>
      </c>
      <c r="T244" s="18" t="s">
        <v>986</v>
      </c>
      <c r="U244" s="18" t="s">
        <v>464</v>
      </c>
    </row>
    <row r="245" spans="1:21" ht="14.5" x14ac:dyDescent="0.35">
      <c r="A245" s="19" t="str">
        <f t="shared" si="6"/>
        <v>Network/serviceEndpointPolicies(se-)</v>
      </c>
      <c r="B245" s="19" t="s">
        <v>987</v>
      </c>
      <c r="C245" s="19" t="s">
        <v>278</v>
      </c>
      <c r="D245" s="19" t="s">
        <v>279</v>
      </c>
      <c r="E245" s="19" t="s">
        <v>280</v>
      </c>
      <c r="F245" s="19" t="str">
        <f t="shared" si="7"/>
        <v>se-</v>
      </c>
      <c r="G245" s="19" t="s">
        <v>78</v>
      </c>
      <c r="H245" s="19" t="s">
        <v>285</v>
      </c>
      <c r="I245" s="19" t="s">
        <v>306</v>
      </c>
      <c r="J245" s="19" t="s">
        <v>934</v>
      </c>
      <c r="K245" s="19" t="s">
        <v>280</v>
      </c>
      <c r="L245" s="19" t="s">
        <v>280</v>
      </c>
      <c r="M245" s="19" t="s">
        <v>280</v>
      </c>
      <c r="N245" s="19" t="s">
        <v>280</v>
      </c>
      <c r="O245" s="19" t="s">
        <v>280</v>
      </c>
      <c r="P245" s="19" t="s">
        <v>490</v>
      </c>
      <c r="Q245" s="20" t="s">
        <v>280</v>
      </c>
      <c r="R245" s="19" t="s">
        <v>1272</v>
      </c>
      <c r="S245" s="20" t="s">
        <v>1273</v>
      </c>
      <c r="T245" s="19" t="s">
        <v>988</v>
      </c>
      <c r="U245" s="19" t="s">
        <v>464</v>
      </c>
    </row>
    <row r="246" spans="1:21" ht="14.5" x14ac:dyDescent="0.35">
      <c r="A246" s="18" t="str">
        <f t="shared" si="6"/>
        <v>Network/trafficManagerProfiles(traf-)</v>
      </c>
      <c r="B246" s="18" t="s">
        <v>989</v>
      </c>
      <c r="C246" s="18" t="s">
        <v>280</v>
      </c>
      <c r="D246" s="18" t="s">
        <v>280</v>
      </c>
      <c r="E246" s="18" t="s">
        <v>280</v>
      </c>
      <c r="F246" s="18" t="str">
        <f t="shared" si="7"/>
        <v>traf-</v>
      </c>
      <c r="G246" s="18" t="s">
        <v>280</v>
      </c>
      <c r="H246" s="18" t="s">
        <v>280</v>
      </c>
      <c r="I246" s="18" t="s">
        <v>280</v>
      </c>
      <c r="J246" s="18" t="s">
        <v>280</v>
      </c>
      <c r="K246" s="18" t="s">
        <v>280</v>
      </c>
      <c r="L246" s="18" t="s">
        <v>280</v>
      </c>
      <c r="M246" s="18" t="s">
        <v>280</v>
      </c>
      <c r="N246" s="18" t="s">
        <v>280</v>
      </c>
      <c r="O246" s="18" t="s">
        <v>280</v>
      </c>
      <c r="P246" s="18" t="s">
        <v>280</v>
      </c>
      <c r="Q246" s="21" t="s">
        <v>280</v>
      </c>
      <c r="R246" s="18" t="s">
        <v>1268</v>
      </c>
      <c r="S246" s="21"/>
      <c r="T246" s="18" t="s">
        <v>990</v>
      </c>
      <c r="U246" s="18" t="s">
        <v>464</v>
      </c>
    </row>
    <row r="247" spans="1:21" ht="14.5" x14ac:dyDescent="0.35">
      <c r="A247" s="19" t="str">
        <f t="shared" si="6"/>
        <v>Network/virtualNetworkGateways(vgw-)</v>
      </c>
      <c r="B247" s="19" t="s">
        <v>991</v>
      </c>
      <c r="C247" s="19" t="s">
        <v>278</v>
      </c>
      <c r="D247" s="19" t="s">
        <v>279</v>
      </c>
      <c r="E247" s="19" t="s">
        <v>280</v>
      </c>
      <c r="F247" s="19" t="str">
        <f t="shared" si="7"/>
        <v>vgw-</v>
      </c>
      <c r="G247" s="19" t="s">
        <v>78</v>
      </c>
      <c r="H247" s="19" t="s">
        <v>285</v>
      </c>
      <c r="I247" s="19" t="s">
        <v>306</v>
      </c>
      <c r="J247" s="19" t="s">
        <v>971</v>
      </c>
      <c r="K247" s="19" t="s">
        <v>280</v>
      </c>
      <c r="L247" s="19" t="s">
        <v>280</v>
      </c>
      <c r="M247" s="19" t="s">
        <v>280</v>
      </c>
      <c r="N247" s="19" t="s">
        <v>280</v>
      </c>
      <c r="O247" s="19" t="s">
        <v>280</v>
      </c>
      <c r="P247" s="19" t="s">
        <v>864</v>
      </c>
      <c r="Q247" s="20" t="s">
        <v>280</v>
      </c>
      <c r="R247" s="19" t="s">
        <v>1272</v>
      </c>
      <c r="S247" s="20" t="s">
        <v>1273</v>
      </c>
      <c r="T247" s="19" t="s">
        <v>992</v>
      </c>
      <c r="U247" s="19" t="s">
        <v>464</v>
      </c>
    </row>
    <row r="248" spans="1:21" ht="14.5" x14ac:dyDescent="0.35">
      <c r="A248" s="18" t="str">
        <f t="shared" si="6"/>
        <v>Network/virtualNetworks(vnet-)</v>
      </c>
      <c r="B248" s="18" t="s">
        <v>993</v>
      </c>
      <c r="C248" s="18" t="s">
        <v>278</v>
      </c>
      <c r="D248" s="18" t="s">
        <v>279</v>
      </c>
      <c r="E248" s="18" t="s">
        <v>280</v>
      </c>
      <c r="F248" s="18" t="str">
        <f t="shared" si="7"/>
        <v>vnet-</v>
      </c>
      <c r="G248" s="18" t="s">
        <v>78</v>
      </c>
      <c r="H248" s="18" t="s">
        <v>432</v>
      </c>
      <c r="I248" s="18" t="s">
        <v>379</v>
      </c>
      <c r="J248" s="18" t="s">
        <v>995</v>
      </c>
      <c r="K248" s="18" t="s">
        <v>280</v>
      </c>
      <c r="L248" s="18" t="s">
        <v>280</v>
      </c>
      <c r="M248" s="18" t="s">
        <v>280</v>
      </c>
      <c r="N248" s="18" t="s">
        <v>280</v>
      </c>
      <c r="O248" s="18" t="s">
        <v>280</v>
      </c>
      <c r="P248" s="18" t="s">
        <v>490</v>
      </c>
      <c r="Q248" s="21" t="s">
        <v>280</v>
      </c>
      <c r="R248" s="18" t="s">
        <v>1272</v>
      </c>
      <c r="S248" s="21" t="s">
        <v>1273</v>
      </c>
      <c r="T248" s="18" t="s">
        <v>994</v>
      </c>
      <c r="U248" s="18" t="s">
        <v>464</v>
      </c>
    </row>
    <row r="249" spans="1:21" ht="14.5" x14ac:dyDescent="0.35">
      <c r="A249" s="19" t="str">
        <f t="shared" si="6"/>
        <v>Network/virtualnetworks/subnets(snet-)</v>
      </c>
      <c r="B249" s="19" t="s">
        <v>996</v>
      </c>
      <c r="C249" s="19" t="s">
        <v>278</v>
      </c>
      <c r="D249" s="19" t="s">
        <v>279</v>
      </c>
      <c r="E249" s="19" t="s">
        <v>280</v>
      </c>
      <c r="F249" s="19" t="str">
        <f t="shared" si="7"/>
        <v>snet-</v>
      </c>
      <c r="G249" s="19" t="s">
        <v>82</v>
      </c>
      <c r="H249" s="19" t="s">
        <v>285</v>
      </c>
      <c r="I249" s="19" t="s">
        <v>306</v>
      </c>
      <c r="J249" s="19" t="s">
        <v>995</v>
      </c>
      <c r="K249" s="19" t="s">
        <v>280</v>
      </c>
      <c r="L249" s="19" t="s">
        <v>280</v>
      </c>
      <c r="M249" s="19" t="s">
        <v>280</v>
      </c>
      <c r="N249" s="19" t="s">
        <v>280</v>
      </c>
      <c r="O249" s="19" t="s">
        <v>280</v>
      </c>
      <c r="P249" s="19" t="s">
        <v>490</v>
      </c>
      <c r="Q249" s="20" t="s">
        <v>280</v>
      </c>
      <c r="R249" s="19" t="s">
        <v>1272</v>
      </c>
      <c r="S249" s="20" t="s">
        <v>1273</v>
      </c>
      <c r="T249" s="19" t="s">
        <v>997</v>
      </c>
      <c r="U249" s="19" t="s">
        <v>464</v>
      </c>
    </row>
    <row r="250" spans="1:21" ht="14.5" x14ac:dyDescent="0.35">
      <c r="A250" s="18" t="str">
        <f t="shared" si="6"/>
        <v>Network/virtualNetworks/virtualNetworkPeerings(peer-)</v>
      </c>
      <c r="B250" s="18" t="s">
        <v>998</v>
      </c>
      <c r="C250" s="18" t="s">
        <v>278</v>
      </c>
      <c r="D250" s="18" t="s">
        <v>279</v>
      </c>
      <c r="E250" s="18" t="s">
        <v>280</v>
      </c>
      <c r="F250" s="18" t="str">
        <f t="shared" si="7"/>
        <v>peer-</v>
      </c>
      <c r="G250" s="18" t="s">
        <v>82</v>
      </c>
      <c r="H250" s="18" t="s">
        <v>285</v>
      </c>
      <c r="I250" s="18" t="s">
        <v>306</v>
      </c>
      <c r="J250" s="18" t="s">
        <v>995</v>
      </c>
      <c r="K250" s="18" t="s">
        <v>280</v>
      </c>
      <c r="L250" s="18" t="s">
        <v>280</v>
      </c>
      <c r="M250" s="18" t="s">
        <v>280</v>
      </c>
      <c r="N250" s="18" t="s">
        <v>280</v>
      </c>
      <c r="O250" s="18" t="s">
        <v>280</v>
      </c>
      <c r="P250" s="18" t="s">
        <v>490</v>
      </c>
      <c r="Q250" s="21" t="s">
        <v>280</v>
      </c>
      <c r="R250" s="18" t="s">
        <v>1272</v>
      </c>
      <c r="S250" s="21" t="s">
        <v>1273</v>
      </c>
      <c r="T250" s="18" t="s">
        <v>999</v>
      </c>
      <c r="U250" s="18" t="s">
        <v>464</v>
      </c>
    </row>
    <row r="251" spans="1:21" ht="14.5" x14ac:dyDescent="0.35">
      <c r="A251" s="19" t="str">
        <f t="shared" si="6"/>
        <v>Network/virtualWans(vwan-)</v>
      </c>
      <c r="B251" s="19" t="s">
        <v>1000</v>
      </c>
      <c r="C251" s="19" t="s">
        <v>278</v>
      </c>
      <c r="D251" s="19" t="s">
        <v>279</v>
      </c>
      <c r="E251" s="19" t="s">
        <v>280</v>
      </c>
      <c r="F251" s="19" t="str">
        <f t="shared" si="7"/>
        <v>vwan-</v>
      </c>
      <c r="G251" s="19" t="s">
        <v>78</v>
      </c>
      <c r="H251" s="19" t="s">
        <v>285</v>
      </c>
      <c r="I251" s="19" t="s">
        <v>306</v>
      </c>
      <c r="J251" s="19" t="s">
        <v>995</v>
      </c>
      <c r="K251" s="19" t="s">
        <v>280</v>
      </c>
      <c r="L251" s="19" t="s">
        <v>280</v>
      </c>
      <c r="M251" s="19" t="s">
        <v>280</v>
      </c>
      <c r="N251" s="19" t="s">
        <v>280</v>
      </c>
      <c r="O251" s="19" t="s">
        <v>280</v>
      </c>
      <c r="P251" s="19" t="s">
        <v>490</v>
      </c>
      <c r="Q251" s="20" t="s">
        <v>280</v>
      </c>
      <c r="R251" s="19" t="s">
        <v>1272</v>
      </c>
      <c r="S251" s="20" t="s">
        <v>1273</v>
      </c>
      <c r="T251" s="19" t="s">
        <v>1001</v>
      </c>
      <c r="U251" s="19" t="s">
        <v>464</v>
      </c>
    </row>
    <row r="252" spans="1:21" ht="14.5" x14ac:dyDescent="0.35">
      <c r="A252" s="18" t="str">
        <f t="shared" si="6"/>
        <v>Network/vpnGateways(vpng-)</v>
      </c>
      <c r="B252" s="18" t="s">
        <v>1002</v>
      </c>
      <c r="C252" s="18" t="s">
        <v>278</v>
      </c>
      <c r="D252" s="18" t="s">
        <v>279</v>
      </c>
      <c r="E252" s="18" t="s">
        <v>280</v>
      </c>
      <c r="F252" s="18" t="str">
        <f t="shared" si="7"/>
        <v>vpng-</v>
      </c>
      <c r="G252" s="18" t="s">
        <v>78</v>
      </c>
      <c r="H252" s="18" t="s">
        <v>285</v>
      </c>
      <c r="I252" s="18" t="s">
        <v>306</v>
      </c>
      <c r="J252" s="18" t="s">
        <v>995</v>
      </c>
      <c r="K252" s="18" t="s">
        <v>280</v>
      </c>
      <c r="L252" s="18" t="s">
        <v>280</v>
      </c>
      <c r="M252" s="18" t="s">
        <v>280</v>
      </c>
      <c r="N252" s="18" t="s">
        <v>280</v>
      </c>
      <c r="O252" s="18" t="s">
        <v>280</v>
      </c>
      <c r="P252" s="18" t="s">
        <v>490</v>
      </c>
      <c r="Q252" s="21" t="s">
        <v>280</v>
      </c>
      <c r="R252" s="18" t="s">
        <v>1272</v>
      </c>
      <c r="S252" s="21" t="s">
        <v>1273</v>
      </c>
      <c r="T252" s="18" t="s">
        <v>1003</v>
      </c>
      <c r="U252" s="18" t="s">
        <v>464</v>
      </c>
    </row>
    <row r="253" spans="1:21" ht="14.5" x14ac:dyDescent="0.35">
      <c r="A253" s="19" t="str">
        <f t="shared" si="6"/>
        <v>Network/vpnGateways/vpnConnections(vcn-)</v>
      </c>
      <c r="B253" s="19" t="s">
        <v>1004</v>
      </c>
      <c r="C253" s="19" t="s">
        <v>278</v>
      </c>
      <c r="D253" s="19" t="s">
        <v>279</v>
      </c>
      <c r="E253" s="19" t="s">
        <v>280</v>
      </c>
      <c r="F253" s="19" t="str">
        <f t="shared" si="7"/>
        <v>vcn-</v>
      </c>
      <c r="G253" s="19" t="s">
        <v>1006</v>
      </c>
      <c r="H253" s="19" t="s">
        <v>285</v>
      </c>
      <c r="I253" s="19" t="s">
        <v>306</v>
      </c>
      <c r="J253" s="19" t="s">
        <v>995</v>
      </c>
      <c r="K253" s="19" t="s">
        <v>280</v>
      </c>
      <c r="L253" s="19" t="s">
        <v>280</v>
      </c>
      <c r="M253" s="19" t="s">
        <v>280</v>
      </c>
      <c r="N253" s="19" t="s">
        <v>280</v>
      </c>
      <c r="O253" s="19" t="s">
        <v>280</v>
      </c>
      <c r="P253" s="19" t="s">
        <v>490</v>
      </c>
      <c r="Q253" s="20" t="s">
        <v>280</v>
      </c>
      <c r="R253" s="19" t="s">
        <v>1272</v>
      </c>
      <c r="S253" s="20" t="s">
        <v>1273</v>
      </c>
      <c r="T253" s="19" t="s">
        <v>1005</v>
      </c>
      <c r="U253" s="19" t="s">
        <v>464</v>
      </c>
    </row>
    <row r="254" spans="1:21" ht="14.5" x14ac:dyDescent="0.35">
      <c r="A254" s="18" t="str">
        <f t="shared" si="6"/>
        <v>Network/vpnSites(vpn-)</v>
      </c>
      <c r="B254" s="18" t="s">
        <v>1007</v>
      </c>
      <c r="C254" s="18" t="s">
        <v>278</v>
      </c>
      <c r="D254" s="18" t="s">
        <v>279</v>
      </c>
      <c r="E254" s="18" t="s">
        <v>280</v>
      </c>
      <c r="F254" s="18" t="str">
        <f t="shared" si="7"/>
        <v>vpn-</v>
      </c>
      <c r="G254" s="18" t="s">
        <v>78</v>
      </c>
      <c r="H254" s="18" t="s">
        <v>285</v>
      </c>
      <c r="I254" s="18" t="s">
        <v>306</v>
      </c>
      <c r="J254" s="18" t="s">
        <v>934</v>
      </c>
      <c r="K254" s="18" t="s">
        <v>280</v>
      </c>
      <c r="L254" s="18" t="s">
        <v>280</v>
      </c>
      <c r="M254" s="18" t="s">
        <v>280</v>
      </c>
      <c r="N254" s="18" t="s">
        <v>280</v>
      </c>
      <c r="O254" s="18" t="s">
        <v>280</v>
      </c>
      <c r="P254" s="18" t="s">
        <v>864</v>
      </c>
      <c r="Q254" s="21" t="s">
        <v>280</v>
      </c>
      <c r="R254" s="18" t="s">
        <v>1272</v>
      </c>
      <c r="S254" s="21" t="s">
        <v>1273</v>
      </c>
      <c r="T254" s="18" t="s">
        <v>1008</v>
      </c>
      <c r="U254" s="18" t="s">
        <v>464</v>
      </c>
    </row>
    <row r="255" spans="1:21" ht="14.5" x14ac:dyDescent="0.35">
      <c r="A255" s="19" t="str">
        <f t="shared" si="6"/>
        <v>NotificationHubs/namespaces(ntfns-)</v>
      </c>
      <c r="B255" s="19" t="s">
        <v>1009</v>
      </c>
      <c r="C255" s="19" t="s">
        <v>278</v>
      </c>
      <c r="D255" s="19" t="s">
        <v>279</v>
      </c>
      <c r="E255" s="19" t="s">
        <v>280</v>
      </c>
      <c r="F255" s="19" t="str">
        <f t="shared" si="7"/>
        <v>ntfns-</v>
      </c>
      <c r="G255" s="19" t="s">
        <v>80</v>
      </c>
      <c r="H255" s="19" t="s">
        <v>392</v>
      </c>
      <c r="I255" s="19" t="s">
        <v>286</v>
      </c>
      <c r="J255" s="19" t="s">
        <v>393</v>
      </c>
      <c r="K255" s="19" t="s">
        <v>280</v>
      </c>
      <c r="L255" s="19" t="s">
        <v>280</v>
      </c>
      <c r="M255" s="19" t="s">
        <v>280</v>
      </c>
      <c r="N255" s="19" t="s">
        <v>280</v>
      </c>
      <c r="O255" s="19" t="s">
        <v>280</v>
      </c>
      <c r="P255" s="19" t="s">
        <v>1011</v>
      </c>
      <c r="Q255" s="20" t="s">
        <v>280</v>
      </c>
      <c r="R255" s="19" t="s">
        <v>1272</v>
      </c>
      <c r="S255" s="20" t="s">
        <v>1273</v>
      </c>
      <c r="T255" s="19" t="s">
        <v>1010</v>
      </c>
      <c r="U255" s="19" t="s">
        <v>464</v>
      </c>
    </row>
    <row r="256" spans="1:21" ht="14.5" x14ac:dyDescent="0.35">
      <c r="A256" s="18" t="str">
        <f t="shared" si="6"/>
        <v>NotificationHubs/namespaces/AuthorizationRules(rule-)</v>
      </c>
      <c r="B256" s="18" t="s">
        <v>1012</v>
      </c>
      <c r="C256" s="18" t="s">
        <v>278</v>
      </c>
      <c r="D256" s="18" t="s">
        <v>279</v>
      </c>
      <c r="E256" s="18" t="s">
        <v>280</v>
      </c>
      <c r="F256" s="18" t="str">
        <f t="shared" si="7"/>
        <v>rule-</v>
      </c>
      <c r="G256" s="18" t="s">
        <v>753</v>
      </c>
      <c r="H256" s="18" t="s">
        <v>285</v>
      </c>
      <c r="I256" s="18" t="s">
        <v>289</v>
      </c>
      <c r="J256" s="18" t="s">
        <v>1013</v>
      </c>
      <c r="K256" s="18" t="s">
        <v>280</v>
      </c>
      <c r="L256" s="18" t="s">
        <v>280</v>
      </c>
      <c r="M256" s="18" t="s">
        <v>280</v>
      </c>
      <c r="N256" s="18" t="s">
        <v>280</v>
      </c>
      <c r="O256" s="18" t="s">
        <v>280</v>
      </c>
      <c r="P256" s="18" t="s">
        <v>1014</v>
      </c>
      <c r="Q256" s="21" t="s">
        <v>280</v>
      </c>
      <c r="R256" s="18" t="s">
        <v>1272</v>
      </c>
      <c r="S256" s="21" t="s">
        <v>1273</v>
      </c>
      <c r="T256" s="18" t="s">
        <v>467</v>
      </c>
      <c r="U256" s="18" t="s">
        <v>464</v>
      </c>
    </row>
    <row r="257" spans="1:21" ht="14.5" x14ac:dyDescent="0.35">
      <c r="A257" s="19" t="str">
        <f t="shared" si="6"/>
        <v>NotificationHubs/namespaces/notificationHubs(ntf-)</v>
      </c>
      <c r="B257" s="19" t="s">
        <v>1015</v>
      </c>
      <c r="C257" s="19" t="s">
        <v>278</v>
      </c>
      <c r="D257" s="19" t="s">
        <v>279</v>
      </c>
      <c r="E257" s="19" t="s">
        <v>280</v>
      </c>
      <c r="F257" s="19" t="str">
        <f t="shared" si="7"/>
        <v>ntf-</v>
      </c>
      <c r="G257" s="19" t="s">
        <v>753</v>
      </c>
      <c r="H257" s="19" t="s">
        <v>285</v>
      </c>
      <c r="I257" s="19" t="s">
        <v>473</v>
      </c>
      <c r="J257" s="19" t="s">
        <v>1013</v>
      </c>
      <c r="K257" s="19" t="s">
        <v>280</v>
      </c>
      <c r="L257" s="19" t="s">
        <v>280</v>
      </c>
      <c r="M257" s="19" t="s">
        <v>280</v>
      </c>
      <c r="N257" s="19" t="s">
        <v>280</v>
      </c>
      <c r="O257" s="19" t="s">
        <v>280</v>
      </c>
      <c r="P257" s="19" t="s">
        <v>1017</v>
      </c>
      <c r="Q257" s="20" t="s">
        <v>280</v>
      </c>
      <c r="R257" s="19" t="s">
        <v>1272</v>
      </c>
      <c r="S257" s="20" t="s">
        <v>1273</v>
      </c>
      <c r="T257" s="19" t="s">
        <v>1016</v>
      </c>
      <c r="U257" s="19" t="s">
        <v>464</v>
      </c>
    </row>
    <row r="258" spans="1:21" ht="14.5" x14ac:dyDescent="0.35">
      <c r="A258" s="18" t="str">
        <f t="shared" si="6"/>
        <v>NotificationHubs/namespaces/notificationHubs/AuthorizationRules(rule-)</v>
      </c>
      <c r="B258" s="18" t="s">
        <v>1018</v>
      </c>
      <c r="C258" s="18" t="s">
        <v>278</v>
      </c>
      <c r="D258" s="18" t="s">
        <v>279</v>
      </c>
      <c r="E258" s="18" t="s">
        <v>280</v>
      </c>
      <c r="F258" s="18" t="str">
        <f t="shared" si="7"/>
        <v>rule-</v>
      </c>
      <c r="G258" s="18" t="s">
        <v>1019</v>
      </c>
      <c r="H258" s="18" t="s">
        <v>285</v>
      </c>
      <c r="I258" s="18" t="s">
        <v>289</v>
      </c>
      <c r="J258" s="18" t="s">
        <v>1020</v>
      </c>
      <c r="K258" s="18" t="s">
        <v>280</v>
      </c>
      <c r="L258" s="18" t="s">
        <v>280</v>
      </c>
      <c r="M258" s="18" t="s">
        <v>280</v>
      </c>
      <c r="N258" s="18" t="s">
        <v>280</v>
      </c>
      <c r="O258" s="18" t="s">
        <v>280</v>
      </c>
      <c r="P258" s="18" t="s">
        <v>1014</v>
      </c>
      <c r="Q258" s="21" t="s">
        <v>280</v>
      </c>
      <c r="R258" s="18" t="s">
        <v>1272</v>
      </c>
      <c r="S258" s="21" t="s">
        <v>1273</v>
      </c>
      <c r="T258" s="18" t="s">
        <v>467</v>
      </c>
      <c r="U258" s="18" t="s">
        <v>464</v>
      </c>
    </row>
    <row r="259" spans="1:21" ht="14.5" x14ac:dyDescent="0.35">
      <c r="A259" s="19" t="str">
        <f t="shared" ref="A259:A322" si="8">_xlfn.CONCAT(B259, E259,"(",F259,")")</f>
        <v>OperationalInsights/clusters(opic-)</v>
      </c>
      <c r="B259" s="19" t="s">
        <v>1021</v>
      </c>
      <c r="C259" s="19" t="s">
        <v>278</v>
      </c>
      <c r="D259" s="19" t="s">
        <v>279</v>
      </c>
      <c r="E259" s="19" t="s">
        <v>280</v>
      </c>
      <c r="F259" s="19" t="str">
        <f t="shared" ref="F259:F322" si="9">_xlfn.CONCAT(T259,U259)</f>
        <v>opic-</v>
      </c>
      <c r="G259" s="19" t="s">
        <v>78</v>
      </c>
      <c r="H259" s="19" t="s">
        <v>826</v>
      </c>
      <c r="I259" s="19" t="s">
        <v>282</v>
      </c>
      <c r="J259" s="19" t="s">
        <v>462</v>
      </c>
      <c r="K259" s="19" t="s">
        <v>280</v>
      </c>
      <c r="L259" s="19" t="s">
        <v>280</v>
      </c>
      <c r="M259" s="19" t="s">
        <v>280</v>
      </c>
      <c r="N259" s="19" t="s">
        <v>280</v>
      </c>
      <c r="O259" s="19" t="s">
        <v>280</v>
      </c>
      <c r="P259" s="19" t="s">
        <v>1023</v>
      </c>
      <c r="Q259" s="20" t="s">
        <v>280</v>
      </c>
      <c r="R259" s="19" t="s">
        <v>1272</v>
      </c>
      <c r="S259" s="20" t="s">
        <v>1273</v>
      </c>
      <c r="T259" s="19" t="s">
        <v>1022</v>
      </c>
      <c r="U259" s="19" t="s">
        <v>464</v>
      </c>
    </row>
    <row r="260" spans="1:21" ht="14.5" x14ac:dyDescent="0.35">
      <c r="A260" s="18" t="str">
        <f t="shared" si="8"/>
        <v>OperationalInsights/workspaces(log-)</v>
      </c>
      <c r="B260" s="18" t="s">
        <v>1024</v>
      </c>
      <c r="C260" s="18" t="s">
        <v>278</v>
      </c>
      <c r="D260" s="18" t="s">
        <v>279</v>
      </c>
      <c r="E260" s="18" t="s">
        <v>280</v>
      </c>
      <c r="F260" s="18" t="str">
        <f t="shared" si="9"/>
        <v>log-</v>
      </c>
      <c r="G260" s="18" t="s">
        <v>80</v>
      </c>
      <c r="H260" s="18" t="s">
        <v>826</v>
      </c>
      <c r="I260" s="18" t="s">
        <v>282</v>
      </c>
      <c r="J260" s="18" t="s">
        <v>462</v>
      </c>
      <c r="K260" s="18" t="s">
        <v>280</v>
      </c>
      <c r="L260" s="18" t="s">
        <v>280</v>
      </c>
      <c r="M260" s="18" t="s">
        <v>280</v>
      </c>
      <c r="N260" s="18" t="s">
        <v>280</v>
      </c>
      <c r="O260" s="18" t="s">
        <v>280</v>
      </c>
      <c r="P260" s="18" t="s">
        <v>1023</v>
      </c>
      <c r="Q260" s="21" t="s">
        <v>280</v>
      </c>
      <c r="R260" s="18" t="s">
        <v>1272</v>
      </c>
      <c r="S260" s="21" t="s">
        <v>1273</v>
      </c>
      <c r="T260" s="18" t="s">
        <v>1025</v>
      </c>
      <c r="U260" s="18" t="s">
        <v>464</v>
      </c>
    </row>
    <row r="261" spans="1:21" ht="14.5" x14ac:dyDescent="0.35">
      <c r="A261" s="19" t="str">
        <f t="shared" si="8"/>
        <v>OperationsManagement/solutions(opms-)</v>
      </c>
      <c r="B261" s="19" t="s">
        <v>1026</v>
      </c>
      <c r="C261" s="19" t="s">
        <v>278</v>
      </c>
      <c r="D261" s="19" t="s">
        <v>279</v>
      </c>
      <c r="E261" s="19" t="s">
        <v>280</v>
      </c>
      <c r="F261" s="19" t="str">
        <f t="shared" si="9"/>
        <v>opms-</v>
      </c>
      <c r="G261" s="19" t="s">
        <v>885</v>
      </c>
      <c r="H261" s="19" t="s">
        <v>280</v>
      </c>
      <c r="I261" s="19" t="s">
        <v>280</v>
      </c>
      <c r="J261" s="19" t="s">
        <v>1028</v>
      </c>
      <c r="K261" s="19" t="s">
        <v>280</v>
      </c>
      <c r="L261" s="19" t="s">
        <v>280</v>
      </c>
      <c r="M261" s="19" t="s">
        <v>280</v>
      </c>
      <c r="N261" s="19" t="s">
        <v>280</v>
      </c>
      <c r="O261" s="19" t="s">
        <v>280</v>
      </c>
      <c r="P261" s="19" t="s">
        <v>1029</v>
      </c>
      <c r="Q261" s="20" t="s">
        <v>1030</v>
      </c>
      <c r="R261" s="19" t="s">
        <v>1272</v>
      </c>
      <c r="S261" s="20" t="s">
        <v>1273</v>
      </c>
      <c r="T261" s="19" t="s">
        <v>1027</v>
      </c>
      <c r="U261" s="19" t="s">
        <v>464</v>
      </c>
    </row>
    <row r="262" spans="1:21" ht="14.5" x14ac:dyDescent="0.35">
      <c r="A262" s="18" t="str">
        <f t="shared" si="8"/>
        <v>Portal/dashboards(pdash-)</v>
      </c>
      <c r="B262" s="18" t="s">
        <v>1031</v>
      </c>
      <c r="C262" s="18" t="s">
        <v>278</v>
      </c>
      <c r="D262" s="18" t="s">
        <v>279</v>
      </c>
      <c r="E262" s="18" t="s">
        <v>280</v>
      </c>
      <c r="F262" s="18" t="str">
        <f t="shared" si="9"/>
        <v>pdash-</v>
      </c>
      <c r="G262" s="18" t="s">
        <v>78</v>
      </c>
      <c r="H262" s="18" t="s">
        <v>281</v>
      </c>
      <c r="I262" s="18" t="s">
        <v>1033</v>
      </c>
      <c r="J262" s="18" t="s">
        <v>681</v>
      </c>
      <c r="K262" s="18" t="s">
        <v>280</v>
      </c>
      <c r="L262" s="18" t="s">
        <v>280</v>
      </c>
      <c r="M262" s="18" t="s">
        <v>280</v>
      </c>
      <c r="N262" s="18" t="s">
        <v>280</v>
      </c>
      <c r="O262" s="18" t="s">
        <v>280</v>
      </c>
      <c r="P262" s="18" t="s">
        <v>1034</v>
      </c>
      <c r="Q262" s="21" t="s">
        <v>280</v>
      </c>
      <c r="R262" s="18" t="s">
        <v>1272</v>
      </c>
      <c r="S262" s="21" t="s">
        <v>1273</v>
      </c>
      <c r="T262" s="18" t="s">
        <v>1032</v>
      </c>
      <c r="U262" s="18" t="s">
        <v>464</v>
      </c>
    </row>
    <row r="263" spans="1:21" ht="14.5" x14ac:dyDescent="0.35">
      <c r="A263" s="19" t="str">
        <f t="shared" si="8"/>
        <v>PowerBI/workspaceCollections(pbiwc-)</v>
      </c>
      <c r="B263" s="19" t="s">
        <v>1035</v>
      </c>
      <c r="C263" s="19" t="s">
        <v>278</v>
      </c>
      <c r="D263" s="19" t="s">
        <v>279</v>
      </c>
      <c r="E263" s="19" t="s">
        <v>280</v>
      </c>
      <c r="F263" s="19" t="str">
        <f t="shared" si="9"/>
        <v>pbiwc-</v>
      </c>
      <c r="G263" s="19" t="s">
        <v>419</v>
      </c>
      <c r="H263" s="19" t="s">
        <v>281</v>
      </c>
      <c r="I263" s="19" t="s">
        <v>282</v>
      </c>
      <c r="J263" s="19" t="s">
        <v>1037</v>
      </c>
      <c r="K263" s="19" t="s">
        <v>1038</v>
      </c>
      <c r="L263" s="19" t="s">
        <v>280</v>
      </c>
      <c r="M263" s="19" t="s">
        <v>464</v>
      </c>
      <c r="N263" s="19" t="s">
        <v>280</v>
      </c>
      <c r="O263" s="19" t="s">
        <v>464</v>
      </c>
      <c r="P263" s="19" t="s">
        <v>1039</v>
      </c>
      <c r="Q263" s="20" t="s">
        <v>280</v>
      </c>
      <c r="R263" s="19" t="s">
        <v>1272</v>
      </c>
      <c r="S263" s="20" t="s">
        <v>1273</v>
      </c>
      <c r="T263" s="19" t="s">
        <v>1036</v>
      </c>
      <c r="U263" s="19" t="s">
        <v>464</v>
      </c>
    </row>
    <row r="264" spans="1:21" ht="14.5" x14ac:dyDescent="0.35">
      <c r="A264" s="18" t="str">
        <f t="shared" si="8"/>
        <v>PowerBIDedicated/capacities(pbi-)</v>
      </c>
      <c r="B264" s="18" t="s">
        <v>1040</v>
      </c>
      <c r="C264" s="18" t="s">
        <v>278</v>
      </c>
      <c r="D264" s="18" t="s">
        <v>279</v>
      </c>
      <c r="E264" s="18" t="s">
        <v>280</v>
      </c>
      <c r="F264" s="18" t="str">
        <f t="shared" si="9"/>
        <v>pbi-</v>
      </c>
      <c r="G264" s="18" t="s">
        <v>419</v>
      </c>
      <c r="H264" s="18" t="s">
        <v>281</v>
      </c>
      <c r="I264" s="18" t="s">
        <v>282</v>
      </c>
      <c r="J264" s="18" t="s">
        <v>1042</v>
      </c>
      <c r="K264" s="18" t="s">
        <v>280</v>
      </c>
      <c r="L264" s="18" t="s">
        <v>280</v>
      </c>
      <c r="M264" s="18" t="s">
        <v>280</v>
      </c>
      <c r="N264" s="18" t="s">
        <v>280</v>
      </c>
      <c r="O264" s="18" t="s">
        <v>280</v>
      </c>
      <c r="P264" s="18" t="s">
        <v>1043</v>
      </c>
      <c r="Q264" s="21" t="s">
        <v>280</v>
      </c>
      <c r="R264" s="18" t="s">
        <v>1272</v>
      </c>
      <c r="S264" s="21" t="s">
        <v>1273</v>
      </c>
      <c r="T264" s="18" t="s">
        <v>1041</v>
      </c>
      <c r="U264" s="18" t="s">
        <v>464</v>
      </c>
    </row>
    <row r="265" spans="1:21" ht="14.5" x14ac:dyDescent="0.35">
      <c r="A265" s="19" t="str">
        <f t="shared" si="8"/>
        <v>Purview/accounts(pview-)</v>
      </c>
      <c r="B265" s="19" t="s">
        <v>1044</v>
      </c>
      <c r="C265" s="19" t="s">
        <v>280</v>
      </c>
      <c r="D265" s="19" t="s">
        <v>280</v>
      </c>
      <c r="E265" s="19" t="s">
        <v>280</v>
      </c>
      <c r="F265" s="19" t="str">
        <f t="shared" si="9"/>
        <v>pview-</v>
      </c>
      <c r="G265" s="19" t="s">
        <v>280</v>
      </c>
      <c r="H265" s="19" t="s">
        <v>280</v>
      </c>
      <c r="I265" s="19" t="s">
        <v>280</v>
      </c>
      <c r="J265" s="19" t="s">
        <v>280</v>
      </c>
      <c r="K265" s="19" t="s">
        <v>280</v>
      </c>
      <c r="L265" s="19" t="s">
        <v>280</v>
      </c>
      <c r="M265" s="19" t="s">
        <v>280</v>
      </c>
      <c r="N265" s="19" t="s">
        <v>280</v>
      </c>
      <c r="O265" s="19" t="s">
        <v>280</v>
      </c>
      <c r="P265" s="19" t="s">
        <v>280</v>
      </c>
      <c r="Q265" s="20" t="s">
        <v>280</v>
      </c>
      <c r="R265" s="19" t="s">
        <v>1268</v>
      </c>
      <c r="S265" s="20"/>
      <c r="T265" s="19" t="s">
        <v>1045</v>
      </c>
      <c r="U265" s="19" t="s">
        <v>464</v>
      </c>
    </row>
    <row r="266" spans="1:21" ht="14.5" x14ac:dyDescent="0.35">
      <c r="A266" s="18" t="str">
        <f t="shared" si="8"/>
        <v>RecoveryServices/vaults(rsv-)</v>
      </c>
      <c r="B266" s="18" t="s">
        <v>1046</v>
      </c>
      <c r="C266" s="18" t="s">
        <v>278</v>
      </c>
      <c r="D266" s="18" t="s">
        <v>279</v>
      </c>
      <c r="E266" s="18" t="s">
        <v>280</v>
      </c>
      <c r="F266" s="18" t="str">
        <f t="shared" si="9"/>
        <v>rsv-</v>
      </c>
      <c r="G266" s="18" t="s">
        <v>78</v>
      </c>
      <c r="H266" s="18" t="s">
        <v>432</v>
      </c>
      <c r="I266" s="18" t="s">
        <v>286</v>
      </c>
      <c r="J266" s="18" t="s">
        <v>1048</v>
      </c>
      <c r="K266" s="18" t="s">
        <v>280</v>
      </c>
      <c r="L266" s="18" t="s">
        <v>280</v>
      </c>
      <c r="M266" s="18" t="s">
        <v>280</v>
      </c>
      <c r="N266" s="18" t="s">
        <v>280</v>
      </c>
      <c r="O266" s="18" t="s">
        <v>280</v>
      </c>
      <c r="P266" s="18" t="s">
        <v>1049</v>
      </c>
      <c r="Q266" s="21" t="s">
        <v>280</v>
      </c>
      <c r="R266" s="18" t="s">
        <v>1272</v>
      </c>
      <c r="S266" s="21" t="s">
        <v>1273</v>
      </c>
      <c r="T266" s="18" t="s">
        <v>1047</v>
      </c>
      <c r="U266" s="18" t="s">
        <v>464</v>
      </c>
    </row>
    <row r="267" spans="1:21" ht="14.5" x14ac:dyDescent="0.35">
      <c r="A267" s="19" t="str">
        <f t="shared" si="8"/>
        <v>RecoveryServices/vaults/backupPolicies(rsvbp-)</v>
      </c>
      <c r="B267" s="19" t="s">
        <v>1050</v>
      </c>
      <c r="C267" s="19" t="s">
        <v>278</v>
      </c>
      <c r="D267" s="19" t="s">
        <v>279</v>
      </c>
      <c r="E267" s="19" t="s">
        <v>280</v>
      </c>
      <c r="F267" s="19" t="str">
        <f t="shared" si="9"/>
        <v>rsvbp-</v>
      </c>
      <c r="G267" s="19" t="s">
        <v>1052</v>
      </c>
      <c r="H267" s="19" t="s">
        <v>281</v>
      </c>
      <c r="I267" s="19" t="s">
        <v>1053</v>
      </c>
      <c r="J267" s="19" t="s">
        <v>1054</v>
      </c>
      <c r="K267" s="19" t="s">
        <v>1055</v>
      </c>
      <c r="L267" s="19" t="s">
        <v>280</v>
      </c>
      <c r="M267" s="19" t="s">
        <v>280</v>
      </c>
      <c r="N267" s="19" t="s">
        <v>464</v>
      </c>
      <c r="O267" s="19" t="s">
        <v>280</v>
      </c>
      <c r="P267" s="19" t="s">
        <v>1056</v>
      </c>
      <c r="Q267" s="20" t="s">
        <v>280</v>
      </c>
      <c r="R267" s="19" t="s">
        <v>1272</v>
      </c>
      <c r="S267" s="20" t="s">
        <v>1273</v>
      </c>
      <c r="T267" s="19" t="s">
        <v>1051</v>
      </c>
      <c r="U267" s="19" t="s">
        <v>464</v>
      </c>
    </row>
    <row r="268" spans="1:21" ht="14.5" x14ac:dyDescent="0.35">
      <c r="A268" s="18" t="str">
        <f t="shared" si="8"/>
        <v>Relay/namespaces(rns-)</v>
      </c>
      <c r="B268" s="18" t="s">
        <v>1057</v>
      </c>
      <c r="C268" s="18" t="s">
        <v>278</v>
      </c>
      <c r="D268" s="18" t="s">
        <v>279</v>
      </c>
      <c r="E268" s="18" t="s">
        <v>280</v>
      </c>
      <c r="F268" s="18" t="str">
        <f t="shared" si="9"/>
        <v>rns-</v>
      </c>
      <c r="G268" s="18" t="s">
        <v>80</v>
      </c>
      <c r="H268" s="18" t="s">
        <v>392</v>
      </c>
      <c r="I268" s="18" t="s">
        <v>286</v>
      </c>
      <c r="J268" s="18" t="s">
        <v>1059</v>
      </c>
      <c r="K268" s="18" t="s">
        <v>280</v>
      </c>
      <c r="L268" s="18" t="s">
        <v>280</v>
      </c>
      <c r="M268" s="18" t="s">
        <v>280</v>
      </c>
      <c r="N268" s="18" t="s">
        <v>280</v>
      </c>
      <c r="O268" s="18" t="s">
        <v>280</v>
      </c>
      <c r="P268" s="18" t="s">
        <v>1060</v>
      </c>
      <c r="Q268" s="21" t="s">
        <v>280</v>
      </c>
      <c r="R268" s="18" t="s">
        <v>1272</v>
      </c>
      <c r="S268" s="21" t="s">
        <v>1273</v>
      </c>
      <c r="T268" s="18" t="s">
        <v>1058</v>
      </c>
      <c r="U268" s="18" t="s">
        <v>464</v>
      </c>
    </row>
    <row r="269" spans="1:21" ht="14.5" x14ac:dyDescent="0.35">
      <c r="A269" s="19" t="str">
        <f t="shared" si="8"/>
        <v>Relay/namespaces/AuthorizationRules(rule-)</v>
      </c>
      <c r="B269" s="19" t="s">
        <v>1061</v>
      </c>
      <c r="C269" s="19" t="s">
        <v>278</v>
      </c>
      <c r="D269" s="19" t="s">
        <v>279</v>
      </c>
      <c r="E269" s="19" t="s">
        <v>280</v>
      </c>
      <c r="F269" s="19" t="str">
        <f t="shared" si="9"/>
        <v>rule-</v>
      </c>
      <c r="G269" s="19" t="s">
        <v>753</v>
      </c>
      <c r="H269" s="19" t="s">
        <v>285</v>
      </c>
      <c r="I269" s="19" t="s">
        <v>286</v>
      </c>
      <c r="J269" s="19" t="s">
        <v>1062</v>
      </c>
      <c r="K269" s="19" t="s">
        <v>280</v>
      </c>
      <c r="L269" s="19" t="s">
        <v>280</v>
      </c>
      <c r="M269" s="19" t="s">
        <v>280</v>
      </c>
      <c r="N269" s="19" t="s">
        <v>280</v>
      </c>
      <c r="O269" s="19" t="s">
        <v>280</v>
      </c>
      <c r="P269" s="19" t="s">
        <v>755</v>
      </c>
      <c r="Q269" s="20" t="s">
        <v>280</v>
      </c>
      <c r="R269" s="19" t="s">
        <v>1272</v>
      </c>
      <c r="S269" s="20" t="s">
        <v>1273</v>
      </c>
      <c r="T269" s="19" t="s">
        <v>467</v>
      </c>
      <c r="U269" s="19" t="s">
        <v>464</v>
      </c>
    </row>
    <row r="270" spans="1:21" ht="14.5" x14ac:dyDescent="0.35">
      <c r="A270" s="18" t="str">
        <f t="shared" si="8"/>
        <v>Relay/namespaces/HybridConnections(hycon-)</v>
      </c>
      <c r="B270" s="18" t="s">
        <v>1063</v>
      </c>
      <c r="C270" s="18" t="s">
        <v>278</v>
      </c>
      <c r="D270" s="18" t="s">
        <v>279</v>
      </c>
      <c r="E270" s="18" t="s">
        <v>280</v>
      </c>
      <c r="F270" s="18" t="str">
        <f t="shared" si="9"/>
        <v>hycon-</v>
      </c>
      <c r="G270" s="18" t="s">
        <v>753</v>
      </c>
      <c r="H270" s="18" t="s">
        <v>285</v>
      </c>
      <c r="I270" s="18" t="s">
        <v>473</v>
      </c>
      <c r="J270" s="18" t="s">
        <v>1065</v>
      </c>
      <c r="K270" s="18" t="s">
        <v>280</v>
      </c>
      <c r="L270" s="18" t="s">
        <v>280</v>
      </c>
      <c r="M270" s="18" t="s">
        <v>280</v>
      </c>
      <c r="N270" s="18" t="s">
        <v>280</v>
      </c>
      <c r="O270" s="18" t="s">
        <v>280</v>
      </c>
      <c r="P270" s="18" t="s">
        <v>1066</v>
      </c>
      <c r="Q270" s="21" t="s">
        <v>280</v>
      </c>
      <c r="R270" s="18" t="s">
        <v>1272</v>
      </c>
      <c r="S270" s="21" t="s">
        <v>1273</v>
      </c>
      <c r="T270" s="18" t="s">
        <v>1064</v>
      </c>
      <c r="U270" s="18" t="s">
        <v>464</v>
      </c>
    </row>
    <row r="271" spans="1:21" ht="14.5" x14ac:dyDescent="0.35">
      <c r="A271" s="19" t="str">
        <f t="shared" si="8"/>
        <v>Relay/namespaces/HybridConnections/authorizationRules(rule-)</v>
      </c>
      <c r="B271" s="19" t="s">
        <v>1067</v>
      </c>
      <c r="C271" s="19" t="s">
        <v>278</v>
      </c>
      <c r="D271" s="19" t="s">
        <v>279</v>
      </c>
      <c r="E271" s="19" t="s">
        <v>280</v>
      </c>
      <c r="F271" s="19" t="str">
        <f t="shared" si="9"/>
        <v>rule-</v>
      </c>
      <c r="G271" s="19" t="s">
        <v>1068</v>
      </c>
      <c r="H271" s="19" t="s">
        <v>285</v>
      </c>
      <c r="I271" s="19" t="s">
        <v>286</v>
      </c>
      <c r="J271" s="19" t="s">
        <v>1062</v>
      </c>
      <c r="K271" s="19" t="s">
        <v>280</v>
      </c>
      <c r="L271" s="19" t="s">
        <v>280</v>
      </c>
      <c r="M271" s="19" t="s">
        <v>280</v>
      </c>
      <c r="N271" s="19" t="s">
        <v>280</v>
      </c>
      <c r="O271" s="19" t="s">
        <v>280</v>
      </c>
      <c r="P271" s="19" t="s">
        <v>755</v>
      </c>
      <c r="Q271" s="20" t="s">
        <v>280</v>
      </c>
      <c r="R271" s="19" t="s">
        <v>1272</v>
      </c>
      <c r="S271" s="20" t="s">
        <v>1273</v>
      </c>
      <c r="T271" s="19" t="s">
        <v>467</v>
      </c>
      <c r="U271" s="19" t="s">
        <v>464</v>
      </c>
    </row>
    <row r="272" spans="1:21" ht="14.5" x14ac:dyDescent="0.35">
      <c r="A272" s="18" t="str">
        <f t="shared" si="8"/>
        <v>Relay/namespaces/WcfRelays(wcfr-)</v>
      </c>
      <c r="B272" s="18" t="s">
        <v>1069</v>
      </c>
      <c r="C272" s="18" t="s">
        <v>278</v>
      </c>
      <c r="D272" s="18" t="s">
        <v>279</v>
      </c>
      <c r="E272" s="18" t="s">
        <v>280</v>
      </c>
      <c r="F272" s="18" t="str">
        <f t="shared" si="9"/>
        <v>wcfr-</v>
      </c>
      <c r="G272" s="18" t="s">
        <v>753</v>
      </c>
      <c r="H272" s="18" t="s">
        <v>285</v>
      </c>
      <c r="I272" s="18" t="s">
        <v>473</v>
      </c>
      <c r="J272" s="18" t="s">
        <v>1065</v>
      </c>
      <c r="K272" s="18" t="s">
        <v>280</v>
      </c>
      <c r="L272" s="18" t="s">
        <v>280</v>
      </c>
      <c r="M272" s="18" t="s">
        <v>280</v>
      </c>
      <c r="N272" s="18" t="s">
        <v>280</v>
      </c>
      <c r="O272" s="18" t="s">
        <v>280</v>
      </c>
      <c r="P272" s="18" t="s">
        <v>1066</v>
      </c>
      <c r="Q272" s="21" t="s">
        <v>280</v>
      </c>
      <c r="R272" s="18" t="s">
        <v>1272</v>
      </c>
      <c r="S272" s="21" t="s">
        <v>1273</v>
      </c>
      <c r="T272" s="18" t="s">
        <v>1070</v>
      </c>
      <c r="U272" s="18" t="s">
        <v>464</v>
      </c>
    </row>
    <row r="273" spans="1:21" ht="14.5" x14ac:dyDescent="0.35">
      <c r="A273" s="19" t="str">
        <f t="shared" si="8"/>
        <v>Relay/namespaces/WcfRelays/authorizationRules(wcfra-)</v>
      </c>
      <c r="B273" s="19" t="s">
        <v>1071</v>
      </c>
      <c r="C273" s="19" t="s">
        <v>278</v>
      </c>
      <c r="D273" s="19" t="s">
        <v>279</v>
      </c>
      <c r="E273" s="19" t="s">
        <v>280</v>
      </c>
      <c r="F273" s="19" t="str">
        <f t="shared" si="9"/>
        <v>wcfra-</v>
      </c>
      <c r="G273" s="19" t="s">
        <v>1073</v>
      </c>
      <c r="H273" s="19" t="s">
        <v>285</v>
      </c>
      <c r="I273" s="19" t="s">
        <v>286</v>
      </c>
      <c r="J273" s="19" t="s">
        <v>1062</v>
      </c>
      <c r="K273" s="19" t="s">
        <v>280</v>
      </c>
      <c r="L273" s="19" t="s">
        <v>280</v>
      </c>
      <c r="M273" s="19" t="s">
        <v>280</v>
      </c>
      <c r="N273" s="19" t="s">
        <v>280</v>
      </c>
      <c r="O273" s="19" t="s">
        <v>280</v>
      </c>
      <c r="P273" s="19" t="s">
        <v>755</v>
      </c>
      <c r="Q273" s="20" t="s">
        <v>280</v>
      </c>
      <c r="R273" s="19" t="s">
        <v>1272</v>
      </c>
      <c r="S273" s="20" t="s">
        <v>1273</v>
      </c>
      <c r="T273" s="19" t="s">
        <v>1072</v>
      </c>
      <c r="U273" s="19" t="s">
        <v>464</v>
      </c>
    </row>
    <row r="274" spans="1:21" ht="14.5" x14ac:dyDescent="0.35">
      <c r="A274" s="18" t="str">
        <f t="shared" si="8"/>
        <v>Resources/deployments(deloy-)</v>
      </c>
      <c r="B274" s="18" t="s">
        <v>1074</v>
      </c>
      <c r="C274" s="18" t="s">
        <v>278</v>
      </c>
      <c r="D274" s="18" t="s">
        <v>279</v>
      </c>
      <c r="E274" s="18" t="s">
        <v>280</v>
      </c>
      <c r="F274" s="18" t="str">
        <f t="shared" si="9"/>
        <v>deloy-</v>
      </c>
      <c r="G274" s="18" t="s">
        <v>78</v>
      </c>
      <c r="H274" s="18" t="s">
        <v>285</v>
      </c>
      <c r="I274" s="18" t="s">
        <v>379</v>
      </c>
      <c r="J274" s="18" t="s">
        <v>1076</v>
      </c>
      <c r="K274" s="18" t="s">
        <v>280</v>
      </c>
      <c r="L274" s="18" t="s">
        <v>280</v>
      </c>
      <c r="M274" s="18" t="s">
        <v>280</v>
      </c>
      <c r="N274" s="18" t="s">
        <v>280</v>
      </c>
      <c r="O274" s="18" t="s">
        <v>280</v>
      </c>
      <c r="P274" s="18" t="s">
        <v>1077</v>
      </c>
      <c r="Q274" s="21" t="s">
        <v>280</v>
      </c>
      <c r="R274" s="18" t="s">
        <v>1272</v>
      </c>
      <c r="S274" s="21" t="s">
        <v>1273</v>
      </c>
      <c r="T274" s="18" t="s">
        <v>1075</v>
      </c>
      <c r="U274" s="18" t="s">
        <v>464</v>
      </c>
    </row>
    <row r="275" spans="1:21" ht="14.5" x14ac:dyDescent="0.35">
      <c r="A275" s="19" t="str">
        <f t="shared" si="8"/>
        <v>Resources/resourcegroups(rg-)</v>
      </c>
      <c r="B275" s="19" t="s">
        <v>1078</v>
      </c>
      <c r="C275" s="19" t="s">
        <v>278</v>
      </c>
      <c r="D275" s="19" t="s">
        <v>279</v>
      </c>
      <c r="E275" s="19" t="s">
        <v>280</v>
      </c>
      <c r="F275" s="19" t="str">
        <f t="shared" si="9"/>
        <v>rg-</v>
      </c>
      <c r="G275" s="19" t="s">
        <v>1080</v>
      </c>
      <c r="H275" s="19" t="s">
        <v>285</v>
      </c>
      <c r="I275" s="19" t="s">
        <v>365</v>
      </c>
      <c r="J275" s="19" t="s">
        <v>1081</v>
      </c>
      <c r="K275" s="19" t="s">
        <v>1082</v>
      </c>
      <c r="L275" s="19" t="s">
        <v>280</v>
      </c>
      <c r="M275" s="19" t="s">
        <v>280</v>
      </c>
      <c r="N275" s="19" t="s">
        <v>368</v>
      </c>
      <c r="O275" s="19" t="s">
        <v>280</v>
      </c>
      <c r="P275" s="19" t="s">
        <v>1083</v>
      </c>
      <c r="Q275" s="20" t="s">
        <v>280</v>
      </c>
      <c r="R275" s="19" t="s">
        <v>1272</v>
      </c>
      <c r="S275" s="20" t="s">
        <v>1273</v>
      </c>
      <c r="T275" s="19" t="s">
        <v>1079</v>
      </c>
      <c r="U275" s="19" t="s">
        <v>464</v>
      </c>
    </row>
    <row r="276" spans="1:21" ht="14.5" x14ac:dyDescent="0.35">
      <c r="A276" s="18" t="str">
        <f t="shared" si="8"/>
        <v>Resources/tagNames(rtn-)</v>
      </c>
      <c r="B276" s="18" t="s">
        <v>1084</v>
      </c>
      <c r="C276" s="18" t="s">
        <v>278</v>
      </c>
      <c r="D276" s="18" t="s">
        <v>279</v>
      </c>
      <c r="E276" s="18" t="s">
        <v>280</v>
      </c>
      <c r="F276" s="18" t="str">
        <f t="shared" si="9"/>
        <v>rtn-</v>
      </c>
      <c r="G276" s="18" t="s">
        <v>262</v>
      </c>
      <c r="H276" s="18" t="s">
        <v>285</v>
      </c>
      <c r="I276" s="18" t="s">
        <v>592</v>
      </c>
      <c r="J276" s="18" t="s">
        <v>280</v>
      </c>
      <c r="K276" s="18" t="s">
        <v>1086</v>
      </c>
      <c r="L276" s="18" t="s">
        <v>1087</v>
      </c>
      <c r="M276" s="18" t="s">
        <v>280</v>
      </c>
      <c r="N276" s="18" t="s">
        <v>280</v>
      </c>
      <c r="O276" s="18" t="s">
        <v>280</v>
      </c>
      <c r="P276" s="18" t="s">
        <v>1088</v>
      </c>
      <c r="Q276" s="21" t="s">
        <v>280</v>
      </c>
      <c r="R276" s="18" t="s">
        <v>1272</v>
      </c>
      <c r="S276" s="21" t="s">
        <v>1273</v>
      </c>
      <c r="T276" s="18" t="s">
        <v>1085</v>
      </c>
      <c r="U276" s="18" t="s">
        <v>464</v>
      </c>
    </row>
    <row r="277" spans="1:21" ht="14.5" x14ac:dyDescent="0.35">
      <c r="A277" s="19" t="str">
        <f t="shared" si="8"/>
        <v>Resources/tagNames/tagValues(rtnv-)</v>
      </c>
      <c r="B277" s="19" t="s">
        <v>1089</v>
      </c>
      <c r="C277" s="19" t="s">
        <v>278</v>
      </c>
      <c r="D277" s="19" t="s">
        <v>279</v>
      </c>
      <c r="E277" s="19" t="s">
        <v>280</v>
      </c>
      <c r="F277" s="19" t="str">
        <f t="shared" si="9"/>
        <v>rtnv-</v>
      </c>
      <c r="G277" s="19" t="s">
        <v>1091</v>
      </c>
      <c r="H277" s="19" t="s">
        <v>285</v>
      </c>
      <c r="I277" s="19" t="s">
        <v>289</v>
      </c>
      <c r="J277" s="19" t="s">
        <v>1092</v>
      </c>
      <c r="K277" s="19" t="s">
        <v>280</v>
      </c>
      <c r="L277" s="19" t="s">
        <v>280</v>
      </c>
      <c r="M277" s="19" t="s">
        <v>280</v>
      </c>
      <c r="N277" s="19" t="s">
        <v>280</v>
      </c>
      <c r="O277" s="19" t="s">
        <v>280</v>
      </c>
      <c r="P277" s="19" t="s">
        <v>1093</v>
      </c>
      <c r="Q277" s="20" t="s">
        <v>280</v>
      </c>
      <c r="R277" s="19" t="s">
        <v>1272</v>
      </c>
      <c r="S277" s="20" t="s">
        <v>1273</v>
      </c>
      <c r="T277" s="19" t="s">
        <v>1090</v>
      </c>
      <c r="U277" s="19" t="s">
        <v>464</v>
      </c>
    </row>
    <row r="278" spans="1:21" ht="14.5" x14ac:dyDescent="0.35">
      <c r="A278" s="18" t="str">
        <f t="shared" si="8"/>
        <v>Resources/templateSpecs(tspec-)</v>
      </c>
      <c r="B278" s="18" t="s">
        <v>1094</v>
      </c>
      <c r="C278" s="18" t="s">
        <v>278</v>
      </c>
      <c r="D278" s="18" t="s">
        <v>279</v>
      </c>
      <c r="E278" s="18" t="s">
        <v>280</v>
      </c>
      <c r="F278" s="18" t="str">
        <f t="shared" si="9"/>
        <v>tspec-</v>
      </c>
      <c r="G278" s="18" t="s">
        <v>78</v>
      </c>
      <c r="H278" s="18" t="s">
        <v>285</v>
      </c>
      <c r="I278" s="18" t="s">
        <v>365</v>
      </c>
      <c r="J278" s="18" t="s">
        <v>1076</v>
      </c>
      <c r="K278" s="18" t="s">
        <v>280</v>
      </c>
      <c r="L278" s="18" t="s">
        <v>280</v>
      </c>
      <c r="M278" s="18" t="s">
        <v>280</v>
      </c>
      <c r="N278" s="18" t="s">
        <v>280</v>
      </c>
      <c r="O278" s="18" t="s">
        <v>280</v>
      </c>
      <c r="P278" s="18" t="s">
        <v>1096</v>
      </c>
      <c r="Q278" s="21" t="s">
        <v>280</v>
      </c>
      <c r="R278" s="18" t="s">
        <v>1272</v>
      </c>
      <c r="S278" s="21" t="s">
        <v>1273</v>
      </c>
      <c r="T278" s="18" t="s">
        <v>1095</v>
      </c>
      <c r="U278" s="18" t="s">
        <v>464</v>
      </c>
    </row>
    <row r="279" spans="1:21" ht="14.5" x14ac:dyDescent="0.35">
      <c r="A279" s="19" t="str">
        <f t="shared" si="8"/>
        <v>Search/searchServices(srch-)</v>
      </c>
      <c r="B279" s="19" t="s">
        <v>1097</v>
      </c>
      <c r="C279" s="19" t="s">
        <v>280</v>
      </c>
      <c r="D279" s="19" t="s">
        <v>280</v>
      </c>
      <c r="E279" s="19" t="s">
        <v>280</v>
      </c>
      <c r="F279" s="19" t="str">
        <f t="shared" si="9"/>
        <v>srch-</v>
      </c>
      <c r="G279" s="19" t="s">
        <v>280</v>
      </c>
      <c r="H279" s="19" t="s">
        <v>280</v>
      </c>
      <c r="I279" s="19" t="s">
        <v>280</v>
      </c>
      <c r="J279" s="19" t="s">
        <v>280</v>
      </c>
      <c r="K279" s="19" t="s">
        <v>280</v>
      </c>
      <c r="L279" s="19" t="s">
        <v>280</v>
      </c>
      <c r="M279" s="19" t="s">
        <v>280</v>
      </c>
      <c r="N279" s="19" t="s">
        <v>280</v>
      </c>
      <c r="O279" s="19" t="s">
        <v>280</v>
      </c>
      <c r="P279" s="19" t="s">
        <v>280</v>
      </c>
      <c r="Q279" s="20" t="s">
        <v>280</v>
      </c>
      <c r="R279" s="19" t="s">
        <v>1268</v>
      </c>
      <c r="S279" s="20"/>
      <c r="T279" s="19" t="s">
        <v>1098</v>
      </c>
      <c r="U279" s="19" t="s">
        <v>464</v>
      </c>
    </row>
    <row r="280" spans="1:21" ht="14.5" x14ac:dyDescent="0.35">
      <c r="A280" s="18" t="str">
        <f t="shared" si="8"/>
        <v>ServiceBus/namespaces(sb-)</v>
      </c>
      <c r="B280" s="18" t="s">
        <v>1099</v>
      </c>
      <c r="C280" s="18" t="s">
        <v>278</v>
      </c>
      <c r="D280" s="18" t="s">
        <v>279</v>
      </c>
      <c r="E280" s="18" t="s">
        <v>280</v>
      </c>
      <c r="F280" s="18" t="str">
        <f t="shared" si="9"/>
        <v>sb-</v>
      </c>
      <c r="G280" s="18" t="s">
        <v>80</v>
      </c>
      <c r="H280" s="18" t="s">
        <v>392</v>
      </c>
      <c r="I280" s="18" t="s">
        <v>286</v>
      </c>
      <c r="J280" s="18" t="s">
        <v>393</v>
      </c>
      <c r="K280" s="18" t="s">
        <v>280</v>
      </c>
      <c r="L280" s="18" t="s">
        <v>280</v>
      </c>
      <c r="M280" s="18" t="s">
        <v>280</v>
      </c>
      <c r="N280" s="18" t="s">
        <v>280</v>
      </c>
      <c r="O280" s="18" t="s">
        <v>280</v>
      </c>
      <c r="P280" s="18" t="s">
        <v>394</v>
      </c>
      <c r="Q280" s="21" t="s">
        <v>280</v>
      </c>
      <c r="R280" s="18" t="s">
        <v>1272</v>
      </c>
      <c r="S280" s="21" t="s">
        <v>1273</v>
      </c>
      <c r="T280" s="18" t="s">
        <v>1100</v>
      </c>
      <c r="U280" s="18" t="s">
        <v>464</v>
      </c>
    </row>
    <row r="281" spans="1:21" ht="14.5" x14ac:dyDescent="0.35">
      <c r="A281" s="19" t="str">
        <f t="shared" si="8"/>
        <v>ServiceBus/namespaces/AuthorizationRules(rule-)</v>
      </c>
      <c r="B281" s="19" t="s">
        <v>1101</v>
      </c>
      <c r="C281" s="19" t="s">
        <v>278</v>
      </c>
      <c r="D281" s="19" t="s">
        <v>279</v>
      </c>
      <c r="E281" s="19" t="s">
        <v>280</v>
      </c>
      <c r="F281" s="19" t="str">
        <f t="shared" si="9"/>
        <v>rule-</v>
      </c>
      <c r="G281" s="19" t="s">
        <v>753</v>
      </c>
      <c r="H281" s="19" t="s">
        <v>285</v>
      </c>
      <c r="I281" s="19" t="s">
        <v>286</v>
      </c>
      <c r="J281" s="19" t="s">
        <v>1102</v>
      </c>
      <c r="K281" s="19" t="s">
        <v>280</v>
      </c>
      <c r="L281" s="19" t="s">
        <v>280</v>
      </c>
      <c r="M281" s="19" t="s">
        <v>280</v>
      </c>
      <c r="N281" s="19" t="s">
        <v>280</v>
      </c>
      <c r="O281" s="19" t="s">
        <v>280</v>
      </c>
      <c r="P281" s="19" t="s">
        <v>755</v>
      </c>
      <c r="Q281" s="20" t="s">
        <v>280</v>
      </c>
      <c r="R281" s="19" t="s">
        <v>1272</v>
      </c>
      <c r="S281" s="20" t="s">
        <v>1273</v>
      </c>
      <c r="T281" s="19" t="s">
        <v>467</v>
      </c>
      <c r="U281" s="19" t="s">
        <v>464</v>
      </c>
    </row>
    <row r="282" spans="1:21" ht="14.5" x14ac:dyDescent="0.35">
      <c r="A282" s="18" t="str">
        <f t="shared" si="8"/>
        <v>ServiceBus/namespaces/disasterRecoveryConfigs(sbndc-)</v>
      </c>
      <c r="B282" s="18" t="s">
        <v>1103</v>
      </c>
      <c r="C282" s="18" t="s">
        <v>278</v>
      </c>
      <c r="D282" s="18" t="s">
        <v>279</v>
      </c>
      <c r="E282" s="18" t="s">
        <v>280</v>
      </c>
      <c r="F282" s="18" t="str">
        <f t="shared" si="9"/>
        <v>sbndc-</v>
      </c>
      <c r="G282" s="18" t="s">
        <v>80</v>
      </c>
      <c r="H282" s="18" t="s">
        <v>392</v>
      </c>
      <c r="I282" s="18" t="s">
        <v>286</v>
      </c>
      <c r="J282" s="18" t="s">
        <v>393</v>
      </c>
      <c r="K282" s="18" t="s">
        <v>280</v>
      </c>
      <c r="L282" s="18" t="s">
        <v>280</v>
      </c>
      <c r="M282" s="18" t="s">
        <v>280</v>
      </c>
      <c r="N282" s="18" t="s">
        <v>280</v>
      </c>
      <c r="O282" s="18" t="s">
        <v>280</v>
      </c>
      <c r="P282" s="18" t="s">
        <v>394</v>
      </c>
      <c r="Q282" s="21" t="s">
        <v>280</v>
      </c>
      <c r="R282" s="18" t="s">
        <v>1272</v>
      </c>
      <c r="S282" s="21" t="s">
        <v>1273</v>
      </c>
      <c r="T282" s="18" t="s">
        <v>1104</v>
      </c>
      <c r="U282" s="18" t="s">
        <v>464</v>
      </c>
    </row>
    <row r="283" spans="1:21" ht="14.5" x14ac:dyDescent="0.35">
      <c r="A283" s="19" t="str">
        <f t="shared" si="8"/>
        <v>ServiceBus/namespaces/migrationConfigurations(migc-)</v>
      </c>
      <c r="B283" s="19" t="s">
        <v>1105</v>
      </c>
      <c r="C283" s="19" t="s">
        <v>278</v>
      </c>
      <c r="D283" s="19" t="s">
        <v>279</v>
      </c>
      <c r="E283" s="19" t="s">
        <v>280</v>
      </c>
      <c r="F283" s="19" t="str">
        <f t="shared" si="9"/>
        <v>migc-</v>
      </c>
      <c r="G283" s="19" t="s">
        <v>753</v>
      </c>
      <c r="H283" s="19" t="s">
        <v>280</v>
      </c>
      <c r="I283" s="19" t="s">
        <v>280</v>
      </c>
      <c r="J283" s="19" t="s">
        <v>1107</v>
      </c>
      <c r="K283" s="19" t="s">
        <v>280</v>
      </c>
      <c r="L283" s="19" t="s">
        <v>280</v>
      </c>
      <c r="M283" s="19" t="s">
        <v>280</v>
      </c>
      <c r="N283" s="19" t="s">
        <v>280</v>
      </c>
      <c r="O283" s="19" t="s">
        <v>280</v>
      </c>
      <c r="P283" s="19" t="s">
        <v>1108</v>
      </c>
      <c r="Q283" s="20" t="s">
        <v>1109</v>
      </c>
      <c r="R283" s="19" t="s">
        <v>1272</v>
      </c>
      <c r="S283" s="20" t="s">
        <v>1273</v>
      </c>
      <c r="T283" s="19" t="s">
        <v>1106</v>
      </c>
      <c r="U283" s="19" t="s">
        <v>464</v>
      </c>
    </row>
    <row r="284" spans="1:21" ht="14.5" x14ac:dyDescent="0.35">
      <c r="A284" s="18" t="str">
        <f t="shared" si="8"/>
        <v>ServiceBus/namespaces/queues(sbq-)</v>
      </c>
      <c r="B284" s="18" t="s">
        <v>1110</v>
      </c>
      <c r="C284" s="18" t="s">
        <v>278</v>
      </c>
      <c r="D284" s="18" t="s">
        <v>279</v>
      </c>
      <c r="E284" s="18" t="s">
        <v>280</v>
      </c>
      <c r="F284" s="18" t="str">
        <f t="shared" si="9"/>
        <v>sbq-</v>
      </c>
      <c r="G284" s="18" t="s">
        <v>753</v>
      </c>
      <c r="H284" s="18" t="s">
        <v>285</v>
      </c>
      <c r="I284" s="18" t="s">
        <v>473</v>
      </c>
      <c r="J284" s="18" t="s">
        <v>1112</v>
      </c>
      <c r="K284" s="18" t="s">
        <v>280</v>
      </c>
      <c r="L284" s="18" t="s">
        <v>280</v>
      </c>
      <c r="M284" s="18" t="s">
        <v>280</v>
      </c>
      <c r="N284" s="18" t="s">
        <v>280</v>
      </c>
      <c r="O284" s="18" t="s">
        <v>280</v>
      </c>
      <c r="P284" s="18" t="s">
        <v>1113</v>
      </c>
      <c r="Q284" s="21" t="s">
        <v>280</v>
      </c>
      <c r="R284" s="18" t="s">
        <v>1272</v>
      </c>
      <c r="S284" s="21" t="s">
        <v>1273</v>
      </c>
      <c r="T284" s="18" t="s">
        <v>1111</v>
      </c>
      <c r="U284" s="18" t="s">
        <v>464</v>
      </c>
    </row>
    <row r="285" spans="1:21" ht="14.5" x14ac:dyDescent="0.35">
      <c r="A285" s="19" t="str">
        <f t="shared" si="8"/>
        <v>ServiceBus/namespaces/queues/authorizationRules(rule-)</v>
      </c>
      <c r="B285" s="19" t="s">
        <v>1114</v>
      </c>
      <c r="C285" s="19" t="s">
        <v>278</v>
      </c>
      <c r="D285" s="19" t="s">
        <v>279</v>
      </c>
      <c r="E285" s="19" t="s">
        <v>280</v>
      </c>
      <c r="F285" s="19" t="str">
        <f t="shared" si="9"/>
        <v>rule-</v>
      </c>
      <c r="G285" s="19" t="s">
        <v>1115</v>
      </c>
      <c r="H285" s="19" t="s">
        <v>285</v>
      </c>
      <c r="I285" s="19" t="s">
        <v>286</v>
      </c>
      <c r="J285" s="19" t="s">
        <v>1102</v>
      </c>
      <c r="K285" s="19" t="s">
        <v>280</v>
      </c>
      <c r="L285" s="19" t="s">
        <v>280</v>
      </c>
      <c r="M285" s="19" t="s">
        <v>280</v>
      </c>
      <c r="N285" s="19" t="s">
        <v>280</v>
      </c>
      <c r="O285" s="19" t="s">
        <v>280</v>
      </c>
      <c r="P285" s="19" t="s">
        <v>755</v>
      </c>
      <c r="Q285" s="20" t="s">
        <v>280</v>
      </c>
      <c r="R285" s="19" t="s">
        <v>1272</v>
      </c>
      <c r="S285" s="20" t="s">
        <v>1273</v>
      </c>
      <c r="T285" s="19" t="s">
        <v>467</v>
      </c>
      <c r="U285" s="19" t="s">
        <v>464</v>
      </c>
    </row>
    <row r="286" spans="1:21" ht="14.5" x14ac:dyDescent="0.35">
      <c r="A286" s="18" t="str">
        <f t="shared" si="8"/>
        <v>ServiceBus/namespaces/topics(sbt-)</v>
      </c>
      <c r="B286" s="18" t="s">
        <v>1116</v>
      </c>
      <c r="C286" s="18" t="s">
        <v>278</v>
      </c>
      <c r="D286" s="18" t="s">
        <v>279</v>
      </c>
      <c r="E286" s="18" t="s">
        <v>280</v>
      </c>
      <c r="F286" s="18" t="str">
        <f t="shared" si="9"/>
        <v>sbt-</v>
      </c>
      <c r="G286" s="18" t="s">
        <v>753</v>
      </c>
      <c r="H286" s="18" t="s">
        <v>285</v>
      </c>
      <c r="I286" s="18" t="s">
        <v>473</v>
      </c>
      <c r="J286" s="18" t="s">
        <v>1112</v>
      </c>
      <c r="K286" s="18" t="s">
        <v>280</v>
      </c>
      <c r="L286" s="18" t="s">
        <v>280</v>
      </c>
      <c r="M286" s="18" t="s">
        <v>280</v>
      </c>
      <c r="N286" s="18" t="s">
        <v>280</v>
      </c>
      <c r="O286" s="18" t="s">
        <v>280</v>
      </c>
      <c r="P286" s="18" t="s">
        <v>1113</v>
      </c>
      <c r="Q286" s="21" t="s">
        <v>280</v>
      </c>
      <c r="R286" s="18" t="s">
        <v>1272</v>
      </c>
      <c r="S286" s="21" t="s">
        <v>1273</v>
      </c>
      <c r="T286" s="18" t="s">
        <v>1117</v>
      </c>
      <c r="U286" s="18" t="s">
        <v>464</v>
      </c>
    </row>
    <row r="287" spans="1:21" ht="14.5" x14ac:dyDescent="0.35">
      <c r="A287" s="19" t="str">
        <f t="shared" si="8"/>
        <v>ServiceBus/namespaces/topics/authorizationRules(rule-)</v>
      </c>
      <c r="B287" s="19" t="s">
        <v>1118</v>
      </c>
      <c r="C287" s="19" t="s">
        <v>278</v>
      </c>
      <c r="D287" s="19" t="s">
        <v>279</v>
      </c>
      <c r="E287" s="19" t="s">
        <v>280</v>
      </c>
      <c r="F287" s="19" t="str">
        <f t="shared" si="9"/>
        <v>rule-</v>
      </c>
      <c r="G287" s="19" t="s">
        <v>1119</v>
      </c>
      <c r="H287" s="19" t="s">
        <v>285</v>
      </c>
      <c r="I287" s="19" t="s">
        <v>286</v>
      </c>
      <c r="J287" s="19" t="s">
        <v>1102</v>
      </c>
      <c r="K287" s="19" t="s">
        <v>280</v>
      </c>
      <c r="L287" s="19" t="s">
        <v>280</v>
      </c>
      <c r="M287" s="19" t="s">
        <v>280</v>
      </c>
      <c r="N287" s="19" t="s">
        <v>280</v>
      </c>
      <c r="O287" s="19" t="s">
        <v>280</v>
      </c>
      <c r="P287" s="19" t="s">
        <v>755</v>
      </c>
      <c r="Q287" s="20" t="s">
        <v>280</v>
      </c>
      <c r="R287" s="19" t="s">
        <v>1272</v>
      </c>
      <c r="S287" s="20" t="s">
        <v>1273</v>
      </c>
      <c r="T287" s="19" t="s">
        <v>467</v>
      </c>
      <c r="U287" s="19" t="s">
        <v>464</v>
      </c>
    </row>
    <row r="288" spans="1:21" ht="14.5" x14ac:dyDescent="0.35">
      <c r="A288" s="18" t="str">
        <f t="shared" si="8"/>
        <v>ServiceBus/namespaces/topics/subscriptions(tsub-)</v>
      </c>
      <c r="B288" s="18" t="s">
        <v>1120</v>
      </c>
      <c r="C288" s="18" t="s">
        <v>278</v>
      </c>
      <c r="D288" s="18" t="s">
        <v>279</v>
      </c>
      <c r="E288" s="18" t="s">
        <v>280</v>
      </c>
      <c r="F288" s="18" t="str">
        <f t="shared" si="9"/>
        <v>tsub-</v>
      </c>
      <c r="G288" s="18" t="s">
        <v>1119</v>
      </c>
      <c r="H288" s="18" t="s">
        <v>285</v>
      </c>
      <c r="I288" s="18" t="s">
        <v>286</v>
      </c>
      <c r="J288" s="18" t="s">
        <v>1102</v>
      </c>
      <c r="K288" s="18" t="s">
        <v>280</v>
      </c>
      <c r="L288" s="18" t="s">
        <v>280</v>
      </c>
      <c r="M288" s="18" t="s">
        <v>280</v>
      </c>
      <c r="N288" s="18" t="s">
        <v>280</v>
      </c>
      <c r="O288" s="18" t="s">
        <v>280</v>
      </c>
      <c r="P288" s="18" t="s">
        <v>755</v>
      </c>
      <c r="Q288" s="21" t="s">
        <v>280</v>
      </c>
      <c r="R288" s="18" t="s">
        <v>1272</v>
      </c>
      <c r="S288" s="21" t="s">
        <v>1273</v>
      </c>
      <c r="T288" s="18" t="s">
        <v>1121</v>
      </c>
      <c r="U288" s="18" t="s">
        <v>464</v>
      </c>
    </row>
    <row r="289" spans="1:21" ht="14.5" x14ac:dyDescent="0.35">
      <c r="A289" s="19" t="str">
        <f t="shared" si="8"/>
        <v>ServiceBus/namespaces/topics/subscriptions/rules(rule-)</v>
      </c>
      <c r="B289" s="19" t="s">
        <v>1122</v>
      </c>
      <c r="C289" s="19" t="s">
        <v>278</v>
      </c>
      <c r="D289" s="19" t="s">
        <v>279</v>
      </c>
      <c r="E289" s="19" t="s">
        <v>280</v>
      </c>
      <c r="F289" s="19" t="str">
        <f t="shared" si="9"/>
        <v>rule-</v>
      </c>
      <c r="G289" s="19" t="s">
        <v>1080</v>
      </c>
      <c r="H289" s="19" t="s">
        <v>285</v>
      </c>
      <c r="I289" s="19" t="s">
        <v>286</v>
      </c>
      <c r="J289" s="19" t="s">
        <v>1102</v>
      </c>
      <c r="K289" s="19" t="s">
        <v>280</v>
      </c>
      <c r="L289" s="19" t="s">
        <v>280</v>
      </c>
      <c r="M289" s="19" t="s">
        <v>280</v>
      </c>
      <c r="N289" s="19" t="s">
        <v>280</v>
      </c>
      <c r="O289" s="19" t="s">
        <v>280</v>
      </c>
      <c r="P289" s="19" t="s">
        <v>755</v>
      </c>
      <c r="Q289" s="20" t="s">
        <v>280</v>
      </c>
      <c r="R289" s="19" t="s">
        <v>1272</v>
      </c>
      <c r="S289" s="20" t="s">
        <v>1273</v>
      </c>
      <c r="T289" s="19" t="s">
        <v>467</v>
      </c>
      <c r="U289" s="19" t="s">
        <v>464</v>
      </c>
    </row>
    <row r="290" spans="1:21" ht="14.5" x14ac:dyDescent="0.35">
      <c r="A290" s="18" t="str">
        <f t="shared" si="8"/>
        <v>ServiceFabric/clusters(sf-)</v>
      </c>
      <c r="B290" s="18" t="s">
        <v>1123</v>
      </c>
      <c r="C290" s="18" t="s">
        <v>278</v>
      </c>
      <c r="D290" s="18" t="s">
        <v>279</v>
      </c>
      <c r="E290" s="18" t="s">
        <v>280</v>
      </c>
      <c r="F290" s="18" t="str">
        <f t="shared" si="9"/>
        <v>sf-</v>
      </c>
      <c r="G290" s="18" t="s">
        <v>419</v>
      </c>
      <c r="H290" s="18" t="s">
        <v>826</v>
      </c>
      <c r="I290" s="18" t="s">
        <v>1125</v>
      </c>
      <c r="J290" s="18" t="s">
        <v>1126</v>
      </c>
      <c r="K290" s="18" t="s">
        <v>280</v>
      </c>
      <c r="L290" s="18" t="s">
        <v>280</v>
      </c>
      <c r="M290" s="18" t="s">
        <v>280</v>
      </c>
      <c r="N290" s="18" t="s">
        <v>280</v>
      </c>
      <c r="O290" s="18" t="s">
        <v>280</v>
      </c>
      <c r="P290" s="18" t="s">
        <v>1127</v>
      </c>
      <c r="Q290" s="21" t="s">
        <v>280</v>
      </c>
      <c r="R290" s="18" t="s">
        <v>1272</v>
      </c>
      <c r="S290" s="21" t="s">
        <v>1273</v>
      </c>
      <c r="T290" s="18" t="s">
        <v>1124</v>
      </c>
      <c r="U290" s="18" t="s">
        <v>464</v>
      </c>
    </row>
    <row r="291" spans="1:21" ht="14.5" x14ac:dyDescent="0.35">
      <c r="A291" s="19" t="str">
        <f t="shared" si="8"/>
        <v>SignalRService/signalR(sigr-)</v>
      </c>
      <c r="B291" s="19" t="s">
        <v>1128</v>
      </c>
      <c r="C291" s="19" t="s">
        <v>278</v>
      </c>
      <c r="D291" s="19" t="s">
        <v>279</v>
      </c>
      <c r="E291" s="19" t="s">
        <v>280</v>
      </c>
      <c r="F291" s="19" t="str">
        <f t="shared" si="9"/>
        <v>sigr-</v>
      </c>
      <c r="G291" s="19" t="s">
        <v>80</v>
      </c>
      <c r="H291" s="19" t="s">
        <v>281</v>
      </c>
      <c r="I291" s="19" t="s">
        <v>282</v>
      </c>
      <c r="J291" s="19" t="s">
        <v>393</v>
      </c>
      <c r="K291" s="19" t="s">
        <v>280</v>
      </c>
      <c r="L291" s="19" t="s">
        <v>280</v>
      </c>
      <c r="M291" s="19" t="s">
        <v>280</v>
      </c>
      <c r="N291" s="19" t="s">
        <v>280</v>
      </c>
      <c r="O291" s="19" t="s">
        <v>280</v>
      </c>
      <c r="P291" s="19" t="s">
        <v>1129</v>
      </c>
      <c r="Q291" s="20" t="s">
        <v>280</v>
      </c>
      <c r="R291" s="19" t="s">
        <v>1272</v>
      </c>
      <c r="S291" s="20" t="s">
        <v>1273</v>
      </c>
      <c r="T291" s="19" t="s">
        <v>73</v>
      </c>
      <c r="U291" s="19" t="s">
        <v>464</v>
      </c>
    </row>
    <row r="292" spans="1:21" ht="14.5" x14ac:dyDescent="0.35">
      <c r="A292" s="18" t="str">
        <f t="shared" si="8"/>
        <v>Sql/managedInstances(sqlmi-)</v>
      </c>
      <c r="B292" s="18" t="s">
        <v>1130</v>
      </c>
      <c r="C292" s="18" t="s">
        <v>278</v>
      </c>
      <c r="D292" s="18" t="s">
        <v>279</v>
      </c>
      <c r="E292" s="18" t="s">
        <v>280</v>
      </c>
      <c r="F292" s="18" t="str">
        <f t="shared" si="9"/>
        <v>sqlmi-</v>
      </c>
      <c r="G292" s="18" t="s">
        <v>80</v>
      </c>
      <c r="H292" s="18" t="s">
        <v>285</v>
      </c>
      <c r="I292" s="18" t="s">
        <v>282</v>
      </c>
      <c r="J292" s="18" t="s">
        <v>544</v>
      </c>
      <c r="K292" s="18" t="s">
        <v>676</v>
      </c>
      <c r="L292" s="18" t="s">
        <v>280</v>
      </c>
      <c r="M292" s="18" t="s">
        <v>464</v>
      </c>
      <c r="N292" s="18" t="s">
        <v>464</v>
      </c>
      <c r="O292" s="18" t="s">
        <v>280</v>
      </c>
      <c r="P292" s="18" t="s">
        <v>1132</v>
      </c>
      <c r="Q292" s="21" t="s">
        <v>280</v>
      </c>
      <c r="R292" s="18" t="s">
        <v>1272</v>
      </c>
      <c r="S292" s="21" t="s">
        <v>1273</v>
      </c>
      <c r="T292" s="18" t="s">
        <v>1131</v>
      </c>
      <c r="U292" s="18" t="s">
        <v>464</v>
      </c>
    </row>
    <row r="293" spans="1:21" ht="14.5" x14ac:dyDescent="0.35">
      <c r="A293" s="19" t="str">
        <f t="shared" si="8"/>
        <v>Sql/serversAzure SQL Data Warehouse(sqldw-)</v>
      </c>
      <c r="B293" s="19" t="s">
        <v>1133</v>
      </c>
      <c r="C293" s="19" t="s">
        <v>278</v>
      </c>
      <c r="D293" s="19" t="s">
        <v>279</v>
      </c>
      <c r="E293" s="19" t="s">
        <v>74</v>
      </c>
      <c r="F293" s="19" t="str">
        <f t="shared" si="9"/>
        <v>sqldw-</v>
      </c>
      <c r="G293" s="19" t="s">
        <v>80</v>
      </c>
      <c r="H293" s="19" t="s">
        <v>285</v>
      </c>
      <c r="I293" s="19" t="s">
        <v>282</v>
      </c>
      <c r="J293" s="19" t="s">
        <v>544</v>
      </c>
      <c r="K293" s="19" t="s">
        <v>676</v>
      </c>
      <c r="L293" s="19" t="s">
        <v>280</v>
      </c>
      <c r="M293" s="19" t="s">
        <v>464</v>
      </c>
      <c r="N293" s="19" t="s">
        <v>464</v>
      </c>
      <c r="O293" s="19" t="s">
        <v>280</v>
      </c>
      <c r="P293" s="19" t="s">
        <v>1132</v>
      </c>
      <c r="Q293" s="20" t="s">
        <v>280</v>
      </c>
      <c r="R293" s="19" t="s">
        <v>1272</v>
      </c>
      <c r="S293" s="20" t="s">
        <v>1273</v>
      </c>
      <c r="T293" s="19" t="s">
        <v>1134</v>
      </c>
      <c r="U293" s="19" t="s">
        <v>464</v>
      </c>
    </row>
    <row r="294" spans="1:21" ht="14.5" x14ac:dyDescent="0.35">
      <c r="A294" s="18" t="str">
        <f t="shared" si="8"/>
        <v>Sql/serversAzure SQL Database Server(sql-)</v>
      </c>
      <c r="B294" s="18" t="s">
        <v>1133</v>
      </c>
      <c r="C294" s="18" t="s">
        <v>278</v>
      </c>
      <c r="D294" s="18" t="s">
        <v>279</v>
      </c>
      <c r="E294" s="18" t="s">
        <v>1135</v>
      </c>
      <c r="F294" s="18" t="str">
        <f t="shared" si="9"/>
        <v>sql-</v>
      </c>
      <c r="G294" s="18" t="s">
        <v>80</v>
      </c>
      <c r="H294" s="18" t="s">
        <v>285</v>
      </c>
      <c r="I294" s="18" t="s">
        <v>282</v>
      </c>
      <c r="J294" s="18" t="s">
        <v>544</v>
      </c>
      <c r="K294" s="18" t="s">
        <v>676</v>
      </c>
      <c r="L294" s="18" t="s">
        <v>280</v>
      </c>
      <c r="M294" s="18" t="s">
        <v>464</v>
      </c>
      <c r="N294" s="18" t="s">
        <v>464</v>
      </c>
      <c r="O294" s="18" t="s">
        <v>280</v>
      </c>
      <c r="P294" s="18" t="s">
        <v>1132</v>
      </c>
      <c r="Q294" s="21" t="s">
        <v>280</v>
      </c>
      <c r="R294" s="18" t="s">
        <v>1272</v>
      </c>
      <c r="S294" s="21" t="s">
        <v>1273</v>
      </c>
      <c r="T294" s="18" t="s">
        <v>1136</v>
      </c>
      <c r="U294" s="18" t="s">
        <v>464</v>
      </c>
    </row>
    <row r="295" spans="1:21" ht="14.5" x14ac:dyDescent="0.35">
      <c r="A295" s="19" t="str">
        <f t="shared" si="8"/>
        <v>Sql/servers/administrators(sqlsa-)</v>
      </c>
      <c r="B295" s="19" t="s">
        <v>1137</v>
      </c>
      <c r="C295" s="19" t="s">
        <v>278</v>
      </c>
      <c r="D295" s="19" t="s">
        <v>279</v>
      </c>
      <c r="E295" s="19" t="s">
        <v>280</v>
      </c>
      <c r="F295" s="19" t="str">
        <f t="shared" si="9"/>
        <v>sqlsa-</v>
      </c>
      <c r="G295" s="19" t="s">
        <v>1139</v>
      </c>
      <c r="H295" s="19" t="s">
        <v>280</v>
      </c>
      <c r="I295" s="19" t="s">
        <v>280</v>
      </c>
      <c r="J295" s="19" t="s">
        <v>1140</v>
      </c>
      <c r="K295" s="19" t="s">
        <v>280</v>
      </c>
      <c r="L295" s="19" t="s">
        <v>280</v>
      </c>
      <c r="M295" s="19" t="s">
        <v>280</v>
      </c>
      <c r="N295" s="19" t="s">
        <v>280</v>
      </c>
      <c r="O295" s="19" t="s">
        <v>280</v>
      </c>
      <c r="P295" s="19" t="s">
        <v>1141</v>
      </c>
      <c r="Q295" s="20" t="s">
        <v>1142</v>
      </c>
      <c r="R295" s="19" t="s">
        <v>1272</v>
      </c>
      <c r="S295" s="20" t="s">
        <v>1273</v>
      </c>
      <c r="T295" s="19" t="s">
        <v>1138</v>
      </c>
      <c r="U295" s="19" t="s">
        <v>464</v>
      </c>
    </row>
    <row r="296" spans="1:21" ht="14.5" x14ac:dyDescent="0.35">
      <c r="A296" s="18" t="str">
        <f t="shared" si="8"/>
        <v>Sql/servers/databases(sqldb-)</v>
      </c>
      <c r="B296" s="18" t="s">
        <v>1143</v>
      </c>
      <c r="C296" s="18" t="s">
        <v>278</v>
      </c>
      <c r="D296" s="18" t="s">
        <v>279</v>
      </c>
      <c r="E296" s="18" t="s">
        <v>280</v>
      </c>
      <c r="F296" s="18" t="str">
        <f t="shared" si="9"/>
        <v>sqldb-</v>
      </c>
      <c r="G296" s="18" t="s">
        <v>1139</v>
      </c>
      <c r="H296" s="18" t="s">
        <v>285</v>
      </c>
      <c r="I296" s="18" t="s">
        <v>382</v>
      </c>
      <c r="J296" s="18" t="s">
        <v>280</v>
      </c>
      <c r="K296" s="18" t="s">
        <v>1145</v>
      </c>
      <c r="L296" s="18" t="s">
        <v>1146</v>
      </c>
      <c r="M296" s="18" t="s">
        <v>280</v>
      </c>
      <c r="N296" s="18" t="s">
        <v>376</v>
      </c>
      <c r="O296" s="18" t="s">
        <v>280</v>
      </c>
      <c r="P296" s="18" t="s">
        <v>1147</v>
      </c>
      <c r="Q296" s="21" t="s">
        <v>280</v>
      </c>
      <c r="R296" s="18" t="s">
        <v>1272</v>
      </c>
      <c r="S296" s="21" t="s">
        <v>1273</v>
      </c>
      <c r="T296" s="18" t="s">
        <v>1144</v>
      </c>
      <c r="U296" s="18" t="s">
        <v>464</v>
      </c>
    </row>
    <row r="297" spans="1:21" ht="14.5" x14ac:dyDescent="0.35">
      <c r="A297" s="19" t="str">
        <f t="shared" si="8"/>
        <v>Sql/servers/databases/syncGroups(sqlsg-)</v>
      </c>
      <c r="B297" s="19" t="s">
        <v>1148</v>
      </c>
      <c r="C297" s="19" t="s">
        <v>278</v>
      </c>
      <c r="D297" s="19" t="s">
        <v>279</v>
      </c>
      <c r="E297" s="19" t="s">
        <v>280</v>
      </c>
      <c r="F297" s="19" t="str">
        <f t="shared" si="9"/>
        <v>sqlsg-</v>
      </c>
      <c r="G297" s="19" t="s">
        <v>836</v>
      </c>
      <c r="H297" s="19" t="s">
        <v>285</v>
      </c>
      <c r="I297" s="19" t="s">
        <v>1053</v>
      </c>
      <c r="J297" s="19" t="s">
        <v>559</v>
      </c>
      <c r="K297" s="19" t="s">
        <v>280</v>
      </c>
      <c r="L297" s="19" t="s">
        <v>280</v>
      </c>
      <c r="M297" s="19" t="s">
        <v>280</v>
      </c>
      <c r="N297" s="19" t="s">
        <v>280</v>
      </c>
      <c r="O297" s="19" t="s">
        <v>280</v>
      </c>
      <c r="P297" s="19" t="s">
        <v>1150</v>
      </c>
      <c r="Q297" s="20" t="s">
        <v>280</v>
      </c>
      <c r="R297" s="19" t="s">
        <v>1272</v>
      </c>
      <c r="S297" s="20" t="s">
        <v>1273</v>
      </c>
      <c r="T297" s="19" t="s">
        <v>1149</v>
      </c>
      <c r="U297" s="19" t="s">
        <v>464</v>
      </c>
    </row>
    <row r="298" spans="1:21" ht="14.5" x14ac:dyDescent="0.35">
      <c r="A298" s="18" t="str">
        <f t="shared" si="8"/>
        <v>Sql/servers/elasticPools(sqlep-)</v>
      </c>
      <c r="B298" s="18" t="s">
        <v>1151</v>
      </c>
      <c r="C298" s="18" t="s">
        <v>278</v>
      </c>
      <c r="D298" s="18" t="s">
        <v>279</v>
      </c>
      <c r="E298" s="18" t="s">
        <v>280</v>
      </c>
      <c r="F298" s="18" t="str">
        <f t="shared" si="9"/>
        <v>sqlep-</v>
      </c>
      <c r="G298" s="18" t="s">
        <v>1139</v>
      </c>
      <c r="H298" s="18" t="s">
        <v>285</v>
      </c>
      <c r="I298" s="18" t="s">
        <v>382</v>
      </c>
      <c r="J298" s="18" t="s">
        <v>280</v>
      </c>
      <c r="K298" s="18" t="s">
        <v>1145</v>
      </c>
      <c r="L298" s="18" t="s">
        <v>1146</v>
      </c>
      <c r="M298" s="18" t="s">
        <v>280</v>
      </c>
      <c r="N298" s="18" t="s">
        <v>376</v>
      </c>
      <c r="O298" s="18" t="s">
        <v>280</v>
      </c>
      <c r="P298" s="18" t="s">
        <v>1147</v>
      </c>
      <c r="Q298" s="21" t="s">
        <v>280</v>
      </c>
      <c r="R298" s="18" t="s">
        <v>1272</v>
      </c>
      <c r="S298" s="21" t="s">
        <v>1273</v>
      </c>
      <c r="T298" s="18" t="s">
        <v>1152</v>
      </c>
      <c r="U298" s="18" t="s">
        <v>464</v>
      </c>
    </row>
    <row r="299" spans="1:21" ht="14.5" x14ac:dyDescent="0.35">
      <c r="A299" s="19" t="str">
        <f t="shared" si="8"/>
        <v>Sql/servers/failoverGroups(sqlfg-)</v>
      </c>
      <c r="B299" s="19" t="s">
        <v>1153</v>
      </c>
      <c r="C299" s="19" t="s">
        <v>278</v>
      </c>
      <c r="D299" s="19" t="s">
        <v>279</v>
      </c>
      <c r="E299" s="19" t="s">
        <v>280</v>
      </c>
      <c r="F299" s="19" t="str">
        <f t="shared" si="9"/>
        <v>sqlfg-</v>
      </c>
      <c r="G299" s="19" t="s">
        <v>80</v>
      </c>
      <c r="H299" s="19" t="s">
        <v>285</v>
      </c>
      <c r="I299" s="19" t="s">
        <v>282</v>
      </c>
      <c r="J299" s="19" t="s">
        <v>544</v>
      </c>
      <c r="K299" s="19" t="s">
        <v>676</v>
      </c>
      <c r="L299" s="19" t="s">
        <v>280</v>
      </c>
      <c r="M299" s="19" t="s">
        <v>464</v>
      </c>
      <c r="N299" s="19" t="s">
        <v>464</v>
      </c>
      <c r="O299" s="19" t="s">
        <v>280</v>
      </c>
      <c r="P299" s="19" t="s">
        <v>1132</v>
      </c>
      <c r="Q299" s="20" t="s">
        <v>280</v>
      </c>
      <c r="R299" s="19" t="s">
        <v>1272</v>
      </c>
      <c r="S299" s="20" t="s">
        <v>1273</v>
      </c>
      <c r="T299" s="19" t="s">
        <v>1154</v>
      </c>
      <c r="U299" s="19" t="s">
        <v>464</v>
      </c>
    </row>
    <row r="300" spans="1:21" ht="14.5" x14ac:dyDescent="0.35">
      <c r="A300" s="18" t="str">
        <f t="shared" si="8"/>
        <v>Sql/servers/firewallRules(sqlfw-)</v>
      </c>
      <c r="B300" s="18" t="s">
        <v>1155</v>
      </c>
      <c r="C300" s="18" t="s">
        <v>278</v>
      </c>
      <c r="D300" s="18" t="s">
        <v>279</v>
      </c>
      <c r="E300" s="18" t="s">
        <v>280</v>
      </c>
      <c r="F300" s="18" t="str">
        <f t="shared" si="9"/>
        <v>sqlfw-</v>
      </c>
      <c r="G300" s="18" t="s">
        <v>1139</v>
      </c>
      <c r="H300" s="18" t="s">
        <v>285</v>
      </c>
      <c r="I300" s="18" t="s">
        <v>382</v>
      </c>
      <c r="J300" s="18" t="s">
        <v>280</v>
      </c>
      <c r="K300" s="18" t="s">
        <v>1157</v>
      </c>
      <c r="L300" s="18" t="s">
        <v>1158</v>
      </c>
      <c r="M300" s="18" t="s">
        <v>280</v>
      </c>
      <c r="N300" s="18" t="s">
        <v>368</v>
      </c>
      <c r="O300" s="18" t="s">
        <v>280</v>
      </c>
      <c r="P300" s="18" t="s">
        <v>1159</v>
      </c>
      <c r="Q300" s="21" t="s">
        <v>280</v>
      </c>
      <c r="R300" s="18" t="s">
        <v>1272</v>
      </c>
      <c r="S300" s="21" t="s">
        <v>1273</v>
      </c>
      <c r="T300" s="18" t="s">
        <v>1156</v>
      </c>
      <c r="U300" s="18" t="s">
        <v>464</v>
      </c>
    </row>
    <row r="301" spans="1:21" ht="14.5" x14ac:dyDescent="0.35">
      <c r="A301" s="19" t="str">
        <f t="shared" si="8"/>
        <v>Storage/blob(sbl-)</v>
      </c>
      <c r="B301" s="19" t="s">
        <v>1160</v>
      </c>
      <c r="C301" s="19" t="s">
        <v>278</v>
      </c>
      <c r="D301" s="19" t="s">
        <v>279</v>
      </c>
      <c r="E301" s="19" t="s">
        <v>280</v>
      </c>
      <c r="F301" s="19" t="str">
        <f t="shared" si="9"/>
        <v>sbl-</v>
      </c>
      <c r="G301" s="19" t="s">
        <v>1162</v>
      </c>
      <c r="H301" s="19" t="s">
        <v>285</v>
      </c>
      <c r="I301" s="19" t="s">
        <v>1163</v>
      </c>
      <c r="J301" s="19" t="s">
        <v>1164</v>
      </c>
      <c r="K301" s="19" t="s">
        <v>280</v>
      </c>
      <c r="L301" s="19" t="s">
        <v>280</v>
      </c>
      <c r="M301" s="19" t="s">
        <v>280</v>
      </c>
      <c r="N301" s="19" t="s">
        <v>280</v>
      </c>
      <c r="O301" s="19" t="s">
        <v>280</v>
      </c>
      <c r="P301" s="19" t="s">
        <v>1165</v>
      </c>
      <c r="Q301" s="20" t="s">
        <v>280</v>
      </c>
      <c r="R301" s="19" t="s">
        <v>1272</v>
      </c>
      <c r="S301" s="20" t="s">
        <v>1273</v>
      </c>
      <c r="T301" s="19" t="s">
        <v>1161</v>
      </c>
      <c r="U301" s="19" t="s">
        <v>464</v>
      </c>
    </row>
    <row r="302" spans="1:21" ht="14.5" x14ac:dyDescent="0.35">
      <c r="A302" s="18" t="str">
        <f t="shared" si="8"/>
        <v>Storage/queue(squ-)</v>
      </c>
      <c r="B302" s="18" t="s">
        <v>1166</v>
      </c>
      <c r="C302" s="18" t="s">
        <v>278</v>
      </c>
      <c r="D302" s="18" t="s">
        <v>279</v>
      </c>
      <c r="E302" s="18" t="s">
        <v>280</v>
      </c>
      <c r="F302" s="18" t="str">
        <f t="shared" si="9"/>
        <v>squ-</v>
      </c>
      <c r="G302" s="18" t="s">
        <v>1168</v>
      </c>
      <c r="H302" s="18" t="s">
        <v>281</v>
      </c>
      <c r="I302" s="18" t="s">
        <v>282</v>
      </c>
      <c r="J302" s="18" t="s">
        <v>544</v>
      </c>
      <c r="K302" s="18" t="s">
        <v>1169</v>
      </c>
      <c r="L302" s="18" t="s">
        <v>280</v>
      </c>
      <c r="M302" s="18" t="s">
        <v>464</v>
      </c>
      <c r="N302" s="18" t="s">
        <v>464</v>
      </c>
      <c r="O302" s="18" t="s">
        <v>464</v>
      </c>
      <c r="P302" s="18" t="s">
        <v>1170</v>
      </c>
      <c r="Q302" s="21" t="s">
        <v>280</v>
      </c>
      <c r="R302" s="18" t="s">
        <v>1272</v>
      </c>
      <c r="S302" s="21" t="s">
        <v>1273</v>
      </c>
      <c r="T302" s="18" t="s">
        <v>1167</v>
      </c>
      <c r="U302" s="18" t="s">
        <v>464</v>
      </c>
    </row>
    <row r="303" spans="1:21" ht="14.5" x14ac:dyDescent="0.35">
      <c r="A303" s="19" t="str">
        <f t="shared" si="8"/>
        <v>Storage/storageAccountsVM Storage Account(stvm)</v>
      </c>
      <c r="B303" s="19" t="s">
        <v>1171</v>
      </c>
      <c r="C303" s="19" t="s">
        <v>278</v>
      </c>
      <c r="D303" s="19" t="s">
        <v>279</v>
      </c>
      <c r="E303" s="19" t="s">
        <v>1172</v>
      </c>
      <c r="F303" s="19" t="str">
        <f t="shared" si="9"/>
        <v>stvm</v>
      </c>
      <c r="G303" s="19" t="s">
        <v>80</v>
      </c>
      <c r="H303" s="19" t="s">
        <v>281</v>
      </c>
      <c r="I303" s="19" t="s">
        <v>373</v>
      </c>
      <c r="J303" s="19" t="s">
        <v>420</v>
      </c>
      <c r="K303" s="19" t="s">
        <v>280</v>
      </c>
      <c r="L303" s="19" t="s">
        <v>280</v>
      </c>
      <c r="M303" s="19" t="s">
        <v>280</v>
      </c>
      <c r="N303" s="19" t="s">
        <v>280</v>
      </c>
      <c r="O303" s="19" t="s">
        <v>280</v>
      </c>
      <c r="P303" s="19" t="s">
        <v>421</v>
      </c>
      <c r="Q303" s="20" t="s">
        <v>280</v>
      </c>
      <c r="R303" s="19" t="s">
        <v>1272</v>
      </c>
      <c r="S303" s="20" t="s">
        <v>1273</v>
      </c>
      <c r="T303" s="19" t="s">
        <v>57</v>
      </c>
      <c r="U303" s="19"/>
    </row>
    <row r="304" spans="1:21" ht="14.5" x14ac:dyDescent="0.35">
      <c r="A304" s="18" t="str">
        <f t="shared" si="8"/>
        <v>Storage/storageAccounts(st)</v>
      </c>
      <c r="B304" s="18" t="s">
        <v>1171</v>
      </c>
      <c r="C304" s="18" t="s">
        <v>278</v>
      </c>
      <c r="D304" s="18" t="s">
        <v>279</v>
      </c>
      <c r="E304" s="18" t="s">
        <v>280</v>
      </c>
      <c r="F304" s="18" t="str">
        <f t="shared" si="9"/>
        <v>st</v>
      </c>
      <c r="G304" s="18" t="s">
        <v>80</v>
      </c>
      <c r="H304" s="18" t="s">
        <v>281</v>
      </c>
      <c r="I304" s="18" t="s">
        <v>373</v>
      </c>
      <c r="J304" s="18" t="s">
        <v>420</v>
      </c>
      <c r="K304" s="18" t="s">
        <v>280</v>
      </c>
      <c r="L304" s="18" t="s">
        <v>280</v>
      </c>
      <c r="M304" s="18" t="s">
        <v>280</v>
      </c>
      <c r="N304" s="18" t="s">
        <v>280</v>
      </c>
      <c r="O304" s="18" t="s">
        <v>280</v>
      </c>
      <c r="P304" s="18" t="s">
        <v>421</v>
      </c>
      <c r="Q304" s="21" t="s">
        <v>280</v>
      </c>
      <c r="R304" s="18" t="s">
        <v>1272</v>
      </c>
      <c r="S304" s="21" t="s">
        <v>1273</v>
      </c>
      <c r="T304" s="18" t="s">
        <v>65</v>
      </c>
      <c r="U304" s="18"/>
    </row>
    <row r="305" spans="1:21" ht="14.5" x14ac:dyDescent="0.35">
      <c r="A305" s="19" t="str">
        <f t="shared" si="8"/>
        <v>Storage/storageAccounts/blobServices(stbl)</v>
      </c>
      <c r="B305" s="19" t="s">
        <v>1173</v>
      </c>
      <c r="C305" s="19" t="s">
        <v>278</v>
      </c>
      <c r="D305" s="19" t="s">
        <v>279</v>
      </c>
      <c r="E305" s="19" t="s">
        <v>280</v>
      </c>
      <c r="F305" s="19" t="str">
        <f t="shared" si="9"/>
        <v>stbl</v>
      </c>
      <c r="G305" s="19" t="s">
        <v>1168</v>
      </c>
      <c r="H305" s="19" t="s">
        <v>280</v>
      </c>
      <c r="I305" s="19" t="s">
        <v>280</v>
      </c>
      <c r="J305" s="19" t="s">
        <v>1175</v>
      </c>
      <c r="K305" s="19" t="s">
        <v>280</v>
      </c>
      <c r="L305" s="19" t="s">
        <v>280</v>
      </c>
      <c r="M305" s="19" t="s">
        <v>280</v>
      </c>
      <c r="N305" s="19" t="s">
        <v>280</v>
      </c>
      <c r="O305" s="19" t="s">
        <v>280</v>
      </c>
      <c r="P305" s="19" t="s">
        <v>1176</v>
      </c>
      <c r="Q305" s="20" t="s">
        <v>1177</v>
      </c>
      <c r="R305" s="19" t="s">
        <v>1264</v>
      </c>
      <c r="S305" s="20" t="s">
        <v>1264</v>
      </c>
      <c r="T305" s="19" t="s">
        <v>1174</v>
      </c>
      <c r="U305" s="19"/>
    </row>
    <row r="306" spans="1:21" ht="14.5" x14ac:dyDescent="0.35">
      <c r="A306" s="18" t="str">
        <f t="shared" si="8"/>
        <v>Storage/storageAccounts/blobServices/containers(stblc)</v>
      </c>
      <c r="B306" s="18" t="s">
        <v>1178</v>
      </c>
      <c r="C306" s="18" t="s">
        <v>278</v>
      </c>
      <c r="D306" s="18" t="s">
        <v>279</v>
      </c>
      <c r="E306" s="18" t="s">
        <v>280</v>
      </c>
      <c r="F306" s="18" t="str">
        <f t="shared" si="9"/>
        <v>stblc</v>
      </c>
      <c r="G306" s="18" t="s">
        <v>1168</v>
      </c>
      <c r="H306" s="18" t="s">
        <v>281</v>
      </c>
      <c r="I306" s="18" t="s">
        <v>282</v>
      </c>
      <c r="J306" s="18" t="s">
        <v>1180</v>
      </c>
      <c r="K306" s="18" t="s">
        <v>1181</v>
      </c>
      <c r="L306" s="18" t="s">
        <v>280</v>
      </c>
      <c r="M306" s="18" t="s">
        <v>280</v>
      </c>
      <c r="N306" s="18" t="s">
        <v>280</v>
      </c>
      <c r="O306" s="18" t="s">
        <v>464</v>
      </c>
      <c r="P306" s="18" t="s">
        <v>1182</v>
      </c>
      <c r="Q306" s="21" t="s">
        <v>280</v>
      </c>
      <c r="R306" s="18" t="s">
        <v>1272</v>
      </c>
      <c r="S306" s="21" t="s">
        <v>1273</v>
      </c>
      <c r="T306" s="18" t="s">
        <v>1179</v>
      </c>
      <c r="U306" s="18"/>
    </row>
    <row r="307" spans="1:21" ht="14.5" x14ac:dyDescent="0.35">
      <c r="A307" s="19" t="str">
        <f t="shared" si="8"/>
        <v>Storage/storageAccounts/fileServices(stfs)</v>
      </c>
      <c r="B307" s="19" t="s">
        <v>1183</v>
      </c>
      <c r="C307" s="19" t="s">
        <v>278</v>
      </c>
      <c r="D307" s="19" t="s">
        <v>279</v>
      </c>
      <c r="E307" s="19" t="s">
        <v>280</v>
      </c>
      <c r="F307" s="19" t="str">
        <f t="shared" si="9"/>
        <v>stfs</v>
      </c>
      <c r="G307" s="19" t="s">
        <v>1168</v>
      </c>
      <c r="H307" s="19" t="s">
        <v>280</v>
      </c>
      <c r="I307" s="19" t="s">
        <v>280</v>
      </c>
      <c r="J307" s="19" t="s">
        <v>1175</v>
      </c>
      <c r="K307" s="19" t="s">
        <v>280</v>
      </c>
      <c r="L307" s="19" t="s">
        <v>280</v>
      </c>
      <c r="M307" s="19" t="s">
        <v>280</v>
      </c>
      <c r="N307" s="19" t="s">
        <v>280</v>
      </c>
      <c r="O307" s="19" t="s">
        <v>280</v>
      </c>
      <c r="P307" s="19" t="s">
        <v>1176</v>
      </c>
      <c r="Q307" s="20" t="s">
        <v>1177</v>
      </c>
      <c r="R307" s="19" t="s">
        <v>1272</v>
      </c>
      <c r="S307" s="20" t="s">
        <v>1273</v>
      </c>
      <c r="T307" s="19" t="s">
        <v>1184</v>
      </c>
      <c r="U307" s="19"/>
    </row>
    <row r="308" spans="1:21" ht="14.5" x14ac:dyDescent="0.35">
      <c r="A308" s="18" t="str">
        <f t="shared" si="8"/>
        <v>Storage/storageAccounts/fileServices/shares(stfss)</v>
      </c>
      <c r="B308" s="18" t="s">
        <v>1185</v>
      </c>
      <c r="C308" s="18" t="s">
        <v>278</v>
      </c>
      <c r="D308" s="18" t="s">
        <v>279</v>
      </c>
      <c r="E308" s="18" t="s">
        <v>280</v>
      </c>
      <c r="F308" s="18" t="str">
        <f t="shared" si="9"/>
        <v>stfss</v>
      </c>
      <c r="G308" s="18" t="s">
        <v>1168</v>
      </c>
      <c r="H308" s="18" t="s">
        <v>281</v>
      </c>
      <c r="I308" s="18" t="s">
        <v>282</v>
      </c>
      <c r="J308" s="18" t="s">
        <v>544</v>
      </c>
      <c r="K308" s="18" t="s">
        <v>1169</v>
      </c>
      <c r="L308" s="18" t="s">
        <v>280</v>
      </c>
      <c r="M308" s="18" t="s">
        <v>464</v>
      </c>
      <c r="N308" s="18" t="s">
        <v>464</v>
      </c>
      <c r="O308" s="18" t="s">
        <v>464</v>
      </c>
      <c r="P308" s="18" t="s">
        <v>1170</v>
      </c>
      <c r="Q308" s="21" t="s">
        <v>280</v>
      </c>
      <c r="R308" s="18" t="s">
        <v>1272</v>
      </c>
      <c r="S308" s="21" t="s">
        <v>1273</v>
      </c>
      <c r="T308" s="18" t="s">
        <v>1186</v>
      </c>
      <c r="U308" s="18"/>
    </row>
    <row r="309" spans="1:21" ht="14.5" x14ac:dyDescent="0.35">
      <c r="A309" s="19" t="str">
        <f t="shared" si="8"/>
        <v>Storage/storageAccounts/managementPolicies(stmp)</v>
      </c>
      <c r="B309" s="19" t="s">
        <v>1187</v>
      </c>
      <c r="C309" s="19" t="s">
        <v>278</v>
      </c>
      <c r="D309" s="19" t="s">
        <v>279</v>
      </c>
      <c r="E309" s="19" t="s">
        <v>280</v>
      </c>
      <c r="F309" s="19" t="str">
        <f t="shared" si="9"/>
        <v>stmp</v>
      </c>
      <c r="G309" s="19" t="s">
        <v>1168</v>
      </c>
      <c r="H309" s="19" t="s">
        <v>280</v>
      </c>
      <c r="I309" s="19" t="s">
        <v>280</v>
      </c>
      <c r="J309" s="19" t="s">
        <v>1175</v>
      </c>
      <c r="K309" s="19" t="s">
        <v>280</v>
      </c>
      <c r="L309" s="19" t="s">
        <v>280</v>
      </c>
      <c r="M309" s="19" t="s">
        <v>280</v>
      </c>
      <c r="N309" s="19" t="s">
        <v>280</v>
      </c>
      <c r="O309" s="19" t="s">
        <v>280</v>
      </c>
      <c r="P309" s="19" t="s">
        <v>1176</v>
      </c>
      <c r="Q309" s="20" t="s">
        <v>1177</v>
      </c>
      <c r="R309" s="19" t="s">
        <v>1272</v>
      </c>
      <c r="S309" s="20" t="s">
        <v>1273</v>
      </c>
      <c r="T309" s="19" t="s">
        <v>1188</v>
      </c>
      <c r="U309" s="19"/>
    </row>
    <row r="310" spans="1:21" ht="14.5" x14ac:dyDescent="0.35">
      <c r="A310" s="18" t="str">
        <f t="shared" si="8"/>
        <v>Storage/table(sta)</v>
      </c>
      <c r="B310" s="18" t="s">
        <v>1189</v>
      </c>
      <c r="C310" s="18" t="s">
        <v>278</v>
      </c>
      <c r="D310" s="18" t="s">
        <v>279</v>
      </c>
      <c r="E310" s="18" t="s">
        <v>280</v>
      </c>
      <c r="F310" s="18" t="str">
        <f t="shared" si="9"/>
        <v>sta</v>
      </c>
      <c r="G310" s="18" t="s">
        <v>1168</v>
      </c>
      <c r="H310" s="18" t="s">
        <v>281</v>
      </c>
      <c r="I310" s="18" t="s">
        <v>282</v>
      </c>
      <c r="J310" s="18" t="s">
        <v>575</v>
      </c>
      <c r="K310" s="18" t="s">
        <v>280</v>
      </c>
      <c r="L310" s="18" t="s">
        <v>280</v>
      </c>
      <c r="M310" s="18" t="s">
        <v>280</v>
      </c>
      <c r="N310" s="18" t="s">
        <v>280</v>
      </c>
      <c r="O310" s="18" t="s">
        <v>280</v>
      </c>
      <c r="P310" s="18" t="s">
        <v>1191</v>
      </c>
      <c r="Q310" s="21" t="s">
        <v>280</v>
      </c>
      <c r="R310" s="18" t="s">
        <v>1272</v>
      </c>
      <c r="S310" s="21" t="s">
        <v>1273</v>
      </c>
      <c r="T310" s="18" t="s">
        <v>1190</v>
      </c>
      <c r="U310" s="18"/>
    </row>
    <row r="311" spans="1:21" ht="14.5" x14ac:dyDescent="0.35">
      <c r="A311" s="19" t="str">
        <f t="shared" si="8"/>
        <v>StorageSync/storageSyncServices(sss-)</v>
      </c>
      <c r="B311" s="19" t="s">
        <v>1192</v>
      </c>
      <c r="C311" s="19" t="s">
        <v>278</v>
      </c>
      <c r="D311" s="19" t="s">
        <v>279</v>
      </c>
      <c r="E311" s="19" t="s">
        <v>280</v>
      </c>
      <c r="F311" s="19" t="str">
        <f t="shared" si="9"/>
        <v>sss-</v>
      </c>
      <c r="G311" s="19" t="s">
        <v>78</v>
      </c>
      <c r="H311" s="19" t="s">
        <v>285</v>
      </c>
      <c r="I311" s="19" t="s">
        <v>473</v>
      </c>
      <c r="J311" s="19" t="s">
        <v>1194</v>
      </c>
      <c r="K311" s="19" t="s">
        <v>1195</v>
      </c>
      <c r="L311" s="19" t="s">
        <v>280</v>
      </c>
      <c r="M311" s="19" t="s">
        <v>280</v>
      </c>
      <c r="N311" s="19" t="s">
        <v>376</v>
      </c>
      <c r="O311" s="19" t="s">
        <v>280</v>
      </c>
      <c r="P311" s="19" t="s">
        <v>1196</v>
      </c>
      <c r="Q311" s="20" t="s">
        <v>280</v>
      </c>
      <c r="R311" s="19" t="s">
        <v>1272</v>
      </c>
      <c r="S311" s="20" t="s">
        <v>1273</v>
      </c>
      <c r="T311" s="19" t="s">
        <v>1193</v>
      </c>
      <c r="U311" s="19" t="s">
        <v>464</v>
      </c>
    </row>
    <row r="312" spans="1:21" ht="14.5" x14ac:dyDescent="0.35">
      <c r="A312" s="18" t="str">
        <f t="shared" si="8"/>
        <v>StorageSync/storageSyncServices/syncGroups(sgrp-)</v>
      </c>
      <c r="B312" s="18" t="s">
        <v>1197</v>
      </c>
      <c r="C312" s="18" t="s">
        <v>278</v>
      </c>
      <c r="D312" s="18" t="s">
        <v>279</v>
      </c>
      <c r="E312" s="18" t="s">
        <v>280</v>
      </c>
      <c r="F312" s="18" t="str">
        <f t="shared" si="9"/>
        <v>sgrp-</v>
      </c>
      <c r="G312" s="18" t="s">
        <v>1199</v>
      </c>
      <c r="H312" s="18" t="s">
        <v>285</v>
      </c>
      <c r="I312" s="18" t="s">
        <v>473</v>
      </c>
      <c r="J312" s="18" t="s">
        <v>1194</v>
      </c>
      <c r="K312" s="18" t="s">
        <v>1195</v>
      </c>
      <c r="L312" s="18" t="s">
        <v>280</v>
      </c>
      <c r="M312" s="18" t="s">
        <v>280</v>
      </c>
      <c r="N312" s="18" t="s">
        <v>376</v>
      </c>
      <c r="O312" s="18" t="s">
        <v>280</v>
      </c>
      <c r="P312" s="18" t="s">
        <v>1196</v>
      </c>
      <c r="Q312" s="21" t="s">
        <v>280</v>
      </c>
      <c r="R312" s="18" t="s">
        <v>1272</v>
      </c>
      <c r="S312" s="21" t="s">
        <v>1273</v>
      </c>
      <c r="T312" s="18" t="s">
        <v>1198</v>
      </c>
      <c r="U312" s="18" t="s">
        <v>464</v>
      </c>
    </row>
    <row r="313" spans="1:21" ht="14.5" x14ac:dyDescent="0.35">
      <c r="A313" s="19" t="str">
        <f t="shared" si="8"/>
        <v>StorSimple/managers(ssimp-)</v>
      </c>
      <c r="B313" s="19" t="s">
        <v>1200</v>
      </c>
      <c r="C313" s="19" t="s">
        <v>278</v>
      </c>
      <c r="D313" s="19" t="s">
        <v>279</v>
      </c>
      <c r="E313" s="19" t="s">
        <v>280</v>
      </c>
      <c r="F313" s="19" t="str">
        <f t="shared" si="9"/>
        <v>ssimp-</v>
      </c>
      <c r="G313" s="19" t="s">
        <v>78</v>
      </c>
      <c r="H313" s="19" t="s">
        <v>432</v>
      </c>
      <c r="I313" s="19" t="s">
        <v>286</v>
      </c>
      <c r="J313" s="19" t="s">
        <v>393</v>
      </c>
      <c r="K313" s="19" t="s">
        <v>280</v>
      </c>
      <c r="L313" s="19" t="s">
        <v>280</v>
      </c>
      <c r="M313" s="19" t="s">
        <v>280</v>
      </c>
      <c r="N313" s="19" t="s">
        <v>280</v>
      </c>
      <c r="O313" s="19" t="s">
        <v>280</v>
      </c>
      <c r="P313" s="19" t="s">
        <v>1201</v>
      </c>
      <c r="Q313" s="20" t="s">
        <v>280</v>
      </c>
      <c r="R313" s="19" t="s">
        <v>1272</v>
      </c>
      <c r="S313" s="20" t="s">
        <v>1273</v>
      </c>
      <c r="T313" s="19" t="s">
        <v>66</v>
      </c>
      <c r="U313" s="19" t="s">
        <v>464</v>
      </c>
    </row>
    <row r="314" spans="1:21" ht="14.5" x14ac:dyDescent="0.35">
      <c r="A314" s="18" t="str">
        <f t="shared" si="8"/>
        <v>StreamAnalytics/cluster(asa-)</v>
      </c>
      <c r="B314" s="18" t="s">
        <v>1202</v>
      </c>
      <c r="C314" s="18" t="s">
        <v>280</v>
      </c>
      <c r="D314" s="18" t="s">
        <v>280</v>
      </c>
      <c r="E314" s="18" t="s">
        <v>280</v>
      </c>
      <c r="F314" s="18" t="str">
        <f t="shared" si="9"/>
        <v>asa-</v>
      </c>
      <c r="G314" s="18" t="s">
        <v>280</v>
      </c>
      <c r="H314" s="18" t="s">
        <v>280</v>
      </c>
      <c r="I314" s="18" t="s">
        <v>280</v>
      </c>
      <c r="J314" s="18" t="s">
        <v>280</v>
      </c>
      <c r="K314" s="18" t="s">
        <v>280</v>
      </c>
      <c r="L314" s="18" t="s">
        <v>280</v>
      </c>
      <c r="M314" s="18" t="s">
        <v>280</v>
      </c>
      <c r="N314" s="18" t="s">
        <v>280</v>
      </c>
      <c r="O314" s="18" t="s">
        <v>280</v>
      </c>
      <c r="P314" s="18" t="s">
        <v>280</v>
      </c>
      <c r="Q314" s="21" t="s">
        <v>280</v>
      </c>
      <c r="R314" s="18" t="s">
        <v>1268</v>
      </c>
      <c r="S314" s="21"/>
      <c r="T314" s="18" t="s">
        <v>1203</v>
      </c>
      <c r="U314" s="18" t="s">
        <v>464</v>
      </c>
    </row>
    <row r="315" spans="1:21" ht="14.5" x14ac:dyDescent="0.35">
      <c r="A315" s="19" t="str">
        <f t="shared" si="8"/>
        <v>StreamAnalytics/streamingjobs(sasj-)</v>
      </c>
      <c r="B315" s="19" t="s">
        <v>1204</v>
      </c>
      <c r="C315" s="19" t="s">
        <v>278</v>
      </c>
      <c r="D315" s="19" t="s">
        <v>279</v>
      </c>
      <c r="E315" s="19" t="s">
        <v>280</v>
      </c>
      <c r="F315" s="19" t="str">
        <f t="shared" si="9"/>
        <v>sasj-</v>
      </c>
      <c r="G315" s="19" t="s">
        <v>78</v>
      </c>
      <c r="H315" s="19" t="s">
        <v>281</v>
      </c>
      <c r="I315" s="19" t="s">
        <v>282</v>
      </c>
      <c r="J315" s="19" t="s">
        <v>559</v>
      </c>
      <c r="K315" s="19" t="s">
        <v>280</v>
      </c>
      <c r="L315" s="19" t="s">
        <v>280</v>
      </c>
      <c r="M315" s="19" t="s">
        <v>280</v>
      </c>
      <c r="N315" s="19" t="s">
        <v>280</v>
      </c>
      <c r="O315" s="19" t="s">
        <v>280</v>
      </c>
      <c r="P315" s="19" t="s">
        <v>1206</v>
      </c>
      <c r="Q315" s="20" t="s">
        <v>280</v>
      </c>
      <c r="R315" s="19" t="s">
        <v>1272</v>
      </c>
      <c r="S315" s="20" t="s">
        <v>1273</v>
      </c>
      <c r="T315" s="19" t="s">
        <v>1205</v>
      </c>
      <c r="U315" s="19" t="s">
        <v>464</v>
      </c>
    </row>
    <row r="316" spans="1:21" ht="14.5" x14ac:dyDescent="0.35">
      <c r="A316" s="18" t="str">
        <f t="shared" si="8"/>
        <v>StreamAnalytics/streamingjobs/functions(sjf-)</v>
      </c>
      <c r="B316" s="18" t="s">
        <v>1207</v>
      </c>
      <c r="C316" s="18" t="s">
        <v>278</v>
      </c>
      <c r="D316" s="18" t="s">
        <v>279</v>
      </c>
      <c r="E316" s="18" t="s">
        <v>280</v>
      </c>
      <c r="F316" s="18" t="str">
        <f t="shared" si="9"/>
        <v>sjf-</v>
      </c>
      <c r="G316" s="18" t="s">
        <v>1209</v>
      </c>
      <c r="H316" s="18" t="s">
        <v>281</v>
      </c>
      <c r="I316" s="18" t="s">
        <v>282</v>
      </c>
      <c r="J316" s="18" t="s">
        <v>559</v>
      </c>
      <c r="K316" s="18" t="s">
        <v>280</v>
      </c>
      <c r="L316" s="18" t="s">
        <v>280</v>
      </c>
      <c r="M316" s="18" t="s">
        <v>280</v>
      </c>
      <c r="N316" s="18" t="s">
        <v>280</v>
      </c>
      <c r="O316" s="18" t="s">
        <v>280</v>
      </c>
      <c r="P316" s="18" t="s">
        <v>1206</v>
      </c>
      <c r="Q316" s="21" t="s">
        <v>280</v>
      </c>
      <c r="R316" s="18" t="s">
        <v>1272</v>
      </c>
      <c r="S316" s="21" t="s">
        <v>1273</v>
      </c>
      <c r="T316" s="18" t="s">
        <v>1208</v>
      </c>
      <c r="U316" s="18" t="s">
        <v>464</v>
      </c>
    </row>
    <row r="317" spans="1:21" ht="14.5" x14ac:dyDescent="0.35">
      <c r="A317" s="19" t="str">
        <f t="shared" si="8"/>
        <v>StreamAnalytics/streamingjobs/inputs(sjin-)</v>
      </c>
      <c r="B317" s="19" t="s">
        <v>1210</v>
      </c>
      <c r="C317" s="19" t="s">
        <v>278</v>
      </c>
      <c r="D317" s="19" t="s">
        <v>279</v>
      </c>
      <c r="E317" s="19" t="s">
        <v>280</v>
      </c>
      <c r="F317" s="19" t="str">
        <f t="shared" si="9"/>
        <v>sjin-</v>
      </c>
      <c r="G317" s="19" t="s">
        <v>1209</v>
      </c>
      <c r="H317" s="19" t="s">
        <v>281</v>
      </c>
      <c r="I317" s="19" t="s">
        <v>282</v>
      </c>
      <c r="J317" s="19" t="s">
        <v>559</v>
      </c>
      <c r="K317" s="19" t="s">
        <v>280</v>
      </c>
      <c r="L317" s="19" t="s">
        <v>280</v>
      </c>
      <c r="M317" s="19" t="s">
        <v>280</v>
      </c>
      <c r="N317" s="19" t="s">
        <v>280</v>
      </c>
      <c r="O317" s="19" t="s">
        <v>280</v>
      </c>
      <c r="P317" s="19" t="s">
        <v>1206</v>
      </c>
      <c r="Q317" s="20" t="s">
        <v>280</v>
      </c>
      <c r="R317" s="19" t="s">
        <v>1272</v>
      </c>
      <c r="S317" s="20" t="s">
        <v>1273</v>
      </c>
      <c r="T317" s="19" t="s">
        <v>1211</v>
      </c>
      <c r="U317" s="19" t="s">
        <v>464</v>
      </c>
    </row>
    <row r="318" spans="1:21" ht="14.5" x14ac:dyDescent="0.35">
      <c r="A318" s="18" t="str">
        <f t="shared" si="8"/>
        <v>StreamAnalytics/streamingjobs/outputs(sjout-)</v>
      </c>
      <c r="B318" s="18" t="s">
        <v>1212</v>
      </c>
      <c r="C318" s="18" t="s">
        <v>278</v>
      </c>
      <c r="D318" s="18" t="s">
        <v>279</v>
      </c>
      <c r="E318" s="18" t="s">
        <v>280</v>
      </c>
      <c r="F318" s="18" t="str">
        <f t="shared" si="9"/>
        <v>sjout-</v>
      </c>
      <c r="G318" s="18" t="s">
        <v>1209</v>
      </c>
      <c r="H318" s="18" t="s">
        <v>281</v>
      </c>
      <c r="I318" s="18" t="s">
        <v>282</v>
      </c>
      <c r="J318" s="18" t="s">
        <v>559</v>
      </c>
      <c r="K318" s="18" t="s">
        <v>280</v>
      </c>
      <c r="L318" s="18" t="s">
        <v>280</v>
      </c>
      <c r="M318" s="18" t="s">
        <v>280</v>
      </c>
      <c r="N318" s="18" t="s">
        <v>280</v>
      </c>
      <c r="O318" s="18" t="s">
        <v>280</v>
      </c>
      <c r="P318" s="18" t="s">
        <v>1206</v>
      </c>
      <c r="Q318" s="21" t="s">
        <v>280</v>
      </c>
      <c r="R318" s="18" t="s">
        <v>1272</v>
      </c>
      <c r="S318" s="21" t="s">
        <v>1273</v>
      </c>
      <c r="T318" s="18" t="s">
        <v>1213</v>
      </c>
      <c r="U318" s="18" t="s">
        <v>464</v>
      </c>
    </row>
    <row r="319" spans="1:21" ht="14.5" x14ac:dyDescent="0.35">
      <c r="A319" s="19" t="str">
        <f t="shared" si="8"/>
        <v>StreamAnalytics/streamingjobs/transformations(sjtrf-)</v>
      </c>
      <c r="B319" s="19" t="s">
        <v>1214</v>
      </c>
      <c r="C319" s="19" t="s">
        <v>278</v>
      </c>
      <c r="D319" s="19" t="s">
        <v>279</v>
      </c>
      <c r="E319" s="19" t="s">
        <v>280</v>
      </c>
      <c r="F319" s="19" t="str">
        <f t="shared" si="9"/>
        <v>sjtrf-</v>
      </c>
      <c r="G319" s="19" t="s">
        <v>1209</v>
      </c>
      <c r="H319" s="19" t="s">
        <v>281</v>
      </c>
      <c r="I319" s="19" t="s">
        <v>282</v>
      </c>
      <c r="J319" s="19" t="s">
        <v>559</v>
      </c>
      <c r="K319" s="19" t="s">
        <v>280</v>
      </c>
      <c r="L319" s="19" t="s">
        <v>280</v>
      </c>
      <c r="M319" s="19" t="s">
        <v>280</v>
      </c>
      <c r="N319" s="19" t="s">
        <v>280</v>
      </c>
      <c r="O319" s="19" t="s">
        <v>280</v>
      </c>
      <c r="P319" s="19" t="s">
        <v>1206</v>
      </c>
      <c r="Q319" s="20" t="s">
        <v>280</v>
      </c>
      <c r="R319" s="19" t="s">
        <v>1272</v>
      </c>
      <c r="S319" s="20" t="s">
        <v>1273</v>
      </c>
      <c r="T319" s="19" t="s">
        <v>1215</v>
      </c>
      <c r="U319" s="19" t="s">
        <v>464</v>
      </c>
    </row>
    <row r="320" spans="1:21" ht="14.5" x14ac:dyDescent="0.35">
      <c r="A320" s="18" t="str">
        <f t="shared" si="8"/>
        <v>Subscription/subscriptions(subcr-)</v>
      </c>
      <c r="B320" s="18" t="s">
        <v>1216</v>
      </c>
      <c r="C320" s="18" t="s">
        <v>1217</v>
      </c>
      <c r="D320" s="18" t="s">
        <v>1218</v>
      </c>
      <c r="E320" s="18" t="s">
        <v>280</v>
      </c>
      <c r="F320" s="18" t="str">
        <f t="shared" si="9"/>
        <v>subcr-</v>
      </c>
      <c r="G320" s="18" t="s">
        <v>438</v>
      </c>
      <c r="H320" s="18" t="s">
        <v>280</v>
      </c>
      <c r="I320" s="18" t="s">
        <v>280</v>
      </c>
      <c r="J320" s="18" t="s">
        <v>280</v>
      </c>
      <c r="K320" s="18" t="s">
        <v>280</v>
      </c>
      <c r="L320" s="18" t="s">
        <v>280</v>
      </c>
      <c r="M320" s="18" t="s">
        <v>280</v>
      </c>
      <c r="N320" s="18" t="s">
        <v>280</v>
      </c>
      <c r="O320" s="18" t="s">
        <v>280</v>
      </c>
      <c r="P320" s="18" t="s">
        <v>280</v>
      </c>
      <c r="Q320" s="21" t="s">
        <v>280</v>
      </c>
      <c r="R320" s="18" t="s">
        <v>1266</v>
      </c>
      <c r="S320" s="21"/>
      <c r="T320" s="18" t="s">
        <v>1219</v>
      </c>
      <c r="U320" s="18" t="s">
        <v>464</v>
      </c>
    </row>
    <row r="321" spans="1:21" ht="14.5" x14ac:dyDescent="0.35">
      <c r="A321" s="19" t="str">
        <f t="shared" si="8"/>
        <v>Synapse/workspaces(synw-)</v>
      </c>
      <c r="B321" s="19" t="s">
        <v>1220</v>
      </c>
      <c r="C321" s="19" t="s">
        <v>280</v>
      </c>
      <c r="D321" s="19" t="s">
        <v>280</v>
      </c>
      <c r="E321" s="19" t="s">
        <v>280</v>
      </c>
      <c r="F321" s="19" t="str">
        <f t="shared" si="9"/>
        <v>synw-</v>
      </c>
      <c r="G321" s="19" t="s">
        <v>280</v>
      </c>
      <c r="H321" s="19" t="s">
        <v>280</v>
      </c>
      <c r="I321" s="19" t="s">
        <v>280</v>
      </c>
      <c r="J321" s="19" t="s">
        <v>280</v>
      </c>
      <c r="K321" s="19" t="s">
        <v>280</v>
      </c>
      <c r="L321" s="19" t="s">
        <v>280</v>
      </c>
      <c r="M321" s="19" t="s">
        <v>280</v>
      </c>
      <c r="N321" s="19" t="s">
        <v>280</v>
      </c>
      <c r="O321" s="19" t="s">
        <v>280</v>
      </c>
      <c r="P321" s="19" t="s">
        <v>280</v>
      </c>
      <c r="Q321" s="20" t="s">
        <v>280</v>
      </c>
      <c r="R321" s="19" t="s">
        <v>1272</v>
      </c>
      <c r="S321" s="20" t="s">
        <v>1273</v>
      </c>
      <c r="T321" s="19" t="s">
        <v>60</v>
      </c>
      <c r="U321" s="19" t="s">
        <v>464</v>
      </c>
    </row>
    <row r="322" spans="1:21" ht="14.5" x14ac:dyDescent="0.35">
      <c r="A322" s="18" t="str">
        <f t="shared" si="8"/>
        <v>Synapse/workspaces/sqlPoolsAzure Synapse Analytics Spark Pool(synsp-)</v>
      </c>
      <c r="B322" s="18" t="s">
        <v>1221</v>
      </c>
      <c r="C322" s="18" t="s">
        <v>280</v>
      </c>
      <c r="D322" s="18" t="s">
        <v>280</v>
      </c>
      <c r="E322" s="18" t="s">
        <v>63</v>
      </c>
      <c r="F322" s="18" t="str">
        <f t="shared" si="9"/>
        <v>synsp-</v>
      </c>
      <c r="G322" s="18" t="s">
        <v>280</v>
      </c>
      <c r="H322" s="18" t="s">
        <v>280</v>
      </c>
      <c r="I322" s="18" t="s">
        <v>280</v>
      </c>
      <c r="J322" s="18" t="s">
        <v>280</v>
      </c>
      <c r="K322" s="18" t="s">
        <v>280</v>
      </c>
      <c r="L322" s="18" t="s">
        <v>280</v>
      </c>
      <c r="M322" s="18" t="s">
        <v>280</v>
      </c>
      <c r="N322" s="18" t="s">
        <v>280</v>
      </c>
      <c r="O322" s="18" t="s">
        <v>280</v>
      </c>
      <c r="P322" s="18" t="s">
        <v>280</v>
      </c>
      <c r="Q322" s="21" t="s">
        <v>280</v>
      </c>
      <c r="R322" s="18" t="s">
        <v>1272</v>
      </c>
      <c r="S322" s="21" t="s">
        <v>1273</v>
      </c>
      <c r="T322" s="18" t="s">
        <v>64</v>
      </c>
      <c r="U322" s="18" t="s">
        <v>464</v>
      </c>
    </row>
    <row r="323" spans="1:21" ht="14.5" x14ac:dyDescent="0.35">
      <c r="A323" s="19" t="str">
        <f t="shared" ref="A323:A335" si="10">_xlfn.CONCAT(B323, E323,"(",F323,")")</f>
        <v>Synapse/workspaces/sqlPoolsAzure Synapse Analytics SQL Dedicated Pool(syndp-)</v>
      </c>
      <c r="B323" s="19" t="s">
        <v>1221</v>
      </c>
      <c r="C323" s="19" t="s">
        <v>280</v>
      </c>
      <c r="D323" s="19" t="s">
        <v>280</v>
      </c>
      <c r="E323" s="19" t="s">
        <v>61</v>
      </c>
      <c r="F323" s="19" t="str">
        <f t="shared" ref="F323:F335" si="11">_xlfn.CONCAT(T323,U323)</f>
        <v>syndp-</v>
      </c>
      <c r="G323" s="19" t="s">
        <v>280</v>
      </c>
      <c r="H323" s="19" t="s">
        <v>280</v>
      </c>
      <c r="I323" s="19" t="s">
        <v>280</v>
      </c>
      <c r="J323" s="19" t="s">
        <v>280</v>
      </c>
      <c r="K323" s="19" t="s">
        <v>280</v>
      </c>
      <c r="L323" s="19" t="s">
        <v>280</v>
      </c>
      <c r="M323" s="19" t="s">
        <v>280</v>
      </c>
      <c r="N323" s="19" t="s">
        <v>280</v>
      </c>
      <c r="O323" s="19" t="s">
        <v>280</v>
      </c>
      <c r="P323" s="19" t="s">
        <v>280</v>
      </c>
      <c r="Q323" s="20" t="s">
        <v>280</v>
      </c>
      <c r="R323" s="19" t="s">
        <v>1272</v>
      </c>
      <c r="S323" s="20" t="s">
        <v>1273</v>
      </c>
      <c r="T323" s="19" t="s">
        <v>62</v>
      </c>
      <c r="U323" s="19" t="s">
        <v>464</v>
      </c>
    </row>
    <row r="324" spans="1:21" ht="14.5" x14ac:dyDescent="0.35">
      <c r="A324" s="18" t="str">
        <f t="shared" si="10"/>
        <v>TimeSeriesInsights/environments(tsi-)</v>
      </c>
      <c r="B324" s="18" t="s">
        <v>1222</v>
      </c>
      <c r="C324" s="18" t="s">
        <v>278</v>
      </c>
      <c r="D324" s="18" t="s">
        <v>279</v>
      </c>
      <c r="E324" s="18" t="s">
        <v>280</v>
      </c>
      <c r="F324" s="18" t="str">
        <f t="shared" si="11"/>
        <v>tsi-</v>
      </c>
      <c r="G324" s="18" t="s">
        <v>78</v>
      </c>
      <c r="H324" s="18" t="s">
        <v>285</v>
      </c>
      <c r="I324" s="18" t="s">
        <v>365</v>
      </c>
      <c r="J324" s="18" t="s">
        <v>280</v>
      </c>
      <c r="K324" s="18" t="s">
        <v>1224</v>
      </c>
      <c r="L324" s="18" t="s">
        <v>1225</v>
      </c>
      <c r="M324" s="18" t="s">
        <v>280</v>
      </c>
      <c r="N324" s="18" t="s">
        <v>280</v>
      </c>
      <c r="O324" s="18" t="s">
        <v>280</v>
      </c>
      <c r="P324" s="18" t="s">
        <v>1226</v>
      </c>
      <c r="Q324" s="21" t="s">
        <v>280</v>
      </c>
      <c r="R324" s="18" t="s">
        <v>1272</v>
      </c>
      <c r="S324" s="21" t="s">
        <v>1273</v>
      </c>
      <c r="T324" s="18" t="s">
        <v>1223</v>
      </c>
      <c r="U324" s="18" t="s">
        <v>464</v>
      </c>
    </row>
    <row r="325" spans="1:21" ht="14.5" x14ac:dyDescent="0.35">
      <c r="A325" s="19" t="str">
        <f t="shared" si="10"/>
        <v>TimeSeriesInsights/environments/accessPolicies(tsiea-)</v>
      </c>
      <c r="B325" s="19" t="s">
        <v>1227</v>
      </c>
      <c r="C325" s="19" t="s">
        <v>278</v>
      </c>
      <c r="D325" s="19" t="s">
        <v>279</v>
      </c>
      <c r="E325" s="19" t="s">
        <v>280</v>
      </c>
      <c r="F325" s="19" t="str">
        <f t="shared" si="11"/>
        <v>tsiea-</v>
      </c>
      <c r="G325" s="19" t="s">
        <v>1229</v>
      </c>
      <c r="H325" s="19" t="s">
        <v>285</v>
      </c>
      <c r="I325" s="19" t="s">
        <v>365</v>
      </c>
      <c r="J325" s="19" t="s">
        <v>280</v>
      </c>
      <c r="K325" s="19" t="s">
        <v>1224</v>
      </c>
      <c r="L325" s="19" t="s">
        <v>1225</v>
      </c>
      <c r="M325" s="19" t="s">
        <v>280</v>
      </c>
      <c r="N325" s="19" t="s">
        <v>280</v>
      </c>
      <c r="O325" s="19" t="s">
        <v>280</v>
      </c>
      <c r="P325" s="19" t="s">
        <v>1226</v>
      </c>
      <c r="Q325" s="20" t="s">
        <v>280</v>
      </c>
      <c r="R325" s="19" t="s">
        <v>1272</v>
      </c>
      <c r="S325" s="20" t="s">
        <v>1273</v>
      </c>
      <c r="T325" s="19" t="s">
        <v>1228</v>
      </c>
      <c r="U325" s="19" t="s">
        <v>464</v>
      </c>
    </row>
    <row r="326" spans="1:21" ht="14.5" x14ac:dyDescent="0.35">
      <c r="A326" s="18" t="str">
        <f t="shared" si="10"/>
        <v>TimeSeriesInsights/environments/eventSources(tsiee-)</v>
      </c>
      <c r="B326" s="18" t="s">
        <v>1230</v>
      </c>
      <c r="C326" s="18" t="s">
        <v>278</v>
      </c>
      <c r="D326" s="18" t="s">
        <v>279</v>
      </c>
      <c r="E326" s="18" t="s">
        <v>280</v>
      </c>
      <c r="F326" s="18" t="str">
        <f t="shared" si="11"/>
        <v>tsiee-</v>
      </c>
      <c r="G326" s="18" t="s">
        <v>1229</v>
      </c>
      <c r="H326" s="18" t="s">
        <v>285</v>
      </c>
      <c r="I326" s="18" t="s">
        <v>365</v>
      </c>
      <c r="J326" s="18" t="s">
        <v>280</v>
      </c>
      <c r="K326" s="18" t="s">
        <v>1224</v>
      </c>
      <c r="L326" s="18" t="s">
        <v>1232</v>
      </c>
      <c r="M326" s="18" t="s">
        <v>280</v>
      </c>
      <c r="N326" s="18" t="s">
        <v>280</v>
      </c>
      <c r="O326" s="18" t="s">
        <v>280</v>
      </c>
      <c r="P326" s="18" t="s">
        <v>1226</v>
      </c>
      <c r="Q326" s="21" t="s">
        <v>280</v>
      </c>
      <c r="R326" s="18" t="s">
        <v>1272</v>
      </c>
      <c r="S326" s="21" t="s">
        <v>1273</v>
      </c>
      <c r="T326" s="18" t="s">
        <v>1231</v>
      </c>
      <c r="U326" s="18" t="s">
        <v>464</v>
      </c>
    </row>
    <row r="327" spans="1:21" ht="14.5" x14ac:dyDescent="0.35">
      <c r="A327" s="19" t="str">
        <f t="shared" si="10"/>
        <v>TimeSeriesInsights/environments/referenceDataSets(tsier-)</v>
      </c>
      <c r="B327" s="19" t="s">
        <v>1233</v>
      </c>
      <c r="C327" s="19" t="s">
        <v>278</v>
      </c>
      <c r="D327" s="19" t="s">
        <v>279</v>
      </c>
      <c r="E327" s="19" t="s">
        <v>280</v>
      </c>
      <c r="F327" s="19" t="str">
        <f t="shared" si="11"/>
        <v>tsier-</v>
      </c>
      <c r="G327" s="19" t="s">
        <v>1229</v>
      </c>
      <c r="H327" s="19" t="s">
        <v>281</v>
      </c>
      <c r="I327" s="19" t="s">
        <v>282</v>
      </c>
      <c r="J327" s="19" t="s">
        <v>469</v>
      </c>
      <c r="K327" s="19" t="s">
        <v>280</v>
      </c>
      <c r="L327" s="19" t="s">
        <v>280</v>
      </c>
      <c r="M327" s="19" t="s">
        <v>280</v>
      </c>
      <c r="N327" s="19" t="s">
        <v>280</v>
      </c>
      <c r="O327" s="19" t="s">
        <v>280</v>
      </c>
      <c r="P327" s="19" t="s">
        <v>1235</v>
      </c>
      <c r="Q327" s="20" t="s">
        <v>280</v>
      </c>
      <c r="R327" s="19" t="s">
        <v>1272</v>
      </c>
      <c r="S327" s="20" t="s">
        <v>1273</v>
      </c>
      <c r="T327" s="19" t="s">
        <v>1234</v>
      </c>
      <c r="U327" s="19" t="s">
        <v>464</v>
      </c>
    </row>
    <row r="328" spans="1:21" ht="14.5" x14ac:dyDescent="0.35">
      <c r="A328" s="18" t="str">
        <f t="shared" si="10"/>
        <v>Web/certificates(wbcer-)</v>
      </c>
      <c r="B328" s="18" t="s">
        <v>1236</v>
      </c>
      <c r="C328" s="18" t="s">
        <v>278</v>
      </c>
      <c r="D328" s="18" t="s">
        <v>279</v>
      </c>
      <c r="E328" s="18" t="s">
        <v>280</v>
      </c>
      <c r="F328" s="18" t="str">
        <f t="shared" si="11"/>
        <v>wbcer-</v>
      </c>
      <c r="G328" s="18" t="s">
        <v>78</v>
      </c>
      <c r="H328" s="18" t="s">
        <v>285</v>
      </c>
      <c r="I328" s="18" t="s">
        <v>473</v>
      </c>
      <c r="J328" s="18" t="s">
        <v>280</v>
      </c>
      <c r="K328" s="18" t="s">
        <v>1238</v>
      </c>
      <c r="L328" s="18" t="s">
        <v>1239</v>
      </c>
      <c r="M328" s="18" t="s">
        <v>280</v>
      </c>
      <c r="N328" s="18" t="s">
        <v>280</v>
      </c>
      <c r="O328" s="18" t="s">
        <v>280</v>
      </c>
      <c r="P328" s="18" t="s">
        <v>1240</v>
      </c>
      <c r="Q328" s="21" t="s">
        <v>280</v>
      </c>
      <c r="R328" s="18" t="s">
        <v>1272</v>
      </c>
      <c r="S328" s="21" t="s">
        <v>1273</v>
      </c>
      <c r="T328" s="18" t="s">
        <v>1237</v>
      </c>
      <c r="U328" s="18" t="s">
        <v>464</v>
      </c>
    </row>
    <row r="329" spans="1:21" ht="14.5" x14ac:dyDescent="0.35">
      <c r="A329" s="19" t="str">
        <f t="shared" si="10"/>
        <v>Web/serverfarms(plan-)</v>
      </c>
      <c r="B329" s="19" t="s">
        <v>1241</v>
      </c>
      <c r="C329" s="19" t="s">
        <v>278</v>
      </c>
      <c r="D329" s="19" t="s">
        <v>279</v>
      </c>
      <c r="E329" s="19" t="s">
        <v>280</v>
      </c>
      <c r="F329" s="19" t="str">
        <f t="shared" si="11"/>
        <v>plan-</v>
      </c>
      <c r="G329" s="19" t="s">
        <v>78</v>
      </c>
      <c r="H329" s="19" t="s">
        <v>285</v>
      </c>
      <c r="I329" s="19" t="s">
        <v>837</v>
      </c>
      <c r="J329" s="19" t="s">
        <v>681</v>
      </c>
      <c r="K329" s="19" t="s">
        <v>280</v>
      </c>
      <c r="L329" s="19" t="s">
        <v>280</v>
      </c>
      <c r="M329" s="19" t="s">
        <v>280</v>
      </c>
      <c r="N329" s="19" t="s">
        <v>280</v>
      </c>
      <c r="O329" s="19" t="s">
        <v>280</v>
      </c>
      <c r="P329" s="19" t="s">
        <v>1243</v>
      </c>
      <c r="Q329" s="20" t="s">
        <v>280</v>
      </c>
      <c r="R329" s="19" t="s">
        <v>1272</v>
      </c>
      <c r="S329" s="20" t="s">
        <v>1273</v>
      </c>
      <c r="T329" s="19" t="s">
        <v>1242</v>
      </c>
      <c r="U329" s="19" t="s">
        <v>464</v>
      </c>
    </row>
    <row r="330" spans="1:21" ht="14.5" x14ac:dyDescent="0.35">
      <c r="A330" s="18" t="str">
        <f t="shared" si="10"/>
        <v>Web/sitesStatic Web App(stapp-)</v>
      </c>
      <c r="B330" s="18" t="s">
        <v>1244</v>
      </c>
      <c r="C330" s="18" t="s">
        <v>278</v>
      </c>
      <c r="D330" s="18" t="s">
        <v>279</v>
      </c>
      <c r="E330" s="18" t="s">
        <v>1245</v>
      </c>
      <c r="F330" s="18" t="str">
        <f t="shared" si="11"/>
        <v>stapp-</v>
      </c>
      <c r="G330" s="18" t="s">
        <v>80</v>
      </c>
      <c r="H330" s="18" t="s">
        <v>432</v>
      </c>
      <c r="I330" s="18" t="s">
        <v>652</v>
      </c>
      <c r="J330" s="18" t="s">
        <v>1247</v>
      </c>
      <c r="K330" s="18" t="s">
        <v>676</v>
      </c>
      <c r="L330" s="18" t="s">
        <v>280</v>
      </c>
      <c r="M330" s="18" t="s">
        <v>464</v>
      </c>
      <c r="N330" s="18" t="s">
        <v>464</v>
      </c>
      <c r="O330" s="18" t="s">
        <v>280</v>
      </c>
      <c r="P330" s="18" t="s">
        <v>1248</v>
      </c>
      <c r="Q330" s="21" t="s">
        <v>280</v>
      </c>
      <c r="R330" s="18" t="s">
        <v>1272</v>
      </c>
      <c r="S330" s="21" t="s">
        <v>1273</v>
      </c>
      <c r="T330" s="18" t="s">
        <v>1246</v>
      </c>
      <c r="U330" s="18" t="s">
        <v>464</v>
      </c>
    </row>
    <row r="331" spans="1:21" ht="14.5" x14ac:dyDescent="0.35">
      <c r="A331" s="19" t="str">
        <f t="shared" si="10"/>
        <v>Web/sitesWeb App(app-)</v>
      </c>
      <c r="B331" s="19" t="s">
        <v>1244</v>
      </c>
      <c r="C331" s="19" t="s">
        <v>278</v>
      </c>
      <c r="D331" s="19" t="s">
        <v>279</v>
      </c>
      <c r="E331" s="19" t="s">
        <v>1249</v>
      </c>
      <c r="F331" s="19" t="str">
        <f t="shared" si="11"/>
        <v>app-</v>
      </c>
      <c r="G331" s="19" t="s">
        <v>80</v>
      </c>
      <c r="H331" s="19" t="s">
        <v>432</v>
      </c>
      <c r="I331" s="19" t="s">
        <v>652</v>
      </c>
      <c r="J331" s="19" t="s">
        <v>1247</v>
      </c>
      <c r="K331" s="19" t="s">
        <v>676</v>
      </c>
      <c r="L331" s="19" t="s">
        <v>280</v>
      </c>
      <c r="M331" s="19" t="s">
        <v>464</v>
      </c>
      <c r="N331" s="19" t="s">
        <v>464</v>
      </c>
      <c r="O331" s="19" t="s">
        <v>280</v>
      </c>
      <c r="P331" s="19" t="s">
        <v>1248</v>
      </c>
      <c r="Q331" s="20" t="s">
        <v>280</v>
      </c>
      <c r="R331" s="19" t="s">
        <v>1272</v>
      </c>
      <c r="S331" s="20" t="s">
        <v>1273</v>
      </c>
      <c r="T331" s="19" t="s">
        <v>503</v>
      </c>
      <c r="U331" s="19" t="s">
        <v>464</v>
      </c>
    </row>
    <row r="332" spans="1:21" ht="14.5" x14ac:dyDescent="0.35">
      <c r="A332" s="18" t="str">
        <f t="shared" si="10"/>
        <v>Web/sitesFunction App(func-)</v>
      </c>
      <c r="B332" s="18" t="s">
        <v>1244</v>
      </c>
      <c r="C332" s="18" t="s">
        <v>278</v>
      </c>
      <c r="D332" s="18" t="s">
        <v>279</v>
      </c>
      <c r="E332" s="18" t="s">
        <v>1250</v>
      </c>
      <c r="F332" s="18" t="str">
        <f t="shared" si="11"/>
        <v>func-</v>
      </c>
      <c r="G332" s="18" t="s">
        <v>80</v>
      </c>
      <c r="H332" s="18" t="s">
        <v>432</v>
      </c>
      <c r="I332" s="18" t="s">
        <v>652</v>
      </c>
      <c r="J332" s="18" t="s">
        <v>1247</v>
      </c>
      <c r="K332" s="18" t="s">
        <v>676</v>
      </c>
      <c r="L332" s="18" t="s">
        <v>280</v>
      </c>
      <c r="M332" s="18" t="s">
        <v>464</v>
      </c>
      <c r="N332" s="18" t="s">
        <v>464</v>
      </c>
      <c r="O332" s="18" t="s">
        <v>280</v>
      </c>
      <c r="P332" s="18" t="s">
        <v>1248</v>
      </c>
      <c r="Q332" s="21" t="s">
        <v>280</v>
      </c>
      <c r="R332" s="18" t="s">
        <v>1272</v>
      </c>
      <c r="S332" s="21" t="s">
        <v>1273</v>
      </c>
      <c r="T332" s="18" t="s">
        <v>1251</v>
      </c>
      <c r="U332" s="18" t="s">
        <v>464</v>
      </c>
    </row>
    <row r="333" spans="1:21" ht="14.5" x14ac:dyDescent="0.35">
      <c r="A333" s="19" t="str">
        <f t="shared" si="10"/>
        <v>Web/sitesApp Service Environment(ase-)</v>
      </c>
      <c r="B333" s="19" t="s">
        <v>1244</v>
      </c>
      <c r="C333" s="19" t="s">
        <v>278</v>
      </c>
      <c r="D333" s="19" t="s">
        <v>279</v>
      </c>
      <c r="E333" s="19" t="s">
        <v>79</v>
      </c>
      <c r="F333" s="19" t="str">
        <f t="shared" si="11"/>
        <v>ase-</v>
      </c>
      <c r="G333" s="19" t="s">
        <v>80</v>
      </c>
      <c r="H333" s="19" t="s">
        <v>432</v>
      </c>
      <c r="I333" s="19" t="s">
        <v>652</v>
      </c>
      <c r="J333" s="19" t="s">
        <v>1247</v>
      </c>
      <c r="K333" s="19" t="s">
        <v>676</v>
      </c>
      <c r="L333" s="19" t="s">
        <v>280</v>
      </c>
      <c r="M333" s="19" t="s">
        <v>464</v>
      </c>
      <c r="N333" s="19" t="s">
        <v>464</v>
      </c>
      <c r="O333" s="19" t="s">
        <v>280</v>
      </c>
      <c r="P333" s="19" t="s">
        <v>1248</v>
      </c>
      <c r="Q333" s="20" t="s">
        <v>280</v>
      </c>
      <c r="R333" s="19" t="s">
        <v>1272</v>
      </c>
      <c r="S333" s="20" t="s">
        <v>1273</v>
      </c>
      <c r="T333" s="19" t="s">
        <v>1252</v>
      </c>
      <c r="U333" s="19" t="s">
        <v>464</v>
      </c>
    </row>
    <row r="334" spans="1:21" ht="14.5" x14ac:dyDescent="0.35">
      <c r="A334" s="18" t="str">
        <f t="shared" si="10"/>
        <v>Web/sitesAzure Static Web Apps(aswba-)</v>
      </c>
      <c r="B334" s="18" t="s">
        <v>1244</v>
      </c>
      <c r="C334" s="18" t="s">
        <v>278</v>
      </c>
      <c r="D334" s="18" t="s">
        <v>279</v>
      </c>
      <c r="E334" s="18" t="s">
        <v>1253</v>
      </c>
      <c r="F334" s="18" t="str">
        <f t="shared" si="11"/>
        <v>aswba-</v>
      </c>
      <c r="G334" s="18" t="s">
        <v>80</v>
      </c>
      <c r="H334" s="18" t="s">
        <v>432</v>
      </c>
      <c r="I334" s="18" t="s">
        <v>652</v>
      </c>
      <c r="J334" s="18" t="s">
        <v>1247</v>
      </c>
      <c r="K334" s="18" t="s">
        <v>676</v>
      </c>
      <c r="L334" s="18" t="s">
        <v>280</v>
      </c>
      <c r="M334" s="18" t="s">
        <v>464</v>
      </c>
      <c r="N334" s="18" t="s">
        <v>464</v>
      </c>
      <c r="O334" s="18" t="s">
        <v>280</v>
      </c>
      <c r="P334" s="18" t="s">
        <v>1248</v>
      </c>
      <c r="Q334" s="21" t="s">
        <v>280</v>
      </c>
      <c r="R334" s="18" t="s">
        <v>1272</v>
      </c>
      <c r="S334" s="21" t="s">
        <v>1273</v>
      </c>
      <c r="T334" s="18" t="s">
        <v>1254</v>
      </c>
      <c r="U334" s="18" t="s">
        <v>464</v>
      </c>
    </row>
    <row r="335" spans="1:21" ht="14.5" x14ac:dyDescent="0.35">
      <c r="A335" s="19" t="str">
        <f t="shared" si="10"/>
        <v>Web/sites/slots(slot-)</v>
      </c>
      <c r="B335" s="19" t="s">
        <v>1255</v>
      </c>
      <c r="C335" s="19" t="s">
        <v>278</v>
      </c>
      <c r="D335" s="19" t="s">
        <v>279</v>
      </c>
      <c r="E335" s="19" t="s">
        <v>280</v>
      </c>
      <c r="F335" s="19" t="str">
        <f t="shared" si="11"/>
        <v>slot-</v>
      </c>
      <c r="G335" s="19" t="s">
        <v>1257</v>
      </c>
      <c r="H335" s="19" t="s">
        <v>432</v>
      </c>
      <c r="I335" s="19" t="s">
        <v>652</v>
      </c>
      <c r="J335" s="19" t="s">
        <v>681</v>
      </c>
      <c r="K335" s="19" t="s">
        <v>280</v>
      </c>
      <c r="L335" s="19" t="s">
        <v>280</v>
      </c>
      <c r="M335" s="19" t="s">
        <v>280</v>
      </c>
      <c r="N335" s="19" t="s">
        <v>280</v>
      </c>
      <c r="O335" s="19" t="s">
        <v>280</v>
      </c>
      <c r="P335" s="19" t="s">
        <v>1258</v>
      </c>
      <c r="Q335" s="20" t="s">
        <v>280</v>
      </c>
      <c r="R335" s="19" t="s">
        <v>1272</v>
      </c>
      <c r="S335" s="20" t="s">
        <v>1273</v>
      </c>
      <c r="T335" s="19" t="s">
        <v>1256</v>
      </c>
      <c r="U335" s="19" t="s">
        <v>464</v>
      </c>
    </row>
    <row r="339" spans="3:3" x14ac:dyDescent="0.45">
      <c r="C339" s="3" t="s">
        <v>1271</v>
      </c>
    </row>
  </sheetData>
  <autoFilter ref="A1:U335" xr:uid="{FCF88FAF-5FD3-44CB-A42F-6BDC3CDE0767}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A5017-C692-4BAB-9627-A139B67DE3D2}">
  <sheetPr codeName="Sheet10"/>
  <dimension ref="A1:B4"/>
  <sheetViews>
    <sheetView workbookViewId="0">
      <selection activeCell="B4" sqref="B4"/>
    </sheetView>
  </sheetViews>
  <sheetFormatPr defaultRowHeight="14.5" x14ac:dyDescent="0.35"/>
  <cols>
    <col min="1" max="1" width="26.08984375" customWidth="1"/>
    <col min="2" max="2" width="17.36328125" customWidth="1"/>
  </cols>
  <sheetData>
    <row r="1" spans="1:2" x14ac:dyDescent="0.35">
      <c r="A1" t="s">
        <v>225</v>
      </c>
    </row>
    <row r="2" spans="1:2" ht="16.5" x14ac:dyDescent="0.35">
      <c r="A2" s="1" t="s">
        <v>38</v>
      </c>
      <c r="B2" s="1"/>
    </row>
    <row r="3" spans="1:2" ht="16.5" x14ac:dyDescent="0.45">
      <c r="A3" s="2" t="s">
        <v>86</v>
      </c>
      <c r="B3" s="2" t="s">
        <v>39</v>
      </c>
    </row>
    <row r="4" spans="1:2" ht="16.5" x14ac:dyDescent="0.45">
      <c r="A4" s="3" t="s">
        <v>226</v>
      </c>
      <c r="B4" s="3" t="s">
        <v>227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U34"/>
  <sheetViews>
    <sheetView topLeftCell="C1" zoomScale="130" zoomScaleNormal="130" workbookViewId="0">
      <selection activeCell="O4" sqref="O4:O23"/>
    </sheetView>
  </sheetViews>
  <sheetFormatPr defaultColWidth="9.1796875" defaultRowHeight="16.5" x14ac:dyDescent="0.45"/>
  <cols>
    <col min="1" max="1" width="24.54296875" style="3" customWidth="1"/>
    <col min="2" max="3" width="20.1796875" style="3" customWidth="1"/>
    <col min="4" max="4" width="24.81640625" style="3" customWidth="1"/>
    <col min="5" max="8" width="14" style="3" customWidth="1"/>
    <col min="9" max="9" width="5.1796875" style="3" customWidth="1"/>
    <col min="10" max="10" width="17.453125" style="3" customWidth="1"/>
    <col min="11" max="13" width="19.54296875" style="3" customWidth="1"/>
    <col min="14" max="14" width="11.54296875" style="3" customWidth="1"/>
    <col min="15" max="15" width="38.54296875" style="3" customWidth="1"/>
    <col min="16" max="20" width="17" style="3" customWidth="1"/>
    <col min="21" max="21" width="44.54296875" style="3" customWidth="1"/>
    <col min="22" max="16384" width="9.1796875" style="3"/>
  </cols>
  <sheetData>
    <row r="1" spans="1:21" ht="32.5" x14ac:dyDescent="0.85">
      <c r="A1" s="26" t="s">
        <v>5</v>
      </c>
      <c r="B1" s="26"/>
      <c r="C1" s="11"/>
      <c r="D1" s="11"/>
      <c r="E1" s="11"/>
      <c r="F1" s="11"/>
      <c r="G1" s="11"/>
      <c r="H1" s="11"/>
      <c r="L1" s="11"/>
      <c r="M1" s="11"/>
      <c r="N1" s="11"/>
      <c r="O1" s="26"/>
      <c r="P1" s="26"/>
      <c r="Q1" s="26"/>
      <c r="R1" s="26"/>
      <c r="S1" s="26"/>
      <c r="T1" s="26"/>
      <c r="U1" s="26"/>
    </row>
    <row r="2" spans="1:21" ht="33.75" customHeight="1" x14ac:dyDescent="0.45">
      <c r="A2" s="24"/>
      <c r="B2" s="24"/>
      <c r="C2" s="12"/>
      <c r="D2" s="12"/>
      <c r="E2" s="12"/>
      <c r="F2" s="12"/>
      <c r="G2" s="12"/>
      <c r="H2" s="12"/>
      <c r="L2" s="6"/>
      <c r="M2" s="6"/>
      <c r="N2" s="6"/>
      <c r="O2" s="1"/>
      <c r="P2" s="28"/>
      <c r="Q2" s="28"/>
      <c r="R2" s="28"/>
      <c r="S2" s="28"/>
      <c r="T2" s="28"/>
      <c r="U2" s="28"/>
    </row>
    <row r="3" spans="1:21" x14ac:dyDescent="0.45">
      <c r="C3" s="2"/>
      <c r="D3" s="2"/>
      <c r="E3" s="2"/>
      <c r="F3" s="2"/>
      <c r="G3" s="2"/>
      <c r="H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 x14ac:dyDescent="0.45">
      <c r="A4" s="3" t="s">
        <v>6</v>
      </c>
      <c r="H4" s="4"/>
      <c r="M4" s="5"/>
      <c r="N4" s="5"/>
    </row>
    <row r="5" spans="1:21" x14ac:dyDescent="0.45">
      <c r="A5" s="3" t="s">
        <v>75</v>
      </c>
      <c r="H5" s="4"/>
      <c r="M5" s="5"/>
      <c r="N5" s="5"/>
    </row>
    <row r="6" spans="1:21" x14ac:dyDescent="0.45">
      <c r="H6" s="4"/>
      <c r="M6" s="5"/>
      <c r="N6" s="5"/>
    </row>
    <row r="7" spans="1:21" x14ac:dyDescent="0.45">
      <c r="H7" s="4"/>
      <c r="M7" s="5"/>
      <c r="N7" s="5"/>
    </row>
    <row r="8" spans="1:21" x14ac:dyDescent="0.45">
      <c r="H8" s="4"/>
    </row>
    <row r="9" spans="1:21" x14ac:dyDescent="0.45">
      <c r="H9" s="4"/>
    </row>
    <row r="10" spans="1:21" x14ac:dyDescent="0.45">
      <c r="H10" s="4"/>
    </row>
    <row r="11" spans="1:21" x14ac:dyDescent="0.45">
      <c r="H11" s="4"/>
    </row>
    <row r="12" spans="1:21" x14ac:dyDescent="0.45">
      <c r="H12" s="4"/>
    </row>
    <row r="13" spans="1:21" x14ac:dyDescent="0.45">
      <c r="H13" s="4"/>
    </row>
    <row r="14" spans="1:21" x14ac:dyDescent="0.45">
      <c r="H14" s="4"/>
    </row>
    <row r="15" spans="1:21" x14ac:dyDescent="0.45">
      <c r="H15" s="4"/>
    </row>
    <row r="16" spans="1:21" x14ac:dyDescent="0.45">
      <c r="H16" s="4"/>
    </row>
    <row r="17" spans="8:8" x14ac:dyDescent="0.45">
      <c r="H17" s="4"/>
    </row>
    <row r="18" spans="8:8" x14ac:dyDescent="0.45">
      <c r="H18" s="4"/>
    </row>
    <row r="19" spans="8:8" x14ac:dyDescent="0.45">
      <c r="H19" s="4"/>
    </row>
    <row r="20" spans="8:8" x14ac:dyDescent="0.45">
      <c r="H20" s="4"/>
    </row>
    <row r="21" spans="8:8" x14ac:dyDescent="0.45">
      <c r="H21" s="4"/>
    </row>
    <row r="22" spans="8:8" x14ac:dyDescent="0.45">
      <c r="H22" s="4"/>
    </row>
    <row r="23" spans="8:8" x14ac:dyDescent="0.45">
      <c r="H23" s="4"/>
    </row>
    <row r="24" spans="8:8" x14ac:dyDescent="0.45">
      <c r="H24" s="4"/>
    </row>
    <row r="25" spans="8:8" x14ac:dyDescent="0.45">
      <c r="H25" s="4"/>
    </row>
    <row r="26" spans="8:8" x14ac:dyDescent="0.45">
      <c r="H26" s="4"/>
    </row>
    <row r="27" spans="8:8" x14ac:dyDescent="0.45">
      <c r="H27" s="4"/>
    </row>
    <row r="28" spans="8:8" x14ac:dyDescent="0.45">
      <c r="H28" s="4"/>
    </row>
    <row r="29" spans="8:8" x14ac:dyDescent="0.45">
      <c r="H29" s="4"/>
    </row>
    <row r="30" spans="8:8" x14ac:dyDescent="0.45">
      <c r="H30" s="4"/>
    </row>
    <row r="31" spans="8:8" x14ac:dyDescent="0.45">
      <c r="H31" s="4"/>
    </row>
    <row r="32" spans="8:8" x14ac:dyDescent="0.45">
      <c r="H32" s="4"/>
    </row>
    <row r="33" spans="8:8" x14ac:dyDescent="0.45">
      <c r="H33" s="4"/>
    </row>
    <row r="34" spans="8:8" x14ac:dyDescent="0.45">
      <c r="H34" s="4"/>
    </row>
  </sheetData>
  <mergeCells count="4">
    <mergeCell ref="A1:B1"/>
    <mergeCell ref="A2:B2"/>
    <mergeCell ref="O1:U1"/>
    <mergeCell ref="P2:U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BFE230DAE594E96ADA07991407907" ma:contentTypeVersion="4" ma:contentTypeDescription="Create a new document." ma:contentTypeScope="" ma:versionID="78a79742baab3b5d8d4e63c0be6b1abf">
  <xsd:schema xmlns:xsd="http://www.w3.org/2001/XMLSchema" xmlns:xs="http://www.w3.org/2001/XMLSchema" xmlns:p="http://schemas.microsoft.com/office/2006/metadata/properties" xmlns:ns2="59f3fffb-00c3-49e1-91c0-50692d8c80d3" targetNamespace="http://schemas.microsoft.com/office/2006/metadata/properties" ma:root="true" ma:fieldsID="60e61c32c1478bcdd3d51bd993cc4f83" ns2:_="">
    <xsd:import namespace="59f3fffb-00c3-49e1-91c0-50692d8c80d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f3fffb-00c3-49e1-91c0-50692d8c80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A09969-7782-4872-BD22-7F724E37503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1CEDDBC-B8CC-4704-9D68-1286358B5D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f3fffb-00c3-49e1-91c0-50692d8c80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83C470-6752-4D9C-815D-B3597AE6D428}">
  <ds:schemaRefs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2006/documentManagement/types"/>
    <ds:schemaRef ds:uri="http://www.w3.org/XML/1998/namespace"/>
    <ds:schemaRef ds:uri="59f3fffb-00c3-49e1-91c0-50692d8c80d3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86538D55-CA06-44A3-B7B7-09F945BD11A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5fae8262-b78e-4366-8929-a5d6aac95320}" enabled="1" method="Standard" siteId="{cf36141c-ddd7-45a7-b073-111f66d0b30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Convention</vt:lpstr>
      <vt:lpstr>Management Groups ALZ</vt:lpstr>
      <vt:lpstr>Management Groups Customer</vt:lpstr>
      <vt:lpstr>Platform_Subscriptions</vt:lpstr>
      <vt:lpstr>subcr-example</vt:lpstr>
      <vt:lpstr>Enviroments</vt:lpstr>
      <vt:lpstr>Func</vt:lpstr>
      <vt:lpstr>AzureRegions</vt:lpstr>
      <vt:lpstr>Orgs</vt:lpstr>
      <vt:lpstr>ProjAppSvc</vt:lpstr>
      <vt:lpstr>Resources</vt:lpstr>
      <vt:lpstr>UnitsDepts</vt:lpstr>
      <vt:lpstr>Casing</vt:lpstr>
      <vt:lpstr>AzureResourceTypes</vt:lpstr>
      <vt:lpstr>Casing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Nathan Smith</dc:creator>
  <cp:keywords/>
  <dc:description/>
  <cp:lastModifiedBy>Rafael Fernández Domínguez</cp:lastModifiedBy>
  <cp:revision/>
  <dcterms:created xsi:type="dcterms:W3CDTF">2017-05-10T05:21:09Z</dcterms:created>
  <dcterms:modified xsi:type="dcterms:W3CDTF">2023-03-20T13:52:09Z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0x0101005DABFE230DAE594E96ADA07991407907</vt:lpwstr>
  </property>
</Properties>
</file>